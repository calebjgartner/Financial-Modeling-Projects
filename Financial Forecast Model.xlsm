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defaultThemeVersion="202300"/>
  <mc:AlternateContent xmlns:mc="http://schemas.openxmlformats.org/markup-compatibility/2006">
    <mc:Choice Requires="x15">
      <x15ac:absPath xmlns:x15ac="http://schemas.microsoft.com/office/spreadsheetml/2010/11/ac" url="C:\Users\Caleb\Desktop\GitHub Models\"/>
    </mc:Choice>
  </mc:AlternateContent>
  <xr:revisionPtr revIDLastSave="0" documentId="8_{A884F8A2-0200-4D5A-9778-712525DC6E07}" xr6:coauthVersionLast="47" xr6:coauthVersionMax="47" xr10:uidLastSave="{00000000-0000-0000-0000-000000000000}"/>
  <bookViews>
    <workbookView xWindow="28680" yWindow="-120" windowWidth="29040" windowHeight="15720" activeTab="3" xr2:uid="{8161B1AD-23BB-4AFD-B240-D2D70B074E0D}"/>
  </bookViews>
  <sheets>
    <sheet name="PARMS" sheetId="1" r:id="rId1"/>
    <sheet name="Financial Statements" sheetId="2" r:id="rId2"/>
    <sheet name="Debt Schedule" sheetId="3" r:id="rId3"/>
    <sheet name="DCF" sheetId="4" r:id="rId4"/>
  </sheets>
  <definedNames>
    <definedName name="company.name">PARMS!$A$1</definedName>
    <definedName name="D.F.Interest.Expense">'Debt Schedule'!$J$17:$N$17</definedName>
    <definedName name="D.F.LTDebt">'Debt Schedule'!$J$20:$N$20</definedName>
    <definedName name="D.F.STDebt">'Debt Schedule'!$J$19:$N$19</definedName>
    <definedName name="D.H.Interest.Expense">'Debt Schedule'!$G$17:$I$17</definedName>
    <definedName name="D.H.LT.Debt">'Debt Schedule'!$G$20:$I$20</definedName>
    <definedName name="D.H.ST.Debt">'Debt Schedule'!$G$19:$I$19</definedName>
    <definedName name="Dates.Forecast">PARMS!$J$1:$N$1</definedName>
    <definedName name="dates.historical">PARMS!$G$1:$I$1</definedName>
    <definedName name="DCF.Debt">'Debt Schedule'!$I$8</definedName>
    <definedName name="DCF.Equity">'Financial Statements'!$I$81</definedName>
    <definedName name="DCF.Interest">'Debt Schedule'!$I$10</definedName>
    <definedName name="DCF.Pref">'Financial Statements'!$I$77</definedName>
    <definedName name="DCF.Taxrate">PARMS!$H$24</definedName>
    <definedName name="F.Cash">'Financial Statements'!$J$114:$N$114</definedName>
    <definedName name="F.Cash.Finance">'Financial Statements'!$J$110:$N$110</definedName>
    <definedName name="F.Cash.Investing">'Financial Statements'!$J$104:$N$104</definedName>
    <definedName name="F.Cash.Operations">'Financial Statements'!$J$99:$N$99</definedName>
    <definedName name="F.COGS">'Financial Statements'!$J$14:$N$14</definedName>
    <definedName name="F.EBIT">'Financial Statements'!$J$29:$N$29</definedName>
    <definedName name="F.Gross.Margin">'Financial Statements'!$J$16:$N$16</definedName>
    <definedName name="F.Net.income">'Financial Statements'!$J$38:$N$38</definedName>
    <definedName name="F.Revenues">'Financial Statements'!$J$8:$N$8</definedName>
    <definedName name="F.SGA">'Financial Statements'!$J$27:$N$27</definedName>
    <definedName name="F.Total.Assets">'Financial Statements'!$J$60:$N$60</definedName>
    <definedName name="F.Total.Liabilities">'Financial Statements'!$J$74:$N$74</definedName>
    <definedName name="F.TotalCapital">'Financial Statements'!$J$83:$N$83</definedName>
    <definedName name="H.Cash">'Financial Statements'!$G$114:$I$114</definedName>
    <definedName name="H.COGS">'Financial Statements'!$G$14:$I$14</definedName>
    <definedName name="H.EBIT">'Financial Statements'!$G$29:$I$29</definedName>
    <definedName name="H.EBT">'Financial Statements'!$G$34:$I$34</definedName>
    <definedName name="H.Gross.Margin">'Financial Statements'!$G$16:$I$16</definedName>
    <definedName name="H.Net.Income">'Financial Statements'!$G$38:$I$38</definedName>
    <definedName name="H.Revenues">'Financial Statements'!$G$8:$I$8</definedName>
    <definedName name="H.SGA">'Financial Statements'!$G$27:$I$27</definedName>
    <definedName name="H.Total.Assets">'Financial Statements'!$G$60:$I$60</definedName>
    <definedName name="H.Total.Capital">'Financial Statements'!$G$83:$I$83</definedName>
    <definedName name="P.F.Accounts.Payable">PARMS!$J$33:$N$33</definedName>
    <definedName name="P.F.Accounts.Receivable">PARMS!$J$30:$N$30</definedName>
    <definedName name="P.F.Accrueds">PARMS!$J$34:$N$34</definedName>
    <definedName name="P.F.AmortizationExpense">PARMS!$J$23:$N$23</definedName>
    <definedName name="P.F.Buybacks">PARMS!$J$27:$N$27</definedName>
    <definedName name="P.F.CAPX">PARMS!$J$35:$N$35</definedName>
    <definedName name="P.F.COGS">PARMS!$J$13:$N$15</definedName>
    <definedName name="P.F.DepreciationExpense">PARMS!$J$22:$N$22</definedName>
    <definedName name="P.F.Dividends">PARMS!$J$26:$N$26</definedName>
    <definedName name="P.F.FixedCosts">PARMS!$J$17:$N$21</definedName>
    <definedName name="P.F.Inventory.Days">PARMS!$J$31:$N$31</definedName>
    <definedName name="P.F.Prepaids">PARMS!$J$32:$N$32</definedName>
    <definedName name="P.F.Revenues">PARMS!$J$5:$N$7</definedName>
    <definedName name="P.H.Accr.Liabilities">PARMS!$G$34:$I$34</definedName>
    <definedName name="P.H.Acct.Payable">PARMS!$G$33:$I$33</definedName>
    <definedName name="P.H.Amort.Expense">PARMS!$G$23:$I$23</definedName>
    <definedName name="P.H.AR.Days">PARMS!$G$30:$I$30</definedName>
    <definedName name="P.H.COGS">PARMS!$G$13:$I$15</definedName>
    <definedName name="P.H.COGS.Days">PARMS!$G$31:$I$31</definedName>
    <definedName name="P.H.Depr.Expense">PARMS!$G$22:$I$22</definedName>
    <definedName name="P.H.Dividend">PARMS!$G$26:$I$26</definedName>
    <definedName name="P.H.Fixed.Costs">PARMS!$G$17:$I$21</definedName>
    <definedName name="P.H.Interest.Expense.filler">PARMS!$G$25:$I$25</definedName>
    <definedName name="P.H.Inventory.Days">PARMS!$G$31:$I$31</definedName>
    <definedName name="P.H.Prepaids">PARMS!$G$32:$I$32</definedName>
    <definedName name="P.H.Revenues">PARMS!$G$5:$I$7</definedName>
    <definedName name="P.Start.Cash">PARMS!$G$38</definedName>
    <definedName name="revenue.lines">PARMS!$E$5:$E$7</definedName>
    <definedName name="tax.rate">PARMS!$G$24</definedName>
    <definedName name="Tax.Rate2">PARMS!$J$24:$N$24</definedName>
  </definedNames>
  <calcPr calcId="191028"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3" i="4" l="1" a="1"/>
  <c r="G23" i="4"/>
  <c r="G18" i="4" a="1"/>
  <c r="G18" i="4"/>
  <c r="G16" i="4" a="1"/>
  <c r="G16" i="4"/>
  <c r="G20" i="4" a="1"/>
  <c r="G20" i="4"/>
  <c r="G14" i="4" a="1"/>
  <c r="G14" i="4"/>
  <c r="I8" i="4" a="1"/>
  <c r="I8" i="4"/>
  <c r="G9" i="4" a="1"/>
  <c r="G9" i="4"/>
  <c r="G8" i="4" a="1"/>
  <c r="G8" i="4"/>
  <c r="G4" i="4" a="1"/>
  <c r="G4" i="4" s="1"/>
  <c r="G3" i="4" a="1"/>
  <c r="G3" i="4" s="1"/>
  <c r="J108" i="2" a="1"/>
  <c r="J108" i="2"/>
  <c r="J109" i="2" a="1"/>
  <c r="J109" i="2"/>
  <c r="J107" i="2"/>
  <c r="K107" i="2"/>
  <c r="L107" i="2"/>
  <c r="M107" i="2"/>
  <c r="N107" i="2"/>
  <c r="K103" i="2"/>
  <c r="L103" i="2"/>
  <c r="M103" i="2"/>
  <c r="N103" i="2"/>
  <c r="J103" i="2"/>
  <c r="J102" i="2" a="1"/>
  <c r="J102" i="2"/>
  <c r="J104" i="2"/>
  <c r="I102" i="2"/>
  <c r="I104" i="2"/>
  <c r="J92" i="2" a="1"/>
  <c r="J92" i="2"/>
  <c r="J91" i="2" a="1"/>
  <c r="J91" i="2"/>
  <c r="J87" i="2" a="1"/>
  <c r="J87" i="2"/>
  <c r="J71" i="2" a="1"/>
  <c r="J71" i="2"/>
  <c r="J73" i="2"/>
  <c r="J67" i="2" a="1"/>
  <c r="J67" i="2"/>
  <c r="J44" i="2" a="1"/>
  <c r="J44" i="2"/>
  <c r="J40" i="2" a="1"/>
  <c r="J40" i="2"/>
  <c r="J32" i="2" a="1"/>
  <c r="J32" i="2"/>
  <c r="J19" i="3"/>
  <c r="J20" i="3" a="1"/>
  <c r="J20" i="3"/>
  <c r="K19" i="3"/>
  <c r="L19" i="3"/>
  <c r="M19" i="3"/>
  <c r="N19" i="3"/>
  <c r="K17" i="3"/>
  <c r="L17" i="3"/>
  <c r="M17" i="3"/>
  <c r="N17" i="3"/>
  <c r="J17" i="3"/>
  <c r="O8" i="3"/>
  <c r="O3" i="3"/>
  <c r="O4" i="3"/>
  <c r="L3" i="3"/>
  <c r="M3" i="3"/>
  <c r="N3" i="3"/>
  <c r="N8" i="3"/>
  <c r="K3" i="3"/>
  <c r="K8" i="3"/>
  <c r="L8" i="3"/>
  <c r="M8" i="3"/>
  <c r="J8" i="3"/>
  <c r="J2" i="3" a="1"/>
  <c r="J2" i="3"/>
  <c r="J34" i="1"/>
  <c r="K34" i="1"/>
  <c r="L34" i="1"/>
  <c r="M34" i="1"/>
  <c r="N34" i="1"/>
  <c r="J32" i="1"/>
  <c r="K32" i="1"/>
  <c r="L32" i="1"/>
  <c r="M32" i="1"/>
  <c r="N32" i="1"/>
  <c r="G79" i="2"/>
  <c r="H79" i="2"/>
  <c r="I79" i="2"/>
  <c r="J79" i="2"/>
  <c r="K79" i="2"/>
  <c r="L79" i="2"/>
  <c r="M79" i="2"/>
  <c r="N79" i="2"/>
  <c r="G80" i="2"/>
  <c r="G108" i="2"/>
  <c r="H104" i="2"/>
  <c r="G57" i="2"/>
  <c r="K27" i="1"/>
  <c r="J26" i="2" a="1"/>
  <c r="J26" i="2"/>
  <c r="J25" i="2" a="1"/>
  <c r="J25" i="2"/>
  <c r="J3" i="2" a="1"/>
  <c r="J3" i="2"/>
  <c r="L27" i="1"/>
  <c r="M27" i="1"/>
  <c r="N27" i="1"/>
  <c r="K26" i="1"/>
  <c r="L26" i="1"/>
  <c r="M26" i="1"/>
  <c r="N26" i="1"/>
  <c r="J27" i="1"/>
  <c r="J26" i="1"/>
  <c r="N22" i="1"/>
  <c r="M22" i="1"/>
  <c r="L22" i="1"/>
  <c r="K22" i="1"/>
  <c r="N23" i="1"/>
  <c r="M23" i="1"/>
  <c r="L23" i="1"/>
  <c r="K23" i="1"/>
  <c r="J23" i="1"/>
  <c r="J22" i="1"/>
  <c r="E9" i="1" a="1"/>
  <c r="E9" i="1"/>
  <c r="G1" i="1" a="1"/>
  <c r="G1" i="1"/>
  <c r="G32" i="2" a="1"/>
  <c r="G32" i="2"/>
  <c r="G114" i="2"/>
  <c r="H17" i="1" a="1"/>
  <c r="J20" i="1" s="1"/>
  <c r="H13" i="1" a="1"/>
  <c r="H5" i="1" a="1"/>
  <c r="G40" i="2" a="1"/>
  <c r="G40" i="2"/>
  <c r="G54" i="2"/>
  <c r="G56" i="2"/>
  <c r="G59" i="2"/>
  <c r="G109" i="2"/>
  <c r="H113" i="2"/>
  <c r="H58" i="2"/>
  <c r="I58" i="2"/>
  <c r="H77" i="2"/>
  <c r="I77" i="2"/>
  <c r="H78" i="2"/>
  <c r="I78" i="2"/>
  <c r="H102" i="2"/>
  <c r="H107" i="2"/>
  <c r="I107" i="2"/>
  <c r="H109" i="2"/>
  <c r="I109" i="2"/>
  <c r="H8" i="3"/>
  <c r="G19" i="3"/>
  <c r="I8" i="3"/>
  <c r="H19" i="3"/>
  <c r="I17" i="3"/>
  <c r="H17" i="3"/>
  <c r="G17" i="3"/>
  <c r="G8" i="3"/>
  <c r="H34" i="1"/>
  <c r="I34" i="1"/>
  <c r="H32" i="1"/>
  <c r="I32" i="1"/>
  <c r="H31" i="1"/>
  <c r="I31" i="1"/>
  <c r="H30" i="1"/>
  <c r="I30" i="1"/>
  <c r="H25" i="1"/>
  <c r="E20" i="2" a="1"/>
  <c r="E20" i="2"/>
  <c r="H23" i="1"/>
  <c r="H22" i="1"/>
  <c r="E11" i="2" a="1"/>
  <c r="E11" i="2"/>
  <c r="E5" i="2" a="1"/>
  <c r="E5" i="2"/>
  <c r="A1" i="2"/>
  <c r="E13" i="1" a="1"/>
  <c r="E13" i="1"/>
  <c r="N110" i="2"/>
  <c r="L110" i="2"/>
  <c r="K110" i="2"/>
  <c r="J110" i="2"/>
  <c r="N104" i="2"/>
  <c r="M104" i="2"/>
  <c r="M110" i="2"/>
  <c r="L104" i="2"/>
  <c r="G81" i="2"/>
  <c r="K104" i="2"/>
  <c r="M73" i="2"/>
  <c r="N73" i="2"/>
  <c r="L73" i="2"/>
  <c r="K73" i="2"/>
  <c r="I19" i="3"/>
  <c r="G44" i="2" a="1"/>
  <c r="G44" i="2"/>
  <c r="G87" i="2" a="1"/>
  <c r="G87" i="2"/>
  <c r="G3" i="2" a="1"/>
  <c r="G3" i="2"/>
  <c r="H54" i="2"/>
  <c r="I54" i="2"/>
  <c r="J54" i="2"/>
  <c r="I108" i="2"/>
  <c r="I110" i="2"/>
  <c r="H108" i="2"/>
  <c r="H110" i="2"/>
  <c r="I25" i="1"/>
  <c r="I23" i="1"/>
  <c r="G92" i="2" a="1"/>
  <c r="G92" i="2"/>
  <c r="G2" i="3" a="1"/>
  <c r="G2" i="3"/>
  <c r="I22" i="1"/>
  <c r="G25" i="2" a="1"/>
  <c r="H55" i="2"/>
  <c r="K54" i="2"/>
  <c r="G20" i="3" a="1"/>
  <c r="G20" i="3"/>
  <c r="G71" i="2" a="1"/>
  <c r="G67" i="2" a="1"/>
  <c r="G67" i="2"/>
  <c r="G91" i="2" a="1"/>
  <c r="G91" i="2"/>
  <c r="G25" i="2"/>
  <c r="G26" i="2" a="1"/>
  <c r="H57" i="2"/>
  <c r="I57" i="2"/>
  <c r="J57" i="2"/>
  <c r="K57" i="2"/>
  <c r="L57" i="2"/>
  <c r="M57" i="2"/>
  <c r="N57" i="2"/>
  <c r="L54" i="2"/>
  <c r="H73" i="2"/>
  <c r="G71" i="2"/>
  <c r="G73" i="2"/>
  <c r="I73" i="2"/>
  <c r="G26" i="2"/>
  <c r="I55" i="2"/>
  <c r="H56" i="2"/>
  <c r="I56" i="2"/>
  <c r="I59" i="2"/>
  <c r="J55" i="2"/>
  <c r="M54" i="2"/>
  <c r="H59" i="2"/>
  <c r="N54" i="2"/>
  <c r="K55" i="2"/>
  <c r="J56" i="2"/>
  <c r="J59" i="2"/>
  <c r="L55" i="2"/>
  <c r="K56" i="2"/>
  <c r="K59" i="2"/>
  <c r="M55" i="2"/>
  <c r="L56" i="2"/>
  <c r="L59" i="2"/>
  <c r="N55" i="2"/>
  <c r="N56" i="2"/>
  <c r="N59" i="2"/>
  <c r="M56" i="2"/>
  <c r="M59" i="2"/>
  <c r="H114" i="2"/>
  <c r="I113" i="2"/>
  <c r="G5" i="4" l="1"/>
  <c r="H11" i="1"/>
  <c r="H10" i="1"/>
  <c r="I10" i="1"/>
  <c r="I11" i="1"/>
  <c r="H13" i="1"/>
  <c r="J14" i="1"/>
  <c r="K14" i="1" s="1"/>
  <c r="J21" i="1"/>
  <c r="J15" i="1"/>
  <c r="K15" i="1" s="1"/>
  <c r="H17" i="1"/>
  <c r="H5" i="1"/>
  <c r="J18" i="1"/>
  <c r="J19" i="1"/>
  <c r="K20" i="1"/>
  <c r="J10" i="1" l="1"/>
  <c r="J6" i="1" s="1"/>
  <c r="G11" i="2" a="1"/>
  <c r="G5" i="2" a="1"/>
  <c r="H9" i="1"/>
  <c r="L20" i="1"/>
  <c r="L14" i="1"/>
  <c r="K21" i="1"/>
  <c r="J13" i="1"/>
  <c r="K19" i="1"/>
  <c r="J11" i="1"/>
  <c r="J17" i="1"/>
  <c r="L15" i="1"/>
  <c r="I9" i="1"/>
  <c r="K18" i="1"/>
  <c r="K10" i="1" l="1"/>
  <c r="L10" i="1" s="1"/>
  <c r="M20" i="1"/>
  <c r="N20" i="1" s="1"/>
  <c r="K6" i="1"/>
  <c r="M15" i="1"/>
  <c r="N15" i="1" s="1"/>
  <c r="L18" i="1"/>
  <c r="M18" i="1" s="1"/>
  <c r="L6" i="1"/>
  <c r="M14" i="1"/>
  <c r="N14" i="1" s="1"/>
  <c r="K17" i="1"/>
  <c r="J9" i="1"/>
  <c r="L11" i="1"/>
  <c r="J7" i="1"/>
  <c r="K7" i="1" s="1"/>
  <c r="N19" i="1"/>
  <c r="G5" i="2"/>
  <c r="G8" i="2" s="1"/>
  <c r="I8" i="2"/>
  <c r="H8" i="2"/>
  <c r="I14" i="2"/>
  <c r="G11" i="2"/>
  <c r="G14" i="2" s="1"/>
  <c r="H14" i="2"/>
  <c r="M10" i="1"/>
  <c r="N10" i="1" s="1"/>
  <c r="K11" i="1"/>
  <c r="K13" i="1"/>
  <c r="L19" i="1"/>
  <c r="M19" i="1" s="1"/>
  <c r="L21" i="1"/>
  <c r="M21" i="1" s="1"/>
  <c r="L7" i="1" l="1"/>
  <c r="M6" i="1"/>
  <c r="J5" i="1"/>
  <c r="N18" i="1"/>
  <c r="G50" i="2" a="1"/>
  <c r="G50" i="2" s="1"/>
  <c r="G66" i="2" a="1"/>
  <c r="G66" i="2" s="1"/>
  <c r="G48" i="2" a="1"/>
  <c r="G16" i="2" a="1"/>
  <c r="G16" i="2" s="1"/>
  <c r="G20" i="2" a="1"/>
  <c r="N21" i="1"/>
  <c r="L13" i="1"/>
  <c r="M13" i="1" s="1"/>
  <c r="N6" i="1"/>
  <c r="M11" i="1"/>
  <c r="N11" i="1" s="1"/>
  <c r="L17" i="1"/>
  <c r="M17" i="1" s="1"/>
  <c r="G65" i="2" a="1"/>
  <c r="G49" i="2" a="1"/>
  <c r="G49" i="2" s="1"/>
  <c r="K9" i="1"/>
  <c r="N17" i="1" l="1"/>
  <c r="M7" i="1"/>
  <c r="N7" i="1" s="1"/>
  <c r="I94" i="2" a="1"/>
  <c r="I94" i="2" s="1"/>
  <c r="G48" i="2"/>
  <c r="H94" i="2" s="1" a="1"/>
  <c r="H94" i="2" s="1"/>
  <c r="G20" i="2"/>
  <c r="G27" i="2" s="1"/>
  <c r="I27" i="2"/>
  <c r="H27" i="2"/>
  <c r="L9" i="1"/>
  <c r="N13" i="1"/>
  <c r="G29" i="2" a="1"/>
  <c r="G29" i="2" s="1"/>
  <c r="G17" i="2" a="1"/>
  <c r="G17" i="2" s="1"/>
  <c r="G65" i="2"/>
  <c r="G68" i="2" s="1"/>
  <c r="G74" i="2" s="1"/>
  <c r="H97" i="2" a="1"/>
  <c r="H97" i="2" s="1"/>
  <c r="H68" i="2"/>
  <c r="H74" i="2" s="1"/>
  <c r="I68" i="2"/>
  <c r="I74" i="2" s="1"/>
  <c r="I97" i="2" a="1"/>
  <c r="I97" i="2" s="1"/>
  <c r="K5" i="1"/>
  <c r="G30" i="2" l="1" a="1"/>
  <c r="G30" i="2" s="1"/>
  <c r="G34" i="2" a="1"/>
  <c r="G34" i="2" s="1"/>
  <c r="L5" i="1"/>
  <c r="M9" i="1"/>
  <c r="N9" i="1" s="1"/>
  <c r="G36" i="2" l="1" a="1"/>
  <c r="G36" i="2" s="1"/>
  <c r="M5" i="1"/>
  <c r="N5" i="1" s="1"/>
  <c r="J11" i="2" a="1"/>
  <c r="J5" i="2" a="1"/>
  <c r="G38" i="2" l="1" a="1"/>
  <c r="G38" i="2" s="1"/>
  <c r="G89" i="2" s="1" a="1"/>
  <c r="J5" i="2"/>
  <c r="J8" i="2" s="1"/>
  <c r="N8" i="2"/>
  <c r="M8" i="2"/>
  <c r="L8" i="2"/>
  <c r="K8" i="2"/>
  <c r="M14" i="2"/>
  <c r="J11" i="2"/>
  <c r="J14" i="2" s="1"/>
  <c r="K14" i="2"/>
  <c r="N14" i="2"/>
  <c r="L14" i="2"/>
  <c r="G41" i="2" l="1" a="1"/>
  <c r="G89" i="2"/>
  <c r="I99" i="2"/>
  <c r="I112" i="2" s="1"/>
  <c r="I114" i="2" s="1"/>
  <c r="H99" i="2"/>
  <c r="H80" i="2"/>
  <c r="G41" i="2"/>
  <c r="J65" i="2" a="1"/>
  <c r="J49" i="2" a="1"/>
  <c r="J49" i="2" s="1"/>
  <c r="J48" i="2" a="1"/>
  <c r="J20" i="2" a="1"/>
  <c r="J66" i="2" a="1"/>
  <c r="J66" i="2" s="1"/>
  <c r="J16" i="2" a="1"/>
  <c r="J16" i="2" s="1"/>
  <c r="J50" i="2" a="1"/>
  <c r="J50" i="2" s="1"/>
  <c r="J20" i="2" l="1"/>
  <c r="J27" i="2" s="1"/>
  <c r="K27" i="2"/>
  <c r="M27" i="2"/>
  <c r="L27" i="2"/>
  <c r="N27" i="2"/>
  <c r="J48" i="2"/>
  <c r="L94" i="2" a="1"/>
  <c r="L94" i="2" s="1"/>
  <c r="I21" i="4" s="1"/>
  <c r="N94" i="2" a="1"/>
  <c r="N94" i="2" s="1"/>
  <c r="K21" i="4" s="1"/>
  <c r="M94" i="2" a="1"/>
  <c r="M94" i="2" s="1"/>
  <c r="I80" i="2"/>
  <c r="H81" i="2"/>
  <c r="J17" i="2" a="1"/>
  <c r="J17" i="2" s="1"/>
  <c r="J29" i="2" a="1"/>
  <c r="J29" i="2" s="1"/>
  <c r="J65" i="2"/>
  <c r="K68" i="2"/>
  <c r="K74" i="2" s="1"/>
  <c r="M97" i="2" a="1"/>
  <c r="M97" i="2" s="1"/>
  <c r="L97" i="2" a="1"/>
  <c r="L97" i="2" s="1"/>
  <c r="L68" i="2"/>
  <c r="L74" i="2" s="1"/>
  <c r="M68" i="2"/>
  <c r="M74" i="2" s="1"/>
  <c r="N97" i="2" a="1"/>
  <c r="N97" i="2" s="1"/>
  <c r="N68" i="2"/>
  <c r="N74" i="2" s="1"/>
  <c r="G47" i="2" a="1"/>
  <c r="J113" i="2"/>
  <c r="J21" i="4" l="1"/>
  <c r="I81" i="2"/>
  <c r="G10" i="4" s="1"/>
  <c r="G47" i="2"/>
  <c r="G51" i="2" s="1"/>
  <c r="G60" i="2" s="1"/>
  <c r="I51" i="2"/>
  <c r="I60" i="2" s="1"/>
  <c r="H51" i="2"/>
  <c r="H60" i="2" s="1"/>
  <c r="J68" i="2"/>
  <c r="J74" i="2" s="1"/>
  <c r="J97" i="2" a="1"/>
  <c r="J97" i="2" s="1"/>
  <c r="K97" i="2" a="1"/>
  <c r="K97" i="2" s="1"/>
  <c r="K94" i="2" a="1"/>
  <c r="K94" i="2" s="1"/>
  <c r="H21" i="4" s="1"/>
  <c r="J94" i="2" a="1"/>
  <c r="J94" i="2" s="1"/>
  <c r="G21" i="4" s="1"/>
  <c r="J34" i="2" a="1"/>
  <c r="G17" i="4" a="1"/>
  <c r="J30" i="2" a="1"/>
  <c r="J30" i="2" s="1"/>
  <c r="G17" i="4" l="1"/>
  <c r="G19" i="4" s="1" a="1"/>
  <c r="G11" i="4"/>
  <c r="J34" i="2"/>
  <c r="J36" i="2" s="1" a="1"/>
  <c r="J36" i="2" s="1"/>
  <c r="G83" i="2" a="1"/>
  <c r="G83" i="2" s="1"/>
  <c r="G85" i="2" s="1" a="1"/>
  <c r="G85" i="2" s="1"/>
  <c r="G15" i="4" l="1" a="1"/>
  <c r="G15" i="4" s="1"/>
  <c r="I22" i="4"/>
  <c r="K22" i="4"/>
  <c r="G19" i="4"/>
  <c r="G22" i="4" s="1"/>
  <c r="H22" i="4"/>
  <c r="J22" i="4"/>
  <c r="J38" i="2" a="1"/>
  <c r="H8" i="4"/>
  <c r="H9" i="4"/>
  <c r="H10" i="4"/>
  <c r="G12" i="4" l="1"/>
  <c r="J38" i="2"/>
  <c r="J89" i="2" s="1" a="1"/>
  <c r="G24" i="4" a="1"/>
  <c r="G24" i="4" s="1"/>
  <c r="J41" i="2" l="1" a="1"/>
  <c r="J41" i="2" s="1"/>
  <c r="J80" i="2" s="1"/>
  <c r="J89" i="2"/>
  <c r="J99" i="2" s="1"/>
  <c r="K99" i="2"/>
  <c r="L99" i="2"/>
  <c r="N99" i="2"/>
  <c r="M99" i="2"/>
  <c r="J112" i="2" l="1" a="1"/>
  <c r="J112" i="2" s="1"/>
  <c r="J114" i="2" s="1"/>
  <c r="J81" i="2"/>
  <c r="K80" i="2"/>
  <c r="K81" i="2" l="1"/>
  <c r="L80" i="2"/>
  <c r="K113" i="2"/>
  <c r="K114" i="2" s="1"/>
  <c r="L113" i="2" s="1"/>
  <c r="L114" i="2" s="1"/>
  <c r="M113" i="2" s="1"/>
  <c r="M114" i="2" s="1"/>
  <c r="N113" i="2" s="1"/>
  <c r="N114" i="2" s="1"/>
  <c r="J47" i="2" l="1" a="1"/>
  <c r="M80" i="2"/>
  <c r="L81" i="2"/>
  <c r="M81" i="2" l="1"/>
  <c r="N80" i="2"/>
  <c r="N81" i="2" s="1"/>
  <c r="N51" i="2"/>
  <c r="N60" i="2" s="1"/>
  <c r="J47" i="2"/>
  <c r="J51" i="2" s="1"/>
  <c r="J60" i="2" s="1"/>
  <c r="L51" i="2"/>
  <c r="L60" i="2" s="1"/>
  <c r="M51" i="2"/>
  <c r="M60" i="2" s="1"/>
  <c r="K51" i="2"/>
  <c r="K60" i="2" s="1"/>
  <c r="J83" i="2" l="1" a="1"/>
  <c r="J83" i="2" s="1"/>
  <c r="J85" i="2" s="1" a="1"/>
  <c r="J85"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<sst xmlns="http://schemas.openxmlformats.org/spreadsheetml/2006/main" count="154" uniqueCount="135">
  <si>
    <t>Twin Dragon Performance Ltd</t>
  </si>
  <si>
    <t>Parameters</t>
  </si>
  <si>
    <t>Income Statement Items</t>
  </si>
  <si>
    <t>Hybrid Leaf Removal Solutions</t>
  </si>
  <si>
    <t>Green Power Solutions</t>
  </si>
  <si>
    <t>Soil Recyclers</t>
  </si>
  <si>
    <t>Revenues</t>
  </si>
  <si>
    <t>Cost of Goods Sold</t>
  </si>
  <si>
    <t>Financial Statements</t>
  </si>
  <si>
    <t>Income Statement</t>
  </si>
  <si>
    <t>Total Revenues</t>
  </si>
  <si>
    <t>Total COGS</t>
  </si>
  <si>
    <t>Gross Margin</t>
  </si>
  <si>
    <t>% of Sales</t>
  </si>
  <si>
    <t>Fixed Costs</t>
  </si>
  <si>
    <t>Rent</t>
  </si>
  <si>
    <t>Phone</t>
  </si>
  <si>
    <t>Salaries</t>
  </si>
  <si>
    <t>Utilities</t>
  </si>
  <si>
    <t>Insurance</t>
  </si>
  <si>
    <t>Depreciation Expense</t>
  </si>
  <si>
    <t>Amortization Expense</t>
  </si>
  <si>
    <t>Selling, General &amp; Admin Expense (SG&amp;A)</t>
  </si>
  <si>
    <t>Total SG&amp;A</t>
  </si>
  <si>
    <t>Earnings Before Interest and Taxes (EBIT)</t>
  </si>
  <si>
    <t>Income Tax Rate</t>
  </si>
  <si>
    <t>Interest Expense</t>
  </si>
  <si>
    <t>Interest Expense (filler)</t>
  </si>
  <si>
    <t>Earnings Before Taxes (EBT)</t>
  </si>
  <si>
    <t>Income Tax Expense</t>
  </si>
  <si>
    <t>Net Income (Bottom Line)</t>
  </si>
  <si>
    <t>Cash Dividend</t>
  </si>
  <si>
    <t>less: Cash Dividend</t>
  </si>
  <si>
    <t>Change in Retained Earnings</t>
  </si>
  <si>
    <t>Balance Sheet</t>
  </si>
  <si>
    <t>Assets</t>
  </si>
  <si>
    <t>Cash</t>
  </si>
  <si>
    <t>Inventory</t>
  </si>
  <si>
    <t>Accounts Receivable</t>
  </si>
  <si>
    <t>Prepaid Expeneses</t>
  </si>
  <si>
    <t>Working Capital</t>
  </si>
  <si>
    <t>Accounts Receivable (days of sales)</t>
  </si>
  <si>
    <t>Inventory (days of COGS)</t>
  </si>
  <si>
    <t>Prepaid Expenses (% sales)</t>
  </si>
  <si>
    <t>Short-Term Assets</t>
  </si>
  <si>
    <t>Total Short-Term Assets</t>
  </si>
  <si>
    <t>Accounts Payable (days of COGS)</t>
  </si>
  <si>
    <t>Accrued Liabilities</t>
  </si>
  <si>
    <t>Capital Expenditures (CAPEX)</t>
  </si>
  <si>
    <t>Starting gross PP&amp;E</t>
  </si>
  <si>
    <t>Long-Term Assets</t>
  </si>
  <si>
    <t>Gross Property, Plant, and Equipment (PP&amp;E)</t>
  </si>
  <si>
    <t>Less: Accumulated Depreciation</t>
  </si>
  <si>
    <t>Net PP&amp;E</t>
  </si>
  <si>
    <t>Goodwill</t>
  </si>
  <si>
    <t>Intellectual Property (IP)</t>
  </si>
  <si>
    <t>Total Long-Term Assets</t>
  </si>
  <si>
    <t>Total Assets</t>
  </si>
  <si>
    <t>Capital (Liabilities &amp; Equity)</t>
  </si>
  <si>
    <t>Liabilities</t>
  </si>
  <si>
    <t>Short-Term Liabilities</t>
  </si>
  <si>
    <t>Accounts Payable</t>
  </si>
  <si>
    <t>Current Portion of Long-Term Debt</t>
  </si>
  <si>
    <t>Total Short-Term Liabilities</t>
  </si>
  <si>
    <t>Long-Term Liabilities</t>
  </si>
  <si>
    <t>LT Debt</t>
  </si>
  <si>
    <t>Capitalized Leases</t>
  </si>
  <si>
    <t>Total Long-Term Liabilities</t>
  </si>
  <si>
    <t>Total Liabilities</t>
  </si>
  <si>
    <t>Shareholders Equity</t>
  </si>
  <si>
    <t>Twin Dragon Performance LtdDebtSchedule</t>
  </si>
  <si>
    <t>Long-Term Debt</t>
  </si>
  <si>
    <t>Huntington Revolver</t>
  </si>
  <si>
    <t>PNC Term Debt</t>
  </si>
  <si>
    <t>Hometown Bank Loan</t>
  </si>
  <si>
    <t>tbd</t>
  </si>
  <si>
    <t>Total Long-Term Debt</t>
  </si>
  <si>
    <t>Interest Rates</t>
  </si>
  <si>
    <t>Debt Breakdown</t>
  </si>
  <si>
    <t>Short-Term Portion</t>
  </si>
  <si>
    <t>Preferred Shares</t>
  </si>
  <si>
    <t>Common Stock</t>
  </si>
  <si>
    <t>Treasury Shares</t>
  </si>
  <si>
    <t>Stock Buybacks</t>
  </si>
  <si>
    <t>Retained Earnings</t>
  </si>
  <si>
    <t>Total Shareholder Equity</t>
  </si>
  <si>
    <t>Total Liabilities &amp; Equity</t>
  </si>
  <si>
    <t>Checksum</t>
  </si>
  <si>
    <t>Statement of Cash Flows</t>
  </si>
  <si>
    <t>Cash From Operations</t>
  </si>
  <si>
    <t>Net Income</t>
  </si>
  <si>
    <t>Add back non-cash items</t>
  </si>
  <si>
    <t>Depreciation</t>
  </si>
  <si>
    <t>Amortization</t>
  </si>
  <si>
    <t>Working Capital Adjustment</t>
  </si>
  <si>
    <t xml:space="preserve">Accounts Receivable </t>
  </si>
  <si>
    <t>Prepaid Expenses</t>
  </si>
  <si>
    <t>Cash from Investing</t>
  </si>
  <si>
    <t>CAPEX</t>
  </si>
  <si>
    <t>Loss/Gain on Disposal of Assets</t>
  </si>
  <si>
    <t>Net Cash From Operations</t>
  </si>
  <si>
    <t>Net Cash From Investment</t>
  </si>
  <si>
    <t>Cash From Financing</t>
  </si>
  <si>
    <t>Borrowing (Repayment) of Debt</t>
  </si>
  <si>
    <t>Cash Dividends</t>
  </si>
  <si>
    <t>Net Cash From Financing</t>
  </si>
  <si>
    <t>Net Change in Cash</t>
  </si>
  <si>
    <t>Starting Cash Balance</t>
  </si>
  <si>
    <t>Ending Cash Balance</t>
  </si>
  <si>
    <t>Starting Goodwill</t>
  </si>
  <si>
    <t>Deltas</t>
  </si>
  <si>
    <t>Discount Cash Flow Model for Twin Dragon Performance LTD</t>
  </si>
  <si>
    <t>General Assumptions</t>
  </si>
  <si>
    <t>Share Price @ Last Close</t>
  </si>
  <si>
    <t>Shares Outsanding (mm's)</t>
  </si>
  <si>
    <t>Market Cap ($mm's)</t>
  </si>
  <si>
    <t>Weighted Average Cost of Capital (WACC)</t>
  </si>
  <si>
    <t>Debts</t>
  </si>
  <si>
    <t>Preferred Stock</t>
  </si>
  <si>
    <t>Total Capital</t>
  </si>
  <si>
    <t>WACC</t>
  </si>
  <si>
    <t>Amount</t>
  </si>
  <si>
    <t>Weight</t>
  </si>
  <si>
    <t>Cost</t>
  </si>
  <si>
    <t>Free Cash Flow Buildup</t>
  </si>
  <si>
    <t>EBITDA</t>
  </si>
  <si>
    <t>Less:Depreciation and Amortization</t>
  </si>
  <si>
    <t>EBIT</t>
  </si>
  <si>
    <t>Tax Rate</t>
  </si>
  <si>
    <t>EBIAT (aka NOPAT - Net Operating Profit After Tax)</t>
  </si>
  <si>
    <t>Add Back: Depr &amp;</t>
  </si>
  <si>
    <t>Working Capital Change</t>
  </si>
  <si>
    <t>Unlevered Cash from Operations</t>
  </si>
  <si>
    <t>Less: Capex</t>
  </si>
  <si>
    <t>Unlevered FREE CASH FLOW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</si>
</sst>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quot;* #,##0.00_);_(&quot;$&quot;* \(#,##0.00\);_(&quot;$&quot;* &quot;-&quot;??_);_(@_)"/>
    <numFmt numFmtId="43" formatCode="_(* #,##0.00_);_(* \(#,##0.00\);_(* &quot;-&quot;??_);_(@_)"/>
    <numFmt numFmtId="164" formatCode="0&quot;H&quot;"/>
    <numFmt numFmtId="165" formatCode="_(* #,##0_);_(* \(#,##0\);_(* &quot;-&quot;??_);_(@_)"/>
    <numFmt numFmtId="166" formatCode="0.0%"/>
    <numFmt numFmtId="167" formatCode="_(&quot;$&quot;* #,##0_);_(&quot;$&quot;* \(#,##0\);_(&quot;$&quot;* &quot;-&quot;??_);_(@_)"/>
    <numFmt numFmtId="168" formatCode="&quot;$&quot;#,##0"/>
    <numFmt numFmtId="169" formatCode="0&quot;F&quot;"/>
    <numFmt numFmtId="170" formatCode="_([$$-409]* #,##0.00_);_([$$-409]* \(#,##0.00\);_([$$-409]* &quot;-&quot;??_);_(@_)"/>
    <numFmt numFmtId="171" formatCode="#,##0.0"/>
    <numFmt numFmtId="172" formatCode="_([$$-409]* #,##0_);_([$$-409]* \(#,##0\);_([$$-409]* &quot;-&quot;??_);_(@_)"/>
  </numFmts>
  <fonts count="7" x14ac:knownFonts="1">
    <font>
      <sz val="11"/>
      <color theme="1"/>
      <name val="Aptos Narrow"/>
      <family val="2"/>
      <scheme val="minor"/>
    </font>
    <font>
      <sz val="11"/>
      <color theme="1"/>
      <name val="Aptos Narrow"/>
      <family val="2"/>
      <scheme val="minor"/>
    </font>
    <font>
      <sz val="18"/>
      <color theme="3"/>
      <name val="Aptos Display"/>
      <family val="2"/>
      <scheme val="major"/>
    </font>
    <font>
      <b/>
      <sz val="11"/>
      <color theme="1"/>
      <name val="Aptos Narrow"/>
      <family val="2"/>
      <scheme val="minor"/>
    </font>
    <font>
      <i/>
      <sz val="10"/>
      <color theme="1"/>
      <name val="Aptos Narrow"/>
      <family val="2"/>
      <scheme val="minor"/>
    </font>
    <font>
      <sz val="15"/>
      <color theme="3"/>
      <name val="Aptos Display"/>
      <family val="2"/>
      <scheme val="major"/>
    </font>
    <font>
      <sz val="10"/>
      <color theme="1"/>
      <name val="Aptos Narrow"/>
      <family val="2"/>
      <scheme val="minor"/>
    </font>
  </fonts>
  <fills count="6">
    <fill>
      <patternFill patternType="none"/>
    </fill>
    <fill>
      <patternFill patternType="gray125"/>
    </fill>
    <fill>
      <patternFill patternType="solid">
        <fgColor theme="8" tint="0.59999389629810485"/>
        <bgColor indexed="64"/>
      </patternFill>
    </fill>
    <fill>
      <patternFill patternType="solid">
        <fgColor theme="8" tint="0.79998168889431442"/>
        <bgColor indexed="64"/>
      </patternFill>
    </fill>
    <fill>
      <patternFill patternType="solid">
        <fgColor rgb="FF00CC66"/>
        <bgColor indexed="64"/>
      </patternFill>
    </fill>
    <fill>
      <patternFill patternType="solid">
        <fgColor theme="6" tint="0.79998168889431442"/>
        <bgColor indexed="64"/>
      </patternFill>
    </fill>
  </fills>
  <borders count="15">
    <border>
      <left/>
      <right/>
      <top/>
      <bottom/>
      <diagonal/>
    </border>
    <border>
      <left/>
      <right/>
      <top style="thin">
        <color indexed="64"/>
      </top>
      <bottom/>
      <diagonal/>
    </border>
    <border>
      <left/>
      <right/>
      <top/>
      <bottom style="thin">
        <color indexed="64"/>
      </bottom>
      <diagonal/>
    </border>
    <border>
      <left/>
      <right/>
      <top style="thin">
        <color indexed="64"/>
      </top>
      <bottom style="double">
        <color indexed="64"/>
      </bottom>
      <diagonal/>
    </border>
    <border>
      <left/>
      <right/>
      <top style="thin">
        <color indexed="64"/>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style="thin">
        <color indexed="64"/>
      </top>
      <bottom style="double">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top style="thin">
        <color indexed="64"/>
      </top>
      <bottom style="double">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164" fontId="1" fillId="2" borderId="0"/>
    <xf numFmtId="44" fontId="1" fillId="0" borderId="0" applyFont="0" applyFill="0" applyBorder="0" applyAlignment="0" applyProtection="0"/>
    <xf numFmtId="169" fontId="1" fillId="4" borderId="0"/>
  </cellStyleXfs>
  <cellXfs count="64">
    <xf numFmtId="0" fontId="0" fillId="0" borderId="0" xfId="0"/>
    <xf numFmtId="0" fontId="2" fillId="0" borderId="0" xfId="3"/>
    <xf numFmtId="164" fontId="0" fillId="2" borderId="0" xfId="0" applyNumberFormat="1" applyFill="1"/>
    <xf numFmtId="0" fontId="3" fillId="0" borderId="0" xfId="0" applyFont="1"/>
    <xf numFmtId="165" fontId="0" fillId="0" borderId="0" xfId="1" applyNumberFormat="1" applyFont="1"/>
    <xf numFmtId="9" fontId="0" fillId="0" borderId="0" xfId="2" applyFont="1"/>
    <xf numFmtId="164" fontId="1" fillId="2" borderId="0" xfId="4"/>
    <xf numFmtId="0" fontId="4" fillId="0" borderId="0" xfId="0" applyFont="1"/>
    <xf numFmtId="166" fontId="0" fillId="0" borderId="0" xfId="2" applyNumberFormat="1" applyFont="1"/>
    <xf numFmtId="167" fontId="0" fillId="0" borderId="0" xfId="0" applyNumberFormat="1"/>
    <xf numFmtId="10" fontId="0" fillId="0" borderId="0" xfId="2" applyNumberFormat="1" applyFont="1"/>
    <xf numFmtId="1" fontId="0" fillId="0" borderId="0" xfId="0" applyNumberFormat="1"/>
    <xf numFmtId="165" fontId="0" fillId="0" borderId="0" xfId="1" applyNumberFormat="1" applyFont="1" applyFill="1"/>
    <xf numFmtId="165" fontId="0" fillId="3" borderId="0" xfId="1" applyNumberFormat="1" applyFont="1" applyFill="1"/>
    <xf numFmtId="0" fontId="5" fillId="0" borderId="0" xfId="3" applyFont="1"/>
    <xf numFmtId="169" fontId="1" fillId="4" borderId="0" xfId="6"/>
    <xf numFmtId="0" fontId="0" fillId="3" borderId="0" xfId="0" applyFill="1"/>
    <xf numFmtId="167" fontId="0" fillId="3" borderId="0" xfId="5" applyNumberFormat="1" applyFont="1" applyFill="1"/>
    <xf numFmtId="165" fontId="0" fillId="3" borderId="1" xfId="1" applyNumberFormat="1" applyFont="1" applyFill="1" applyBorder="1"/>
    <xf numFmtId="9" fontId="4" fillId="3" borderId="0" xfId="2" applyFont="1" applyFill="1"/>
    <xf numFmtId="165" fontId="0" fillId="3" borderId="2" xfId="1" applyNumberFormat="1" applyFont="1" applyFill="1" applyBorder="1"/>
    <xf numFmtId="167" fontId="0" fillId="3" borderId="3" xfId="5" applyNumberFormat="1" applyFont="1" applyFill="1" applyBorder="1"/>
    <xf numFmtId="165" fontId="0" fillId="3" borderId="4" xfId="1" applyNumberFormat="1" applyFont="1" applyFill="1" applyBorder="1"/>
    <xf numFmtId="165" fontId="0" fillId="3" borderId="3" xfId="1" applyNumberFormat="1" applyFont="1" applyFill="1" applyBorder="1"/>
    <xf numFmtId="168" fontId="0" fillId="3" borderId="3" xfId="1" applyNumberFormat="1" applyFont="1" applyFill="1" applyBorder="1"/>
    <xf numFmtId="164" fontId="1" fillId="2" borderId="5" xfId="4" applyBorder="1"/>
    <xf numFmtId="0" fontId="0" fillId="3" borderId="5" xfId="0" applyFill="1" applyBorder="1"/>
    <xf numFmtId="165" fontId="0" fillId="3" borderId="5" xfId="1" applyNumberFormat="1" applyFont="1" applyFill="1" applyBorder="1"/>
    <xf numFmtId="165" fontId="0" fillId="3" borderId="6" xfId="1" applyNumberFormat="1" applyFont="1" applyFill="1" applyBorder="1"/>
    <xf numFmtId="9" fontId="4" fillId="3" borderId="5" xfId="2" applyFont="1" applyFill="1" applyBorder="1"/>
    <xf numFmtId="165" fontId="0" fillId="3" borderId="7" xfId="1" applyNumberFormat="1" applyFont="1" applyFill="1" applyBorder="1"/>
    <xf numFmtId="167" fontId="0" fillId="3" borderId="8" xfId="5" applyNumberFormat="1" applyFont="1" applyFill="1" applyBorder="1"/>
    <xf numFmtId="167" fontId="0" fillId="3" borderId="5" xfId="5" applyNumberFormat="1" applyFont="1" applyFill="1" applyBorder="1"/>
    <xf numFmtId="165" fontId="0" fillId="3" borderId="9" xfId="1" applyNumberFormat="1" applyFont="1" applyFill="1" applyBorder="1"/>
    <xf numFmtId="165" fontId="0" fillId="3" borderId="8" xfId="1" applyNumberFormat="1" applyFont="1" applyFill="1" applyBorder="1"/>
    <xf numFmtId="168" fontId="0" fillId="3" borderId="8" xfId="1" applyNumberFormat="1" applyFont="1" applyFill="1" applyBorder="1"/>
    <xf numFmtId="0" fontId="0" fillId="5" borderId="0" xfId="0" applyFill="1"/>
    <xf numFmtId="165" fontId="0" fillId="5" borderId="0" xfId="1" applyNumberFormat="1" applyFont="1" applyFill="1"/>
    <xf numFmtId="165" fontId="0" fillId="5" borderId="10" xfId="1" applyNumberFormat="1" applyFont="1" applyFill="1" applyBorder="1"/>
    <xf numFmtId="165" fontId="0" fillId="5" borderId="2" xfId="1" applyNumberFormat="1" applyFont="1" applyFill="1" applyBorder="1"/>
    <xf numFmtId="9" fontId="4" fillId="5" borderId="0" xfId="2" applyFont="1" applyFill="1"/>
    <xf numFmtId="9" fontId="6" fillId="5" borderId="0" xfId="2" applyFont="1" applyFill="1"/>
    <xf numFmtId="169" fontId="1" fillId="4" borderId="11" xfId="6" applyBorder="1"/>
    <xf numFmtId="0" fontId="0" fillId="0" borderId="11" xfId="0" applyBorder="1"/>
    <xf numFmtId="165" fontId="0" fillId="0" borderId="11" xfId="1" applyNumberFormat="1" applyFont="1" applyBorder="1"/>
    <xf numFmtId="166" fontId="0" fillId="0" borderId="11" xfId="2" applyNumberFormat="1" applyFont="1" applyBorder="1"/>
    <xf numFmtId="9" fontId="0" fillId="0" borderId="11" xfId="2" applyFont="1" applyBorder="1"/>
    <xf numFmtId="164" fontId="0" fillId="2" borderId="11" xfId="0" applyNumberFormat="1" applyFill="1" applyBorder="1"/>
    <xf numFmtId="165" fontId="0" fillId="0" borderId="0" xfId="0" applyNumberFormat="1"/>
    <xf numFmtId="165" fontId="0" fillId="5" borderId="12" xfId="1" applyNumberFormat="1" applyFont="1" applyFill="1" applyBorder="1"/>
    <xf numFmtId="165" fontId="0" fillId="5" borderId="3" xfId="1" applyNumberFormat="1" applyFont="1" applyFill="1" applyBorder="1"/>
    <xf numFmtId="165" fontId="0" fillId="5" borderId="13" xfId="1" applyNumberFormat="1" applyFont="1" applyFill="1" applyBorder="1"/>
    <xf numFmtId="165" fontId="0" fillId="5" borderId="4" xfId="1" applyNumberFormat="1" applyFont="1" applyFill="1" applyBorder="1"/>
    <xf numFmtId="165" fontId="0" fillId="5" borderId="14" xfId="1" applyNumberFormat="1" applyFont="1" applyFill="1" applyBorder="1"/>
    <xf numFmtId="165" fontId="0" fillId="5" borderId="1" xfId="1" applyNumberFormat="1" applyFont="1" applyFill="1" applyBorder="1"/>
    <xf numFmtId="170" fontId="0" fillId="0" borderId="0" xfId="0" applyNumberFormat="1"/>
    <xf numFmtId="171" fontId="0" fillId="0" borderId="0" xfId="0" applyNumberFormat="1"/>
    <xf numFmtId="172" fontId="0" fillId="0" borderId="0" xfId="0" applyNumberFormat="1"/>
    <xf numFmtId="165" fontId="0" fillId="0" borderId="0" xfId="1" applyNumberFormat="1" applyFont="1" applyBorder="1"/>
    <xf numFmtId="9" fontId="0" fillId="0" borderId="0" xfId="2" applyFont="1" applyBorder="1"/>
    <xf numFmtId="0" fontId="0" fillId="0" borderId="5" xfId="0" applyBorder="1"/>
    <xf numFmtId="9" fontId="0" fillId="0" borderId="5" xfId="2" applyFont="1" applyBorder="1"/>
    <xf numFmtId="165" fontId="0" fillId="0" borderId="2" xfId="1" applyNumberFormat="1" applyFont="1" applyBorder="1"/>
    <xf numFmtId="9" fontId="0" fillId="0" borderId="2" xfId="2" applyFont="1" applyBorder="1"/>
  </cellXfs>
  <cellStyles count="7">
    <cellStyle name="Comma" xfId="1" builtinId="3"/>
    <cellStyle name="Currency" xfId="5" builtinId="4"/>
    <cellStyle name="Future Date" xfId="6" xr:uid="{DB592BF3-ABFD-4D5B-A819-3D14D471608C}"/>
    <cellStyle name="Historical Date" xfId="4" xr:uid="{FA2C810D-C4A3-461D-A09D-E5DCE3A302B5}"/>
    <cellStyle name="Normal" xfId="0" builtinId="0"/>
    <cellStyle name="Percent" xfId="2" builtinId="5"/>
    <cellStyle name="Title" xfId="3" builtinId="15"/>
  </cellStyles>
  <dxfs count="0"/>
  <tableStyles count="0" defaultTableStyle="TableStyleMedium2" defaultPivotStyle="PivotStyleLight16"/>
  <colors>
    <mruColors>
      <color rgb="FF00CC66"/>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17/06/relationships/rdSupportingPropertyBag" Target="richData/rdsupportingpropertybag.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17/06/relationships/rdSupportingPropertyBagStructure" Target="richData/rdsupportingpropertybagstructure.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ichStyles" Target="richData/richStyles.xml"/><Relationship Id="rId5" Type="http://schemas.openxmlformats.org/officeDocument/2006/relationships/theme" Target="theme/theme1.xml"/><Relationship Id="rId15" Type="http://schemas.openxmlformats.org/officeDocument/2006/relationships/calcChain" Target="calcChain.xml"/><Relationship Id="rId10" Type="http://schemas.microsoft.com/office/2017/06/relationships/rdRichValueStructure" Target="richData/rdrichvaluestructure.xml"/><Relationship Id="rId4" Type="http://schemas.openxmlformats.org/officeDocument/2006/relationships/worksheet" Target="worksheets/sheet4.xml"/><Relationship Id="rId9" Type="http://schemas.microsoft.com/office/2017/06/relationships/rdRichValue" Target="richData/rdrichvalue.xml"/><Relationship Id="rId14" Type="http://schemas.microsoft.com/office/2017/06/relationships/rdRichValueTypes" Target="richData/rdRichValueTypes.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https://www.bing.com/financeapi/forcetrigger?t=a1ptbh&amp;q=XNYS%3aCLF&amp;form=skydnc</v>
    <v>Learn more on Bing</v>
  </rv>
  <rv s="1">
    <v>en-US</v>
    <v>a1ptbh</v>
    <v>268435456</v>
    <v>1</v>
    <v>Powered by Refinitiv</v>
    <v>0</v>
    <v>CLEVELAND-CLIFFS INC. (XNYS:CLF)</v>
    <v>2</v>
    <v>3</v>
    <v>Finance</v>
    <v>4</v>
    <v>16.7</v>
    <v>5.63</v>
    <v>2.0055000000000001</v>
    <v>0.15989999999999999</v>
    <v>1.5676000000000002E-2</v>
    <v>USD</v>
    <v>Cleveland-Cliffs Inc. is a steel producer with a focus on value-added sheet products, particularly for the automotive industry in North America. The Company is vertically integrated from the mining of iron ore, production of pellets and direct reduced iron, and processing of ferrous scrap through primary steelmaking and downstream finishing, stamping, tooling, and tubing. Its offering includes advanced high-strength steel, hot-dipped galvanized, aluminized, galvalume, electrogalvanized, galvanneal, hot-rolled coil (HRC), cold-rolled coil, plate, grain oriented electrical steel (GOES), non-oriented electrical steel (NOES), stainless steels, tool and die, stamped components, and slabs. Its Other Businesses primarily include the Tubular and Tooling and Stamping segments that provide customer solutions with carbon and stainless-steel tubing products, advanced-engineered solutions, tool design and build, hot- and cold-stamped steel components and complex assemblies.</v>
    <v>25000</v>
    <v>New York Stock Exchange</v>
    <v>XNYS</v>
    <v>XNYS</v>
    <v>200 Public Square, Ste. 3300, CLEVELAND, OH, 44114-2315 US</v>
    <v>10.5</v>
    <v>Metals &amp; Mining</v>
    <v>Stock</v>
    <v>46143.792023506248</v>
    <v>0</v>
    <v>10.06</v>
    <v>5909439250</v>
    <v>CLEVELAND-CLIFFS INC.</v>
    <v>CLEVELAND-CLIFFS INC.</v>
    <v>10.14</v>
    <v>10.199999999999999</v>
    <v>10.3599</v>
    <v>570414700</v>
    <v>CLF</v>
    <v>CLEVELAND-CLIFFS INC. (XNYS:CLF)</v>
    <v>11233365</v>
    <v>17435412</v>
    <v>1985</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1</v>
      <v>3</v>
      <v>1</v>
      <v>1</v>
      <v>1</v>
      <v>4</v>
      <v>4</v>
      <v>5</v>
      <v>6</v>
      <v>1</v>
      <v>1</v>
      <v>1</v>
      <v>4</v>
      <v>7</v>
      <v>8</v>
      <v>9</v>
      <v>4</v>
    </spb>
    <spb s="4">
      <v>Real-Time Nasdaq Last Sale</v>
      <v>from previous close</v>
      <v>from previous close</v>
      <v>Source: Nasdaq Last Sale</v>
      <v>GMT</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EB629D-D950-48AC-821D-D41D71067432}">
  <sheetPr codeName="Sheet1">
    <tabColor theme="8" tint="0.59999389629810485"/>
  </sheetPr>
  <dimension ref="A1:P38"/>
  <sheetViews>
    <sheetView workbookViewId="0">
      <selection activeCell="S19" sqref="S19"/>
    </sheetView>
  </sheetViews>
  <sheetFormatPr defaultColWidth="9.140625" defaultRowHeight="15" x14ac:dyDescent="0.25"/>
  <cols>
    <col min="1" max="5" width="2.140625" customWidth="1"/>
    <col min="6" max="6" width="27.7109375" customWidth="1"/>
    <col min="7" max="9" width="9.5703125" style="4" bestFit="1" customWidth="1"/>
    <col min="10" max="16384" width="9.140625" style="4"/>
  </cols>
  <sheetData>
    <row r="1" spans="1:16" customFormat="1" ht="19.5" x14ac:dyDescent="0.3">
      <c r="A1" s="14" t="s">
        <v>0</v>
      </c>
      <c r="G1" s="47" cm="1">
        <f t="array" ref="G1:N1">_xlfn.SEQUENCE(1,8,2021,1)</f>
        <v>2021</v>
      </c>
      <c r="H1" s="2">
        <v>2022</v>
      </c>
      <c r="I1" s="2">
        <v>2023</v>
      </c>
      <c r="J1" s="42">
        <v>2024</v>
      </c>
      <c r="K1" s="15">
        <v>2025</v>
      </c>
      <c r="L1" s="15">
        <v>2026</v>
      </c>
      <c r="M1" s="15">
        <v>2027</v>
      </c>
      <c r="N1" s="15">
        <v>2028</v>
      </c>
      <c r="O1" s="43"/>
    </row>
    <row r="2" spans="1:16" customFormat="1" x14ac:dyDescent="0.25">
      <c r="B2" t="s">
        <v>1</v>
      </c>
      <c r="G2" s="44"/>
      <c r="H2" s="4"/>
      <c r="I2" s="4"/>
      <c r="J2" s="43"/>
      <c r="O2" s="43"/>
    </row>
    <row r="3" spans="1:16" customFormat="1" x14ac:dyDescent="0.25">
      <c r="C3" t="s">
        <v>2</v>
      </c>
      <c r="G3" s="43"/>
      <c r="J3" s="43"/>
      <c r="O3" s="43"/>
    </row>
    <row r="4" spans="1:16" customFormat="1" x14ac:dyDescent="0.25">
      <c r="D4" t="s">
        <v>6</v>
      </c>
      <c r="G4" s="43"/>
      <c r="J4" s="43"/>
      <c r="O4" s="43"/>
    </row>
    <row r="5" spans="1:16" x14ac:dyDescent="0.25">
      <c r="E5" t="s">
        <v>3</v>
      </c>
      <c r="G5" s="44">
        <v>9458</v>
      </c>
      <c r="H5" s="4" cm="1">
        <f t="array" aca="1" ref="H5:I7" ca="1">_xlfn.RANDARRAY(3,2,8200,9600,TRUE)</f>
        <v>9398</v>
      </c>
      <c r="I5" s="4">
        <f ca="1"/>
        <v>8408</v>
      </c>
      <c r="J5" s="44">
        <f ca="1">+I5*(1+J9)</f>
        <v>7938.4745870577735</v>
      </c>
      <c r="K5" s="4">
        <f t="shared" ref="K5:N5" ca="1" si="0">+J5*(1+K9)</f>
        <v>7298.6960071477515</v>
      </c>
      <c r="L5" s="4">
        <f t="shared" ca="1" si="0"/>
        <v>6800.7978345936936</v>
      </c>
      <c r="M5" s="4">
        <f t="shared" ca="1" si="0"/>
        <v>6294.7860180805028</v>
      </c>
      <c r="N5" s="4">
        <f t="shared" ca="1" si="0"/>
        <v>5845.8979426631422</v>
      </c>
      <c r="O5" s="44"/>
    </row>
    <row r="6" spans="1:16" x14ac:dyDescent="0.25">
      <c r="E6" t="s">
        <v>4</v>
      </c>
      <c r="G6" s="44">
        <v>9521</v>
      </c>
      <c r="H6" s="4">
        <f ca="1"/>
        <v>9372</v>
      </c>
      <c r="I6" s="4">
        <f ca="1"/>
        <v>8337</v>
      </c>
      <c r="J6" s="44">
        <f ca="1">+I6*(1+J10)</f>
        <v>7811.4148611412393</v>
      </c>
      <c r="K6" s="4">
        <f t="shared" ref="K6:N7" ca="1" si="1">+J6*(1+K10)</f>
        <v>7133.8612611464077</v>
      </c>
      <c r="L6" s="4">
        <f t="shared" ca="1" si="1"/>
        <v>6599.6014453453281</v>
      </c>
      <c r="M6" s="4">
        <f t="shared" ca="1" si="1"/>
        <v>6066.2559680341246</v>
      </c>
      <c r="N6" s="4">
        <f t="shared" ca="1" si="1"/>
        <v>5593.9812760670839</v>
      </c>
      <c r="O6" s="44"/>
    </row>
    <row r="7" spans="1:16" x14ac:dyDescent="0.25">
      <c r="E7" t="s">
        <v>5</v>
      </c>
      <c r="G7" s="44">
        <v>8914</v>
      </c>
      <c r="H7" s="4">
        <f ca="1"/>
        <v>8775</v>
      </c>
      <c r="I7" s="4">
        <f ca="1"/>
        <v>8788</v>
      </c>
      <c r="J7" s="44">
        <f ca="1">+I7*(1+J11)</f>
        <v>8725.9920168856315</v>
      </c>
      <c r="K7" s="4">
        <f t="shared" ca="1" si="1"/>
        <v>8701.6704867720055</v>
      </c>
      <c r="L7" s="4">
        <f t="shared" ca="1" si="1"/>
        <v>8658.844195073787</v>
      </c>
      <c r="M7" s="4">
        <f t="shared" ca="1" si="1"/>
        <v>8625.4692503934439</v>
      </c>
      <c r="N7" s="4">
        <f t="shared" ca="1" si="1"/>
        <v>8587.6204696275363</v>
      </c>
      <c r="O7" s="44"/>
    </row>
    <row r="8" spans="1:16" x14ac:dyDescent="0.25">
      <c r="D8" t="s">
        <v>110</v>
      </c>
      <c r="G8" s="44"/>
      <c r="J8" s="44"/>
      <c r="O8" s="44"/>
      <c r="P8" s="44"/>
    </row>
    <row r="9" spans="1:16" x14ac:dyDescent="0.25">
      <c r="E9" t="str" cm="1">
        <f t="array" ref="E9:E11">+revenue.lines</f>
        <v>Hybrid Leaf Removal Solutions</v>
      </c>
      <c r="G9" s="44"/>
      <c r="H9" s="8">
        <f ca="1">+H5/G5-1</f>
        <v>-6.343835906111206E-3</v>
      </c>
      <c r="I9" s="8">
        <f ca="1">+I5/H5-1</f>
        <v>-0.10534156203447542</v>
      </c>
      <c r="J9" s="45">
        <f ca="1">AVERAGE(H9:I9)</f>
        <v>-5.5842698970293314E-2</v>
      </c>
      <c r="K9" s="8">
        <f t="shared" ref="K9:N11" ca="1" si="2">AVERAGE(I9:J9)</f>
        <v>-8.0592130502384368E-2</v>
      </c>
      <c r="L9" s="8">
        <f t="shared" ca="1" si="2"/>
        <v>-6.8217414736338841E-2</v>
      </c>
      <c r="M9" s="8">
        <f t="shared" ca="1" si="2"/>
        <v>-7.4404772619361598E-2</v>
      </c>
      <c r="N9" s="8">
        <f t="shared" ca="1" si="2"/>
        <v>-7.1311093677850212E-2</v>
      </c>
      <c r="O9" s="44"/>
    </row>
    <row r="10" spans="1:16" x14ac:dyDescent="0.25">
      <c r="E10" t="str">
        <v>Green Power Solutions</v>
      </c>
      <c r="G10" s="44"/>
      <c r="H10" s="8">
        <f t="shared" ref="H10:I11" ca="1" si="3">+H6/G6-1</f>
        <v>-1.5649616636907893E-2</v>
      </c>
      <c r="I10" s="8">
        <f t="shared" ca="1" si="3"/>
        <v>-0.11043533930857874</v>
      </c>
      <c r="J10" s="45">
        <f t="shared" ref="J10:J11" ca="1" si="4">AVERAGE(H10:I10)</f>
        <v>-6.3042477972743316E-2</v>
      </c>
      <c r="K10" s="8">
        <f t="shared" ca="1" si="2"/>
        <v>-8.6738908640661028E-2</v>
      </c>
      <c r="L10" s="8">
        <f t="shared" ca="1" si="2"/>
        <v>-7.4890693306702172E-2</v>
      </c>
      <c r="M10" s="8">
        <f t="shared" ca="1" si="2"/>
        <v>-8.08148009736816E-2</v>
      </c>
      <c r="N10" s="8">
        <f t="shared" ca="1" si="2"/>
        <v>-7.7852747140191886E-2</v>
      </c>
      <c r="O10" s="44"/>
    </row>
    <row r="11" spans="1:16" x14ac:dyDescent="0.25">
      <c r="E11" t="str">
        <v>Soil Recyclers</v>
      </c>
      <c r="G11" s="44"/>
      <c r="H11" s="8">
        <f ca="1">+H7/G7-1</f>
        <v>-1.5593448507964958E-2</v>
      </c>
      <c r="I11" s="8">
        <f t="shared" ca="1" si="3"/>
        <v>1.481481481481417E-3</v>
      </c>
      <c r="J11" s="45">
        <f t="shared" ca="1" si="4"/>
        <v>-7.0559835132417703E-3</v>
      </c>
      <c r="K11" s="8">
        <f t="shared" ca="1" si="2"/>
        <v>-2.7872510158801767E-3</v>
      </c>
      <c r="L11" s="8">
        <f t="shared" ca="1" si="2"/>
        <v>-4.9216172645609735E-3</v>
      </c>
      <c r="M11" s="8">
        <f t="shared" ca="1" si="2"/>
        <v>-3.8544341402205751E-3</v>
      </c>
      <c r="N11" s="8">
        <f t="shared" ca="1" si="2"/>
        <v>-4.3880257023907743E-3</v>
      </c>
      <c r="O11" s="44"/>
    </row>
    <row r="12" spans="1:16" x14ac:dyDescent="0.25">
      <c r="D12" t="s">
        <v>7</v>
      </c>
      <c r="G12" s="44"/>
      <c r="J12" s="44"/>
      <c r="O12" s="44"/>
    </row>
    <row r="13" spans="1:16" x14ac:dyDescent="0.25">
      <c r="E13" t="str" cm="1">
        <f t="array" ref="E13:E15">revenue.lines</f>
        <v>Hybrid Leaf Removal Solutions</v>
      </c>
      <c r="G13" s="46">
        <v>0.50963048212177076</v>
      </c>
      <c r="H13" s="5" cm="1">
        <f t="array" aca="1" ref="H13:I15" ca="1">_xlfn.RANDARRAY(3,2,0.45,0.55,FALSE)</f>
        <v>0.51307591416679221</v>
      </c>
      <c r="I13" s="5">
        <f ca="1"/>
        <v>0.5238810993949623</v>
      </c>
      <c r="J13" s="45">
        <f ca="1">AVERAGE(G13:I13)</f>
        <v>0.51552916522784176</v>
      </c>
      <c r="K13" s="8">
        <f t="shared" ref="K13:N15" ca="1" si="5">AVERAGE(H13:J13)</f>
        <v>0.51749539292986546</v>
      </c>
      <c r="L13" s="8">
        <f t="shared" ca="1" si="5"/>
        <v>0.51896855251755658</v>
      </c>
      <c r="M13" s="8">
        <f t="shared" ca="1" si="5"/>
        <v>0.51733103689175464</v>
      </c>
      <c r="N13" s="8">
        <f t="shared" ca="1" si="5"/>
        <v>0.51793166077972552</v>
      </c>
      <c r="O13" s="44"/>
    </row>
    <row r="14" spans="1:16" x14ac:dyDescent="0.25">
      <c r="E14" t="str">
        <v>Green Power Solutions</v>
      </c>
      <c r="G14" s="46">
        <v>0.50579575271454846</v>
      </c>
      <c r="H14" s="5">
        <f ca="1"/>
        <v>0.51856071814530391</v>
      </c>
      <c r="I14" s="5">
        <f ca="1"/>
        <v>0.53463587878059649</v>
      </c>
      <c r="J14" s="45">
        <f t="shared" ref="J14:J15" ca="1" si="6">AVERAGE(G14:I14)</f>
        <v>0.51966411654681632</v>
      </c>
      <c r="K14" s="8">
        <f t="shared" ca="1" si="5"/>
        <v>0.52428690449090565</v>
      </c>
      <c r="L14" s="8">
        <f t="shared" ca="1" si="5"/>
        <v>0.52619563327277286</v>
      </c>
      <c r="M14" s="8">
        <f t="shared" ca="1" si="5"/>
        <v>0.52338221810349828</v>
      </c>
      <c r="N14" s="8">
        <f t="shared" ca="1" si="5"/>
        <v>0.52462158528905889</v>
      </c>
      <c r="O14" s="44"/>
    </row>
    <row r="15" spans="1:16" x14ac:dyDescent="0.25">
      <c r="E15" t="str">
        <v>Soil Recyclers</v>
      </c>
      <c r="G15" s="46">
        <v>0.51170598854447602</v>
      </c>
      <c r="H15" s="5">
        <f ca="1"/>
        <v>0.52717111646107295</v>
      </c>
      <c r="I15" s="5">
        <f ca="1"/>
        <v>0.4939015932388845</v>
      </c>
      <c r="J15" s="45">
        <f t="shared" ca="1" si="6"/>
        <v>0.51092623274814442</v>
      </c>
      <c r="K15" s="8">
        <f t="shared" ca="1" si="5"/>
        <v>0.51066631414936736</v>
      </c>
      <c r="L15" s="8">
        <f t="shared" ca="1" si="5"/>
        <v>0.50516471337879876</v>
      </c>
      <c r="M15" s="8">
        <f t="shared" ca="1" si="5"/>
        <v>0.50891908675877018</v>
      </c>
      <c r="N15" s="8">
        <f t="shared" ca="1" si="5"/>
        <v>0.50825003809564551</v>
      </c>
      <c r="O15" s="44"/>
    </row>
    <row r="16" spans="1:16" x14ac:dyDescent="0.25">
      <c r="D16" t="s">
        <v>14</v>
      </c>
      <c r="G16" s="44"/>
      <c r="J16" s="44"/>
      <c r="O16" s="44"/>
    </row>
    <row r="17" spans="2:15" x14ac:dyDescent="0.25">
      <c r="E17" t="s">
        <v>15</v>
      </c>
      <c r="G17" s="45">
        <v>3.8053232383427005E-2</v>
      </c>
      <c r="H17" s="8" cm="1">
        <f t="array" aca="1" ref="H17:I21" ca="1">_xlfn.RANDARRAY(5,2,3.5%,4.5%,FALSE)</f>
        <v>3.6254053344664479E-2</v>
      </c>
      <c r="I17" s="8">
        <f ca="1"/>
        <v>4.3244977291310507E-2</v>
      </c>
      <c r="J17" s="45">
        <f ca="1">AVERAGE(G17:I17)</f>
        <v>3.9184087673133992E-2</v>
      </c>
      <c r="K17" s="8">
        <f t="shared" ref="K17" ca="1" si="7">AVERAGE(H17:J17)</f>
        <v>3.9561039436369662E-2</v>
      </c>
      <c r="L17" s="8">
        <f t="shared" ref="L17" ca="1" si="8">AVERAGE(I17:K17)</f>
        <v>4.0663368133604716E-2</v>
      </c>
      <c r="M17" s="8">
        <f t="shared" ref="M17" ca="1" si="9">AVERAGE(J17:L17)</f>
        <v>3.9802831747702792E-2</v>
      </c>
      <c r="N17" s="8">
        <f t="shared" ref="N17" ca="1" si="10">AVERAGE(K17:M17)</f>
        <v>4.0009079772559054E-2</v>
      </c>
      <c r="O17" s="44"/>
    </row>
    <row r="18" spans="2:15" x14ac:dyDescent="0.25">
      <c r="E18" t="s">
        <v>16</v>
      </c>
      <c r="G18" s="45">
        <v>3.6903987690246602E-2</v>
      </c>
      <c r="H18" s="8">
        <f ca="1"/>
        <v>3.5124122131138885E-2</v>
      </c>
      <c r="I18" s="8">
        <f ca="1"/>
        <v>3.9816033511986676E-2</v>
      </c>
      <c r="J18" s="45">
        <f t="shared" ref="J18:J21" ca="1" si="11">AVERAGE(G18:I18)</f>
        <v>3.7281381111124057E-2</v>
      </c>
      <c r="K18" s="8">
        <f t="shared" ref="K18:K21" ca="1" si="12">AVERAGE(H18:J18)</f>
        <v>3.7407178918083206E-2</v>
      </c>
      <c r="L18" s="8">
        <f t="shared" ref="L18:L21" ca="1" si="13">AVERAGE(I18:K18)</f>
        <v>3.8168197847064649E-2</v>
      </c>
      <c r="M18" s="8">
        <f t="shared" ref="M18:M21" ca="1" si="14">AVERAGE(J18:L18)</f>
        <v>3.7618919292090637E-2</v>
      </c>
      <c r="N18" s="8">
        <f t="shared" ref="N18:N21" ca="1" si="15">AVERAGE(K18:M18)</f>
        <v>3.7731432019079497E-2</v>
      </c>
      <c r="O18" s="44"/>
    </row>
    <row r="19" spans="2:15" x14ac:dyDescent="0.25">
      <c r="E19" t="s">
        <v>18</v>
      </c>
      <c r="G19" s="45">
        <v>3.8454262518554244E-2</v>
      </c>
      <c r="H19" s="8">
        <f ca="1"/>
        <v>3.7453423462534302E-2</v>
      </c>
      <c r="I19" s="8">
        <f ca="1"/>
        <v>4.155355061606162E-2</v>
      </c>
      <c r="J19" s="45">
        <f t="shared" ca="1" si="11"/>
        <v>3.9153745532383384E-2</v>
      </c>
      <c r="K19" s="8">
        <f t="shared" ca="1" si="12"/>
        <v>3.9386906536993095E-2</v>
      </c>
      <c r="L19" s="8">
        <f t="shared" ca="1" si="13"/>
        <v>4.0031400895146035E-2</v>
      </c>
      <c r="M19" s="8">
        <f t="shared" ca="1" si="14"/>
        <v>3.9524017654840836E-2</v>
      </c>
      <c r="N19" s="8">
        <f t="shared" ca="1" si="15"/>
        <v>3.9647441695659986E-2</v>
      </c>
      <c r="O19" s="44"/>
    </row>
    <row r="20" spans="2:15" x14ac:dyDescent="0.25">
      <c r="E20" t="s">
        <v>17</v>
      </c>
      <c r="G20" s="45">
        <v>4.4540393907613933E-2</v>
      </c>
      <c r="H20" s="8">
        <f ca="1"/>
        <v>4.317208889089081E-2</v>
      </c>
      <c r="I20" s="8">
        <f ca="1"/>
        <v>3.5361508206468363E-2</v>
      </c>
      <c r="J20" s="45">
        <f t="shared" ca="1" si="11"/>
        <v>4.1024663668324364E-2</v>
      </c>
      <c r="K20" s="8">
        <f t="shared" ca="1" si="12"/>
        <v>3.9852753588561184E-2</v>
      </c>
      <c r="L20" s="8">
        <f t="shared" ca="1" si="13"/>
        <v>3.8746308487784632E-2</v>
      </c>
      <c r="M20" s="8">
        <f t="shared" ca="1" si="14"/>
        <v>3.9874575248223389E-2</v>
      </c>
      <c r="N20" s="8">
        <f t="shared" ca="1" si="15"/>
        <v>3.9491212441523066E-2</v>
      </c>
      <c r="O20" s="44"/>
    </row>
    <row r="21" spans="2:15" x14ac:dyDescent="0.25">
      <c r="E21" t="s">
        <v>19</v>
      </c>
      <c r="G21" s="45">
        <v>3.7358314010153777E-2</v>
      </c>
      <c r="H21" s="8">
        <f ca="1"/>
        <v>3.9603797065901489E-2</v>
      </c>
      <c r="I21" s="8">
        <f ca="1"/>
        <v>3.5320722425511243E-2</v>
      </c>
      <c r="J21" s="45">
        <f t="shared" ca="1" si="11"/>
        <v>3.7427611167188839E-2</v>
      </c>
      <c r="K21" s="8">
        <f t="shared" ca="1" si="12"/>
        <v>3.7450710219533861E-2</v>
      </c>
      <c r="L21" s="8">
        <f t="shared" ca="1" si="13"/>
        <v>3.6733014604077983E-2</v>
      </c>
      <c r="M21" s="8">
        <f t="shared" ca="1" si="14"/>
        <v>3.720377866360023E-2</v>
      </c>
      <c r="N21" s="8">
        <f t="shared" ca="1" si="15"/>
        <v>3.7129167829070692E-2</v>
      </c>
      <c r="O21" s="44"/>
    </row>
    <row r="22" spans="2:15" x14ac:dyDescent="0.25">
      <c r="E22" t="s">
        <v>20</v>
      </c>
      <c r="G22" s="44">
        <v>1250</v>
      </c>
      <c r="H22" s="4">
        <f t="shared" ref="H22:N23" si="16">+G22</f>
        <v>1250</v>
      </c>
      <c r="I22" s="4">
        <f t="shared" si="16"/>
        <v>1250</v>
      </c>
      <c r="J22" s="44">
        <f t="shared" si="16"/>
        <v>1250</v>
      </c>
      <c r="K22" s="4">
        <f t="shared" si="16"/>
        <v>1250</v>
      </c>
      <c r="L22" s="4">
        <f t="shared" si="16"/>
        <v>1250</v>
      </c>
      <c r="M22" s="4">
        <f t="shared" si="16"/>
        <v>1250</v>
      </c>
      <c r="N22" s="4">
        <f t="shared" si="16"/>
        <v>1250</v>
      </c>
      <c r="O22" s="44"/>
    </row>
    <row r="23" spans="2:15" x14ac:dyDescent="0.25">
      <c r="E23" t="s">
        <v>21</v>
      </c>
      <c r="G23" s="44">
        <v>250</v>
      </c>
      <c r="H23" s="4">
        <f t="shared" si="16"/>
        <v>250</v>
      </c>
      <c r="I23" s="4">
        <f t="shared" si="16"/>
        <v>250</v>
      </c>
      <c r="J23" s="44">
        <f t="shared" si="16"/>
        <v>250</v>
      </c>
      <c r="K23" s="4">
        <f t="shared" si="16"/>
        <v>250</v>
      </c>
      <c r="L23" s="4">
        <f t="shared" si="16"/>
        <v>250</v>
      </c>
      <c r="M23" s="4">
        <f t="shared" si="16"/>
        <v>250</v>
      </c>
      <c r="N23" s="4">
        <f t="shared" si="16"/>
        <v>250</v>
      </c>
      <c r="O23" s="44"/>
    </row>
    <row r="24" spans="2:15" x14ac:dyDescent="0.25">
      <c r="D24" t="s">
        <v>25</v>
      </c>
      <c r="F24" s="60"/>
      <c r="G24" s="59">
        <v>0.21</v>
      </c>
      <c r="H24" s="59">
        <v>0.21</v>
      </c>
      <c r="I24" s="61">
        <v>0.21</v>
      </c>
      <c r="J24" s="59">
        <v>0.21</v>
      </c>
      <c r="K24" s="59">
        <v>0.21</v>
      </c>
      <c r="L24" s="59">
        <v>0.21</v>
      </c>
      <c r="M24" s="59">
        <v>0.21</v>
      </c>
      <c r="N24" s="61">
        <v>0.21</v>
      </c>
      <c r="O24" s="58"/>
    </row>
    <row r="25" spans="2:15" x14ac:dyDescent="0.25">
      <c r="D25" t="s">
        <v>27</v>
      </c>
      <c r="G25" s="44">
        <v>1250</v>
      </c>
      <c r="H25" s="4">
        <f>+G25</f>
        <v>1250</v>
      </c>
      <c r="I25" s="4">
        <f>+H25</f>
        <v>1250</v>
      </c>
      <c r="J25" s="44"/>
      <c r="O25" s="44"/>
    </row>
    <row r="26" spans="2:15" x14ac:dyDescent="0.25">
      <c r="D26" t="s">
        <v>31</v>
      </c>
      <c r="G26" s="44">
        <v>1500</v>
      </c>
      <c r="H26" s="4">
        <v>1750</v>
      </c>
      <c r="I26" s="4">
        <v>2000</v>
      </c>
      <c r="J26" s="44">
        <f>+I26+250</f>
        <v>2250</v>
      </c>
      <c r="K26" s="4">
        <f t="shared" ref="K26:N26" si="17">+J26+250</f>
        <v>2500</v>
      </c>
      <c r="L26" s="4">
        <f t="shared" si="17"/>
        <v>2750</v>
      </c>
      <c r="M26" s="4">
        <f t="shared" si="17"/>
        <v>3000</v>
      </c>
      <c r="N26" s="4">
        <f t="shared" si="17"/>
        <v>3250</v>
      </c>
      <c r="O26" s="44"/>
    </row>
    <row r="27" spans="2:15" x14ac:dyDescent="0.25">
      <c r="D27" t="s">
        <v>83</v>
      </c>
      <c r="G27" s="44">
        <v>500</v>
      </c>
      <c r="H27" s="4">
        <v>500</v>
      </c>
      <c r="I27" s="4">
        <v>500</v>
      </c>
      <c r="J27" s="44">
        <f>+I27</f>
        <v>500</v>
      </c>
      <c r="K27" s="4">
        <f>+J27</f>
        <v>500</v>
      </c>
      <c r="L27" s="4">
        <f t="shared" ref="L27:N27" si="18">+K27</f>
        <v>500</v>
      </c>
      <c r="M27" s="4">
        <f t="shared" si="18"/>
        <v>500</v>
      </c>
      <c r="N27" s="4">
        <f t="shared" si="18"/>
        <v>500</v>
      </c>
      <c r="O27" s="44"/>
    </row>
    <row r="28" spans="2:15" x14ac:dyDescent="0.25">
      <c r="B28" t="s">
        <v>34</v>
      </c>
      <c r="G28" s="44"/>
      <c r="J28" s="44"/>
      <c r="O28" s="44"/>
    </row>
    <row r="29" spans="2:15" x14ac:dyDescent="0.25">
      <c r="C29" t="s">
        <v>40</v>
      </c>
      <c r="G29" s="44"/>
      <c r="J29" s="44"/>
      <c r="O29" s="44"/>
    </row>
    <row r="30" spans="2:15" x14ac:dyDescent="0.25">
      <c r="D30" t="s">
        <v>41</v>
      </c>
      <c r="G30" s="44">
        <v>30</v>
      </c>
      <c r="H30" s="4">
        <f t="shared" ref="H30:I32" si="19">+G30</f>
        <v>30</v>
      </c>
      <c r="I30" s="4">
        <f t="shared" si="19"/>
        <v>30</v>
      </c>
      <c r="J30" s="44">
        <v>30</v>
      </c>
      <c r="K30" s="4">
        <v>30</v>
      </c>
      <c r="L30" s="4">
        <v>30</v>
      </c>
      <c r="M30" s="4">
        <v>30</v>
      </c>
      <c r="N30" s="4">
        <v>30</v>
      </c>
      <c r="O30" s="44"/>
    </row>
    <row r="31" spans="2:15" x14ac:dyDescent="0.25">
      <c r="D31" t="s">
        <v>42</v>
      </c>
      <c r="G31" s="44">
        <v>35</v>
      </c>
      <c r="H31" s="4">
        <f t="shared" si="19"/>
        <v>35</v>
      </c>
      <c r="I31" s="4">
        <f t="shared" si="19"/>
        <v>35</v>
      </c>
      <c r="J31" s="44">
        <v>35</v>
      </c>
      <c r="K31" s="4">
        <v>35</v>
      </c>
      <c r="L31" s="4">
        <v>35</v>
      </c>
      <c r="M31" s="4">
        <v>35</v>
      </c>
      <c r="N31" s="4">
        <v>35</v>
      </c>
      <c r="O31" s="44"/>
    </row>
    <row r="32" spans="2:15" x14ac:dyDescent="0.25">
      <c r="D32" t="s">
        <v>43</v>
      </c>
      <c r="G32" s="46">
        <v>0.03</v>
      </c>
      <c r="H32" s="5">
        <f t="shared" si="19"/>
        <v>0.03</v>
      </c>
      <c r="I32" s="5">
        <f t="shared" si="19"/>
        <v>0.03</v>
      </c>
      <c r="J32" s="46">
        <f t="shared" ref="J32" si="20">+I32</f>
        <v>0.03</v>
      </c>
      <c r="K32" s="5">
        <f t="shared" ref="K32" si="21">+J32</f>
        <v>0.03</v>
      </c>
      <c r="L32" s="5">
        <f t="shared" ref="L32" si="22">+K32</f>
        <v>0.03</v>
      </c>
      <c r="M32" s="5">
        <f t="shared" ref="M32" si="23">+L32</f>
        <v>0.03</v>
      </c>
      <c r="N32" s="5">
        <f t="shared" ref="N32" si="24">+M32</f>
        <v>0.03</v>
      </c>
      <c r="O32" s="44"/>
    </row>
    <row r="33" spans="3:15" x14ac:dyDescent="0.25">
      <c r="D33" t="s">
        <v>46</v>
      </c>
      <c r="G33" s="44">
        <v>25</v>
      </c>
      <c r="H33" s="4">
        <v>25</v>
      </c>
      <c r="I33" s="4">
        <v>25</v>
      </c>
      <c r="J33" s="44">
        <v>25</v>
      </c>
      <c r="K33" s="4">
        <v>25</v>
      </c>
      <c r="L33" s="4">
        <v>25</v>
      </c>
      <c r="M33" s="4">
        <v>25</v>
      </c>
      <c r="N33" s="4">
        <v>25</v>
      </c>
      <c r="O33" s="44"/>
    </row>
    <row r="34" spans="3:15" x14ac:dyDescent="0.25">
      <c r="D34" t="s">
        <v>47</v>
      </c>
      <c r="G34" s="46">
        <v>0.03</v>
      </c>
      <c r="H34" s="5">
        <f>+G34</f>
        <v>0.03</v>
      </c>
      <c r="I34" s="5">
        <f>+H34</f>
        <v>0.03</v>
      </c>
      <c r="J34" s="46">
        <f t="shared" ref="J34:N34" si="25">+I34</f>
        <v>0.03</v>
      </c>
      <c r="K34" s="5">
        <f t="shared" si="25"/>
        <v>0.03</v>
      </c>
      <c r="L34" s="5">
        <f t="shared" si="25"/>
        <v>0.03</v>
      </c>
      <c r="M34" s="5">
        <f t="shared" si="25"/>
        <v>0.03</v>
      </c>
      <c r="N34" s="5">
        <f t="shared" si="25"/>
        <v>0.03</v>
      </c>
      <c r="O34" s="44"/>
    </row>
    <row r="35" spans="3:15" x14ac:dyDescent="0.25">
      <c r="C35" t="s">
        <v>48</v>
      </c>
      <c r="G35" s="44"/>
      <c r="H35" s="4">
        <v>2000</v>
      </c>
      <c r="I35" s="4">
        <v>2000</v>
      </c>
      <c r="J35" s="44">
        <v>2000</v>
      </c>
      <c r="K35" s="4">
        <v>2000</v>
      </c>
      <c r="L35" s="4">
        <v>2000</v>
      </c>
      <c r="M35" s="4">
        <v>2000</v>
      </c>
      <c r="N35" s="4">
        <v>2000</v>
      </c>
      <c r="O35" s="44"/>
    </row>
    <row r="36" spans="3:15" x14ac:dyDescent="0.25">
      <c r="C36" t="s">
        <v>49</v>
      </c>
      <c r="G36" s="44">
        <v>5500</v>
      </c>
      <c r="J36" s="44"/>
      <c r="O36" s="44"/>
    </row>
    <row r="37" spans="3:15" x14ac:dyDescent="0.25">
      <c r="C37" t="s">
        <v>109</v>
      </c>
      <c r="G37" s="44">
        <v>2000</v>
      </c>
      <c r="J37" s="44"/>
      <c r="O37" s="44"/>
    </row>
    <row r="38" spans="3:15" x14ac:dyDescent="0.25">
      <c r="C38" t="s">
        <v>107</v>
      </c>
      <c r="G38" s="44">
        <v>3500</v>
      </c>
      <c r="J38" s="44"/>
      <c r="O38" s="4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DE5A6-3806-4FB8-A9DB-6F7FF3A1DC07}">
  <sheetPr>
    <tabColor theme="4" tint="0.59999389629810485"/>
  </sheetPr>
  <dimension ref="A1:AA115"/>
  <sheetViews>
    <sheetView workbookViewId="0">
      <selection activeCell="J85" sqref="J85"/>
    </sheetView>
  </sheetViews>
  <sheetFormatPr defaultRowHeight="15" x14ac:dyDescent="0.25"/>
  <cols>
    <col min="1" max="5" width="2.140625" customWidth="1"/>
    <col min="6" max="6" width="41.5703125" customWidth="1"/>
    <col min="7" max="9" width="10.5703125" style="4" bestFit="1" customWidth="1"/>
    <col min="10" max="10" width="9.5703125" style="4" bestFit="1" customWidth="1"/>
    <col min="11" max="27" width="9.140625" style="4"/>
  </cols>
  <sheetData>
    <row r="1" spans="1:27" ht="24" x14ac:dyDescent="0.4">
      <c r="A1" s="1" t="str">
        <f>+company.name</f>
        <v>Twin Dragon Performance Ltd</v>
      </c>
      <c r="G1"/>
      <c r="H1"/>
      <c r="I1"/>
      <c r="J1"/>
      <c r="K1"/>
      <c r="L1"/>
      <c r="M1"/>
      <c r="N1"/>
      <c r="O1"/>
      <c r="P1"/>
      <c r="Q1"/>
      <c r="R1"/>
      <c r="S1"/>
      <c r="T1"/>
      <c r="U1"/>
      <c r="V1"/>
      <c r="W1"/>
      <c r="X1"/>
      <c r="Y1"/>
      <c r="Z1"/>
      <c r="AA1"/>
    </row>
    <row r="2" spans="1:27" x14ac:dyDescent="0.25">
      <c r="B2" s="3" t="s">
        <v>8</v>
      </c>
      <c r="G2"/>
      <c r="H2"/>
      <c r="I2"/>
      <c r="J2"/>
      <c r="K2"/>
      <c r="L2"/>
      <c r="M2"/>
      <c r="N2"/>
      <c r="O2"/>
      <c r="P2"/>
      <c r="Q2"/>
      <c r="R2"/>
      <c r="S2"/>
      <c r="T2"/>
      <c r="U2"/>
      <c r="V2"/>
      <c r="W2"/>
      <c r="X2"/>
      <c r="Y2"/>
      <c r="Z2"/>
      <c r="AA2"/>
    </row>
    <row r="3" spans="1:27" x14ac:dyDescent="0.25">
      <c r="C3" s="3" t="s">
        <v>9</v>
      </c>
      <c r="G3" s="6" cm="1">
        <f t="array" ref="G3:I3">+dates.historical</f>
        <v>2021</v>
      </c>
      <c r="H3" s="6">
        <v>2022</v>
      </c>
      <c r="I3" s="25">
        <v>2023</v>
      </c>
      <c r="J3" s="15" cm="1">
        <f t="array" ref="J3:N3">+Dates.Forecast</f>
        <v>2024</v>
      </c>
      <c r="K3" s="15">
        <v>2025</v>
      </c>
      <c r="L3" s="15">
        <v>2026</v>
      </c>
      <c r="M3" s="15">
        <v>2027</v>
      </c>
      <c r="N3" s="15">
        <v>2028</v>
      </c>
      <c r="O3"/>
      <c r="P3"/>
      <c r="Q3"/>
      <c r="R3"/>
      <c r="S3"/>
      <c r="T3"/>
      <c r="U3"/>
      <c r="V3"/>
      <c r="W3"/>
      <c r="X3"/>
      <c r="Y3"/>
      <c r="Z3"/>
      <c r="AA3"/>
    </row>
    <row r="4" spans="1:27" x14ac:dyDescent="0.25">
      <c r="D4" t="s">
        <v>6</v>
      </c>
      <c r="G4" s="16"/>
      <c r="H4" s="16"/>
      <c r="I4" s="26"/>
      <c r="J4" s="36"/>
      <c r="K4" s="36"/>
      <c r="L4" s="36"/>
      <c r="M4" s="36"/>
      <c r="N4" s="36"/>
      <c r="O4"/>
      <c r="P4"/>
      <c r="Q4"/>
      <c r="R4"/>
      <c r="S4"/>
      <c r="T4"/>
      <c r="U4"/>
      <c r="V4"/>
      <c r="W4"/>
      <c r="X4"/>
      <c r="Y4"/>
      <c r="Z4"/>
      <c r="AA4"/>
    </row>
    <row r="5" spans="1:27" x14ac:dyDescent="0.25">
      <c r="E5" t="str" cm="1">
        <f t="array" ref="E5:E7">revenue.lines</f>
        <v>Hybrid Leaf Removal Solutions</v>
      </c>
      <c r="G5" s="17" cm="1">
        <f t="array" aca="1" ref="G5:I7" ca="1">+P.H.Revenues</f>
        <v>9458</v>
      </c>
      <c r="H5" s="17">
        <f ca="1"/>
        <v>9398</v>
      </c>
      <c r="I5" s="27">
        <f ca="1"/>
        <v>8408</v>
      </c>
      <c r="J5" s="37" cm="1">
        <f t="array" aca="1" ref="J5:N7" ca="1">+P.F.Revenues</f>
        <v>7938.4745870577735</v>
      </c>
      <c r="K5" s="37">
        <f ca="1"/>
        <v>7298.6960071477515</v>
      </c>
      <c r="L5" s="37">
        <f ca="1"/>
        <v>6800.7978345936936</v>
      </c>
      <c r="M5" s="37">
        <f ca="1"/>
        <v>6294.7860180805028</v>
      </c>
      <c r="N5" s="37">
        <f ca="1"/>
        <v>5845.8979426631422</v>
      </c>
    </row>
    <row r="6" spans="1:27" x14ac:dyDescent="0.25">
      <c r="E6" t="str">
        <v>Green Power Solutions</v>
      </c>
      <c r="G6" s="13">
        <f ca="1"/>
        <v>9521</v>
      </c>
      <c r="H6" s="13">
        <f ca="1"/>
        <v>9372</v>
      </c>
      <c r="I6" s="27">
        <f ca="1"/>
        <v>8337</v>
      </c>
      <c r="J6" s="37">
        <f ca="1"/>
        <v>7811.4148611412393</v>
      </c>
      <c r="K6" s="37">
        <f ca="1"/>
        <v>7133.8612611464077</v>
      </c>
      <c r="L6" s="37">
        <f ca="1"/>
        <v>6599.6014453453281</v>
      </c>
      <c r="M6" s="37">
        <f ca="1"/>
        <v>6066.2559680341246</v>
      </c>
      <c r="N6" s="37">
        <f ca="1"/>
        <v>5593.9812760670839</v>
      </c>
    </row>
    <row r="7" spans="1:27" x14ac:dyDescent="0.25">
      <c r="E7" t="str">
        <v>Soil Recyclers</v>
      </c>
      <c r="G7" s="13">
        <f ca="1"/>
        <v>8914</v>
      </c>
      <c r="H7" s="13">
        <f ca="1"/>
        <v>8775</v>
      </c>
      <c r="I7" s="27">
        <f ca="1"/>
        <v>8788</v>
      </c>
      <c r="J7" s="38">
        <f ca="1"/>
        <v>8725.9920168856315</v>
      </c>
      <c r="K7" s="39">
        <f ca="1"/>
        <v>8701.6704867720055</v>
      </c>
      <c r="L7" s="39">
        <f ca="1"/>
        <v>8658.844195073787</v>
      </c>
      <c r="M7" s="39">
        <f ca="1"/>
        <v>8625.4692503934439</v>
      </c>
      <c r="N7" s="39">
        <f ca="1"/>
        <v>8587.6204696275363</v>
      </c>
    </row>
    <row r="8" spans="1:27" x14ac:dyDescent="0.25">
      <c r="D8" t="s">
        <v>10</v>
      </c>
      <c r="G8" s="18">
        <f ca="1">SUM(G5:G7)</f>
        <v>27893</v>
      </c>
      <c r="H8" s="18">
        <f ca="1">SUM(H5:H7)</f>
        <v>27545</v>
      </c>
      <c r="I8" s="28">
        <f ca="1">SUM(I5:I7)</f>
        <v>25533</v>
      </c>
      <c r="J8" s="37">
        <f ca="1">SUM(J5:J7)</f>
        <v>24475.881465084647</v>
      </c>
      <c r="K8" s="37">
        <f t="shared" ref="K8:N8" ca="1" si="0">SUM(K5:K7)</f>
        <v>23134.227755066167</v>
      </c>
      <c r="L8" s="37">
        <f t="shared" ca="1" si="0"/>
        <v>22059.243475012809</v>
      </c>
      <c r="M8" s="37">
        <f t="shared" ca="1" si="0"/>
        <v>20986.511236508071</v>
      </c>
      <c r="N8" s="37">
        <f t="shared" ca="1" si="0"/>
        <v>20027.499688357762</v>
      </c>
    </row>
    <row r="9" spans="1:27" x14ac:dyDescent="0.25">
      <c r="G9" s="13"/>
      <c r="H9" s="13"/>
      <c r="I9" s="27"/>
      <c r="J9" s="37"/>
      <c r="K9" s="37"/>
      <c r="L9" s="37"/>
      <c r="M9" s="37"/>
      <c r="N9" s="37"/>
    </row>
    <row r="10" spans="1:27" x14ac:dyDescent="0.25">
      <c r="D10" t="s">
        <v>7</v>
      </c>
      <c r="G10" s="13"/>
      <c r="H10" s="13"/>
      <c r="I10" s="27"/>
      <c r="J10" s="37"/>
      <c r="K10" s="37"/>
      <c r="L10" s="37"/>
      <c r="M10" s="37"/>
      <c r="N10" s="37"/>
    </row>
    <row r="11" spans="1:27" x14ac:dyDescent="0.25">
      <c r="E11" t="str" cm="1">
        <f t="array" ref="E11:E13">+revenue.lines</f>
        <v>Hybrid Leaf Removal Solutions</v>
      </c>
      <c r="G11" s="13" cm="1">
        <f t="array" aca="1" ref="G11:I13" ca="1">+P.H.Revenues*P.H.COGS</f>
        <v>4820.0850999077074</v>
      </c>
      <c r="H11" s="13">
        <f ca="1"/>
        <v>4821.8874413395133</v>
      </c>
      <c r="I11" s="27">
        <f ca="1"/>
        <v>4404.7922837128426</v>
      </c>
      <c r="J11" s="37" cm="1">
        <f t="array" aca="1" ref="J11:N13" ca="1">+P.F.Revenues*P.F.COGS</f>
        <v>4092.5151770483299</v>
      </c>
      <c r="K11" s="37">
        <f ca="1"/>
        <v>3777.041558094566</v>
      </c>
      <c r="L11" s="37">
        <f ca="1"/>
        <v>3529.4002081836225</v>
      </c>
      <c r="M11" s="37">
        <f ca="1"/>
        <v>3256.4881777453061</v>
      </c>
      <c r="N11" s="37">
        <f ca="1"/>
        <v>3027.7756301923018</v>
      </c>
    </row>
    <row r="12" spans="1:27" x14ac:dyDescent="0.25">
      <c r="E12" t="str">
        <v>Green Power Solutions</v>
      </c>
      <c r="G12" s="13">
        <f ca="1"/>
        <v>4815.681361595216</v>
      </c>
      <c r="H12" s="13">
        <f ca="1"/>
        <v>4859.9510504577884</v>
      </c>
      <c r="I12" s="27">
        <f ca="1"/>
        <v>4457.2593213938326</v>
      </c>
      <c r="J12" s="37">
        <f ca="1"/>
        <v>4059.3120027956338</v>
      </c>
      <c r="K12" s="37">
        <f ca="1"/>
        <v>3740.1900376740382</v>
      </c>
      <c r="L12" s="37">
        <f ca="1"/>
        <v>3472.6814618813919</v>
      </c>
      <c r="M12" s="37">
        <f ca="1"/>
        <v>3174.9705041332841</v>
      </c>
      <c r="N12" s="37">
        <f ca="1"/>
        <v>2934.7233251276261</v>
      </c>
    </row>
    <row r="13" spans="1:27" x14ac:dyDescent="0.25">
      <c r="E13" t="str">
        <v>Soil Recyclers</v>
      </c>
      <c r="G13" s="13">
        <f ca="1"/>
        <v>4561.3471818854596</v>
      </c>
      <c r="H13" s="13">
        <f ca="1"/>
        <v>4625.9265469459151</v>
      </c>
      <c r="I13" s="27">
        <f ca="1"/>
        <v>4340.4072013833165</v>
      </c>
      <c r="J13" s="38">
        <f ca="1"/>
        <v>4458.3382281777585</v>
      </c>
      <c r="K13" s="39">
        <f ca="1"/>
        <v>4443.6499944221914</v>
      </c>
      <c r="L13" s="39">
        <f ca="1"/>
        <v>4374.1425459961247</v>
      </c>
      <c r="M13" s="39">
        <f ca="1"/>
        <v>4389.6659337760857</v>
      </c>
      <c r="N13" s="39">
        <f ca="1"/>
        <v>4364.6584308391402</v>
      </c>
    </row>
    <row r="14" spans="1:27" x14ac:dyDescent="0.25">
      <c r="D14" t="s">
        <v>11</v>
      </c>
      <c r="G14" s="18">
        <f t="shared" ref="G14:I14" ca="1" si="1">SUM(G11:G13)</f>
        <v>14197.113643388384</v>
      </c>
      <c r="H14" s="18">
        <f t="shared" ca="1" si="1"/>
        <v>14307.765038743217</v>
      </c>
      <c r="I14" s="28">
        <f t="shared" ca="1" si="1"/>
        <v>13202.458806489991</v>
      </c>
      <c r="J14" s="37">
        <f ca="1">+SUM(J11:J13)</f>
        <v>12610.165408021723</v>
      </c>
      <c r="K14" s="37">
        <f t="shared" ref="K14:N14" ca="1" si="2">+SUM(K11:K13)</f>
        <v>11960.881590190795</v>
      </c>
      <c r="L14" s="37">
        <f t="shared" ca="1" si="2"/>
        <v>11376.224216061139</v>
      </c>
      <c r="M14" s="37">
        <f t="shared" ca="1" si="2"/>
        <v>10821.124615654677</v>
      </c>
      <c r="N14" s="37">
        <f t="shared" ca="1" si="2"/>
        <v>10327.15738615907</v>
      </c>
    </row>
    <row r="15" spans="1:27" x14ac:dyDescent="0.25">
      <c r="G15" s="13"/>
      <c r="H15" s="13"/>
      <c r="I15" s="27"/>
      <c r="J15" s="38"/>
      <c r="K15" s="39"/>
      <c r="L15" s="39"/>
      <c r="M15" s="39"/>
      <c r="N15" s="39"/>
    </row>
    <row r="16" spans="1:27" x14ac:dyDescent="0.25">
      <c r="D16" t="s">
        <v>12</v>
      </c>
      <c r="G16" s="18" cm="1">
        <f t="array" aca="1" ref="G16:I16" ca="1">H.Revenues-H.COGS</f>
        <v>13695.886356611616</v>
      </c>
      <c r="H16" s="18">
        <f ca="1"/>
        <v>13237.234961256783</v>
      </c>
      <c r="I16" s="28">
        <f ca="1"/>
        <v>12330.541193510009</v>
      </c>
      <c r="J16" s="37" cm="1">
        <f t="array" aca="1" ref="J16:N16" ca="1">+F.Revenues-F.COGS</f>
        <v>11865.716057062924</v>
      </c>
      <c r="K16" s="37">
        <f ca="1"/>
        <v>11173.346164875373</v>
      </c>
      <c r="L16" s="37">
        <f ca="1"/>
        <v>10683.01925895167</v>
      </c>
      <c r="M16" s="37">
        <f ca="1"/>
        <v>10165.386620853395</v>
      </c>
      <c r="N16" s="37">
        <f ca="1"/>
        <v>9700.3423021986928</v>
      </c>
    </row>
    <row r="17" spans="4:14" x14ac:dyDescent="0.25">
      <c r="E17" s="7" t="s">
        <v>13</v>
      </c>
      <c r="G17" s="19" cm="1">
        <f t="array" aca="1" ref="G17:I17" ca="1">+H.Gross.Margin/H.Revenues</f>
        <v>0.49101517788017124</v>
      </c>
      <c r="H17" s="19">
        <f ca="1"/>
        <v>0.48056761522079444</v>
      </c>
      <c r="I17" s="29">
        <f ca="1"/>
        <v>0.4829256724047315</v>
      </c>
      <c r="J17" s="40" cm="1">
        <f t="array" aca="1" ref="J17:N17" ca="1">+F.Gross.Margin/F.Revenues</f>
        <v>0.48479218507368627</v>
      </c>
      <c r="K17" s="40">
        <f ca="1"/>
        <v>0.48297899904735397</v>
      </c>
      <c r="L17" s="40">
        <f ca="1"/>
        <v>0.48428765342984942</v>
      </c>
      <c r="M17" s="40">
        <f ca="1"/>
        <v>0.48437715570226453</v>
      </c>
      <c r="N17" s="40">
        <f ca="1"/>
        <v>0.48435113983986849</v>
      </c>
    </row>
    <row r="18" spans="4:14" x14ac:dyDescent="0.25">
      <c r="G18" s="13"/>
      <c r="H18" s="13"/>
      <c r="I18" s="27"/>
      <c r="J18" s="37"/>
      <c r="K18" s="37"/>
      <c r="L18" s="37"/>
      <c r="M18" s="37"/>
      <c r="N18" s="37"/>
    </row>
    <row r="19" spans="4:14" x14ac:dyDescent="0.25">
      <c r="D19" t="s">
        <v>22</v>
      </c>
      <c r="G19" s="13"/>
      <c r="H19" s="13"/>
      <c r="I19" s="27"/>
      <c r="J19" s="37"/>
      <c r="K19" s="37"/>
      <c r="L19" s="37"/>
      <c r="M19" s="37"/>
      <c r="N19" s="37"/>
    </row>
    <row r="20" spans="4:14" x14ac:dyDescent="0.25">
      <c r="E20" t="str" cm="1">
        <f t="array" ref="E20:E26">+PARMS!E17:E23</f>
        <v>Rent</v>
      </c>
      <c r="G20" s="13" cm="1">
        <f t="array" aca="1" ref="G20:I24" ca="1">H.Revenues*P.H.Fixed.Costs</f>
        <v>1061.4188108709295</v>
      </c>
      <c r="H20" s="13">
        <f ca="1"/>
        <v>998.61789937878302</v>
      </c>
      <c r="I20" s="27">
        <f ca="1"/>
        <v>1104.1740051790312</v>
      </c>
      <c r="J20" s="37" cm="1">
        <f t="array" aca="1" ref="J20:N24" ca="1">+F.Revenues*P.F.FixedCosts</f>
        <v>959.06508520511204</v>
      </c>
      <c r="K20" s="37">
        <f ca="1"/>
        <v>915.21409654813021</v>
      </c>
      <c r="L20" s="37">
        <f ca="1"/>
        <v>897.00313817326355</v>
      </c>
      <c r="M20" s="37">
        <f ca="1"/>
        <v>835.32257571800483</v>
      </c>
      <c r="N20" s="37">
        <f ca="1"/>
        <v>801.28183267640736</v>
      </c>
    </row>
    <row r="21" spans="4:14" x14ac:dyDescent="0.25">
      <c r="E21" t="str">
        <v>Phone</v>
      </c>
      <c r="G21" s="13">
        <f ca="1"/>
        <v>1029.3629286440485</v>
      </c>
      <c r="H21" s="13">
        <f ca="1"/>
        <v>967.49394410222055</v>
      </c>
      <c r="I21" s="27">
        <f ca="1"/>
        <v>1016.6227836615558</v>
      </c>
      <c r="J21" s="37">
        <f ca="1"/>
        <v>912.49466493051818</v>
      </c>
      <c r="K21" s="37">
        <f ca="1"/>
        <v>865.38619676544647</v>
      </c>
      <c r="L21" s="37">
        <f ca="1"/>
        <v>841.96156931085875</v>
      </c>
      <c r="M21" s="37">
        <f ca="1"/>
        <v>789.48987242875046</v>
      </c>
      <c r="N21" s="37">
        <f ca="1"/>
        <v>755.66624300340675</v>
      </c>
    </row>
    <row r="22" spans="4:14" x14ac:dyDescent="0.25">
      <c r="E22" t="str">
        <v>Utilities</v>
      </c>
      <c r="G22" s="13">
        <f ca="1"/>
        <v>1072.6047444300336</v>
      </c>
      <c r="H22" s="13">
        <f ca="1"/>
        <v>1031.6545492755074</v>
      </c>
      <c r="I22" s="27">
        <f ca="1"/>
        <v>1060.9868078799013</v>
      </c>
      <c r="J22" s="37">
        <f ca="1"/>
        <v>958.32243456470326</v>
      </c>
      <c r="K22" s="37">
        <f ca="1"/>
        <v>911.18566639430276</v>
      </c>
      <c r="L22" s="37">
        <f ca="1"/>
        <v>883.06241899187205</v>
      </c>
      <c r="M22" s="37">
        <f ca="1"/>
        <v>829.47124062526063</v>
      </c>
      <c r="N22" s="37">
        <f ca="1"/>
        <v>794.03912620401297</v>
      </c>
    </row>
    <row r="23" spans="4:14" x14ac:dyDescent="0.25">
      <c r="E23" t="str">
        <v>Salaries</v>
      </c>
      <c r="G23" s="13">
        <f ca="1"/>
        <v>1242.3652072650755</v>
      </c>
      <c r="H23" s="13">
        <f ca="1"/>
        <v>1189.1751884995874</v>
      </c>
      <c r="I23" s="27">
        <f ca="1"/>
        <v>902.8853890357567</v>
      </c>
      <c r="J23" s="37">
        <f ca="1"/>
        <v>1004.1148050908719</v>
      </c>
      <c r="K23" s="37">
        <f ca="1"/>
        <v>921.96267818430499</v>
      </c>
      <c r="L23" s="37">
        <f ca="1"/>
        <v>854.71425268999656</v>
      </c>
      <c r="M23" s="37">
        <f ca="1"/>
        <v>836.8282214978268</v>
      </c>
      <c r="N23" s="37">
        <f ca="1"/>
        <v>790.91024486547337</v>
      </c>
    </row>
    <row r="24" spans="4:14" x14ac:dyDescent="0.25">
      <c r="E24" t="str">
        <v>Insurance</v>
      </c>
      <c r="G24" s="13">
        <f ca="1"/>
        <v>1042.0354526852193</v>
      </c>
      <c r="H24" s="13">
        <f ca="1"/>
        <v>1090.8865901802565</v>
      </c>
      <c r="I24" s="27">
        <f ca="1"/>
        <v>901.84400569057857</v>
      </c>
      <c r="J24" s="37">
        <f ca="1"/>
        <v>916.07377444939243</v>
      </c>
      <c r="K24" s="37">
        <f ca="1"/>
        <v>866.39325980768047</v>
      </c>
      <c r="L24" s="37">
        <f ca="1"/>
        <v>810.30251272255748</v>
      </c>
      <c r="M24" s="37">
        <f ca="1"/>
        <v>780.77751896420546</v>
      </c>
      <c r="N24" s="37">
        <f ca="1"/>
        <v>743.60439712569632</v>
      </c>
    </row>
    <row r="25" spans="4:14" x14ac:dyDescent="0.25">
      <c r="E25" t="str">
        <v>Depreciation Expense</v>
      </c>
      <c r="G25" s="13" cm="1">
        <f t="array" ref="G25:I25">+P.H.Depr.Expense</f>
        <v>1250</v>
      </c>
      <c r="H25" s="13">
        <v>1250</v>
      </c>
      <c r="I25" s="27">
        <v>1250</v>
      </c>
      <c r="J25" s="37" cm="1">
        <f t="array" ref="J25:N25">+P.F.DepreciationExpense</f>
        <v>1250</v>
      </c>
      <c r="K25" s="37">
        <v>1250</v>
      </c>
      <c r="L25" s="37">
        <v>1250</v>
      </c>
      <c r="M25" s="37">
        <v>1250</v>
      </c>
      <c r="N25" s="37">
        <v>1250</v>
      </c>
    </row>
    <row r="26" spans="4:14" x14ac:dyDescent="0.25">
      <c r="E26" t="str">
        <v>Amortization Expense</v>
      </c>
      <c r="G26" s="13" cm="1">
        <f t="array" ref="G26:I26">P.H.Amort.Expense</f>
        <v>250</v>
      </c>
      <c r="H26" s="13">
        <v>250</v>
      </c>
      <c r="I26" s="27">
        <v>250</v>
      </c>
      <c r="J26" s="38" cm="1">
        <f t="array" ref="J26:N26">+P.F.AmortizationExpense</f>
        <v>250</v>
      </c>
      <c r="K26" s="39">
        <v>250</v>
      </c>
      <c r="L26" s="39">
        <v>250</v>
      </c>
      <c r="M26" s="39">
        <v>250</v>
      </c>
      <c r="N26" s="39">
        <v>250</v>
      </c>
    </row>
    <row r="27" spans="4:14" x14ac:dyDescent="0.25">
      <c r="D27" t="s">
        <v>23</v>
      </c>
      <c r="G27" s="18">
        <f ca="1">SUM(G20:G26)</f>
        <v>6947.7871438953061</v>
      </c>
      <c r="H27" s="18">
        <f ca="1">SUM(H20:H26)</f>
        <v>6777.8281714363548</v>
      </c>
      <c r="I27" s="28">
        <f ca="1">SUM(I20:I26)</f>
        <v>6486.5129914468234</v>
      </c>
      <c r="J27" s="37">
        <f ca="1">SUM(J20:J26)</f>
        <v>6250.0707642405978</v>
      </c>
      <c r="K27" s="37">
        <f t="shared" ref="K27:N27" ca="1" si="3">SUM(K20:K26)</f>
        <v>5980.1418976998648</v>
      </c>
      <c r="L27" s="37">
        <f t="shared" ca="1" si="3"/>
        <v>5787.0438918885484</v>
      </c>
      <c r="M27" s="37">
        <f t="shared" ca="1" si="3"/>
        <v>5571.8894292340483</v>
      </c>
      <c r="N27" s="37">
        <f t="shared" ca="1" si="3"/>
        <v>5385.5018438749967</v>
      </c>
    </row>
    <row r="28" spans="4:14" x14ac:dyDescent="0.25">
      <c r="G28" s="20"/>
      <c r="H28" s="20"/>
      <c r="I28" s="30"/>
      <c r="J28" s="39"/>
      <c r="K28" s="39"/>
      <c r="L28" s="39"/>
      <c r="M28" s="39"/>
      <c r="N28" s="39"/>
    </row>
    <row r="29" spans="4:14" x14ac:dyDescent="0.25">
      <c r="D29" t="s">
        <v>24</v>
      </c>
      <c r="G29" s="13" cm="1">
        <f t="array" aca="1" ref="G29:I29" ca="1">H.Gross.Margin-H.SGA</f>
        <v>6748.0992127163099</v>
      </c>
      <c r="H29" s="13">
        <f ca="1"/>
        <v>6459.4067898204285</v>
      </c>
      <c r="I29" s="27">
        <f ca="1"/>
        <v>5844.0282020631857</v>
      </c>
      <c r="J29" s="37" cm="1">
        <f t="array" aca="1" ref="J29:N29" ca="1">+F.Gross.Margin-F.SGA</f>
        <v>5615.6452928223262</v>
      </c>
      <c r="K29" s="37">
        <f ca="1"/>
        <v>5193.204267175508</v>
      </c>
      <c r="L29" s="37">
        <f ca="1"/>
        <v>4895.9753670631217</v>
      </c>
      <c r="M29" s="37">
        <f ca="1"/>
        <v>4593.4971916193463</v>
      </c>
      <c r="N29" s="37">
        <f ca="1"/>
        <v>4314.8404583236961</v>
      </c>
    </row>
    <row r="30" spans="4:14" x14ac:dyDescent="0.25">
      <c r="E30" s="7" t="s">
        <v>13</v>
      </c>
      <c r="G30" s="19" cm="1">
        <f t="array" aca="1" ref="G30:I30" ca="1">+H.EBIT/H.Revenues</f>
        <v>0.24192805408942422</v>
      </c>
      <c r="H30" s="19">
        <f ca="1"/>
        <v>0.23450378616156939</v>
      </c>
      <c r="I30" s="29">
        <f ca="1"/>
        <v>0.2288813771222804</v>
      </c>
      <c r="J30" s="41" cm="1">
        <f t="array" aca="1" ref="J30:N30" ca="1">+F.EBIT/F.Revenues</f>
        <v>0.22943587551006736</v>
      </c>
      <c r="K30" s="41">
        <f ca="1"/>
        <v>0.22448141870818436</v>
      </c>
      <c r="L30" s="41">
        <f ca="1"/>
        <v>0.22194665798983293</v>
      </c>
      <c r="M30" s="41">
        <f ca="1"/>
        <v>0.21887855203053055</v>
      </c>
      <c r="N30" s="41">
        <f ca="1"/>
        <v>0.21544578831435296</v>
      </c>
    </row>
    <row r="31" spans="4:14" x14ac:dyDescent="0.25">
      <c r="G31" s="13"/>
      <c r="H31" s="13"/>
      <c r="I31" s="27"/>
      <c r="J31" s="37"/>
      <c r="K31" s="37"/>
      <c r="L31" s="37"/>
      <c r="M31" s="37"/>
      <c r="N31" s="37"/>
    </row>
    <row r="32" spans="4:14" x14ac:dyDescent="0.25">
      <c r="D32" t="s">
        <v>26</v>
      </c>
      <c r="G32" s="20" cm="1">
        <f t="array" ref="G32:I32">+D.H.Interest.Expense</f>
        <v>371.25</v>
      </c>
      <c r="H32" s="20">
        <v>355</v>
      </c>
      <c r="I32" s="30">
        <v>238.125</v>
      </c>
      <c r="J32" s="38" cm="1">
        <f t="array" ref="J32:N32">+D.F.Interest.Expense</f>
        <v>221.875</v>
      </c>
      <c r="K32" s="39">
        <v>205.625</v>
      </c>
      <c r="L32" s="39">
        <v>189.375</v>
      </c>
      <c r="M32" s="39">
        <v>173.125</v>
      </c>
      <c r="N32" s="39">
        <v>156.875</v>
      </c>
    </row>
    <row r="33" spans="2:14" x14ac:dyDescent="0.25">
      <c r="G33" s="13"/>
      <c r="H33" s="13"/>
      <c r="I33" s="27"/>
      <c r="J33" s="37"/>
      <c r="K33" s="37"/>
      <c r="L33" s="37"/>
      <c r="M33" s="37"/>
      <c r="N33" s="37"/>
    </row>
    <row r="34" spans="2:14" x14ac:dyDescent="0.25">
      <c r="D34" t="s">
        <v>28</v>
      </c>
      <c r="G34" s="13" cm="1">
        <f t="array" aca="1" ref="G34:I34" ca="1">+H.EBIT-_xlfn.ANCHORARRAY(G32)</f>
        <v>6376.8492127163099</v>
      </c>
      <c r="H34" s="13">
        <f ca="1"/>
        <v>6104.4067898204285</v>
      </c>
      <c r="I34" s="27">
        <f ca="1"/>
        <v>5605.9032020631857</v>
      </c>
      <c r="J34" s="37" cm="1">
        <f t="array" aca="1" ref="J34:N34" ca="1">+F.EBIT-_xlfn.ANCHORARRAY(J32)</f>
        <v>5393.7702928223262</v>
      </c>
      <c r="K34" s="37">
        <f ca="1"/>
        <v>4987.579267175508</v>
      </c>
      <c r="L34" s="37">
        <f ca="1"/>
        <v>4706.6003670631217</v>
      </c>
      <c r="M34" s="37">
        <f ca="1"/>
        <v>4420.3721916193463</v>
      </c>
      <c r="N34" s="37">
        <f ca="1"/>
        <v>4157.9654583236961</v>
      </c>
    </row>
    <row r="35" spans="2:14" x14ac:dyDescent="0.25">
      <c r="G35" s="13"/>
      <c r="H35" s="13"/>
      <c r="I35" s="27"/>
      <c r="J35" s="37"/>
      <c r="K35" s="37"/>
      <c r="L35" s="37"/>
      <c r="M35" s="37"/>
      <c r="N35" s="37"/>
    </row>
    <row r="36" spans="2:14" x14ac:dyDescent="0.25">
      <c r="D36" t="s">
        <v>29</v>
      </c>
      <c r="G36" s="20" cm="1">
        <f t="array" aca="1" ref="G36:I36" ca="1">H.EBT*tax.rate</f>
        <v>1339.1383346704251</v>
      </c>
      <c r="H36" s="20">
        <f ca="1"/>
        <v>1281.92542586229</v>
      </c>
      <c r="I36" s="30">
        <f ca="1"/>
        <v>1177.2396724332689</v>
      </c>
      <c r="J36" s="38" cm="1">
        <f t="array" aca="1" ref="J36:N36" ca="1">_xlfn.ANCHORARRAY(J34)*Tax.Rate2</f>
        <v>1132.6917614926886</v>
      </c>
      <c r="K36" s="39">
        <f ca="1"/>
        <v>1047.3916461068566</v>
      </c>
      <c r="L36" s="39">
        <f ca="1"/>
        <v>988.38607708325549</v>
      </c>
      <c r="M36" s="39">
        <f ca="1"/>
        <v>928.27816024006268</v>
      </c>
      <c r="N36" s="39">
        <f ca="1"/>
        <v>873.17274624797619</v>
      </c>
    </row>
    <row r="37" spans="2:14" x14ac:dyDescent="0.25">
      <c r="G37" s="13"/>
      <c r="H37" s="13"/>
      <c r="I37" s="27"/>
      <c r="J37" s="37"/>
      <c r="K37" s="37"/>
      <c r="L37" s="37"/>
      <c r="M37" s="37"/>
      <c r="N37" s="37"/>
    </row>
    <row r="38" spans="2:14" ht="15.75" thickBot="1" x14ac:dyDescent="0.3">
      <c r="D38" t="s">
        <v>30</v>
      </c>
      <c r="G38" s="21" cm="1">
        <f t="array" aca="1" ref="G38:I38" ca="1">H.EBT-_xlfn.ANCHORARRAY(G36)</f>
        <v>5037.7108780458848</v>
      </c>
      <c r="H38" s="21">
        <f ca="1"/>
        <v>4822.4813639581389</v>
      </c>
      <c r="I38" s="31">
        <f ca="1"/>
        <v>4428.6635296299173</v>
      </c>
      <c r="J38" s="49" cm="1">
        <f t="array" aca="1" ref="J38:N38" ca="1">_xlfn.ANCHORARRAY(J34)-_xlfn.ANCHORARRAY(J36)</f>
        <v>4261.0785313296374</v>
      </c>
      <c r="K38" s="50">
        <f ca="1"/>
        <v>3940.1876210686514</v>
      </c>
      <c r="L38" s="50">
        <f ca="1"/>
        <v>3718.2142899798664</v>
      </c>
      <c r="M38" s="50">
        <f ca="1"/>
        <v>3492.0940313792835</v>
      </c>
      <c r="N38" s="50">
        <f ca="1"/>
        <v>3284.7927120757199</v>
      </c>
    </row>
    <row r="39" spans="2:14" ht="15.75" thickTop="1" x14ac:dyDescent="0.25">
      <c r="G39" s="13"/>
      <c r="H39" s="13"/>
      <c r="I39" s="27"/>
      <c r="J39" s="37"/>
      <c r="K39" s="37"/>
      <c r="L39" s="37"/>
      <c r="M39" s="37"/>
      <c r="N39" s="37"/>
    </row>
    <row r="40" spans="2:14" x14ac:dyDescent="0.25">
      <c r="D40" t="s">
        <v>32</v>
      </c>
      <c r="G40" s="13" cm="1">
        <f t="array" ref="G40:I40">-P.H.Dividend</f>
        <v>-1500</v>
      </c>
      <c r="H40" s="13">
        <v>-1750</v>
      </c>
      <c r="I40" s="27">
        <v>-2000</v>
      </c>
      <c r="J40" s="37" cm="1">
        <f t="array" ref="J40:N40">-P.F.Dividends</f>
        <v>-2250</v>
      </c>
      <c r="K40" s="37">
        <v>-2500</v>
      </c>
      <c r="L40" s="37">
        <v>-2750</v>
      </c>
      <c r="M40" s="37">
        <v>-3000</v>
      </c>
      <c r="N40" s="37">
        <v>-3250</v>
      </c>
    </row>
    <row r="41" spans="2:14" x14ac:dyDescent="0.25">
      <c r="D41" t="s">
        <v>33</v>
      </c>
      <c r="G41" s="13" cm="1">
        <f t="array" aca="1" ref="G41:I41" ca="1">+_xlfn.ANCHORARRAY(G40)+_xlfn.ANCHORARRAY(G38)</f>
        <v>3537.7108780458848</v>
      </c>
      <c r="H41" s="13">
        <f ca="1"/>
        <v>3072.4813639581389</v>
      </c>
      <c r="I41" s="27">
        <f ca="1"/>
        <v>2428.6635296299173</v>
      </c>
      <c r="J41" s="37" cm="1">
        <f t="array" aca="1" ref="J41:N41" ca="1">_xlfn.ANCHORARRAY(J38)+_xlfn.ANCHORARRAY(J40)</f>
        <v>2011.0785313296374</v>
      </c>
      <c r="K41" s="37">
        <f ca="1"/>
        <v>1440.1876210686514</v>
      </c>
      <c r="L41" s="37">
        <f ca="1"/>
        <v>968.21428997986641</v>
      </c>
      <c r="M41" s="37">
        <f ca="1"/>
        <v>492.09403137928348</v>
      </c>
      <c r="N41" s="37">
        <f ca="1"/>
        <v>34.792712075719919</v>
      </c>
    </row>
    <row r="42" spans="2:14" x14ac:dyDescent="0.25">
      <c r="G42" s="13"/>
      <c r="H42" s="13"/>
      <c r="I42" s="27"/>
      <c r="J42" s="37"/>
      <c r="K42" s="37"/>
      <c r="L42" s="37"/>
      <c r="M42" s="37"/>
      <c r="N42" s="37"/>
    </row>
    <row r="43" spans="2:14" x14ac:dyDescent="0.25">
      <c r="G43" s="13"/>
      <c r="H43" s="13"/>
      <c r="I43" s="27"/>
      <c r="J43" s="37"/>
      <c r="K43" s="37"/>
      <c r="L43" s="37"/>
      <c r="M43" s="37"/>
      <c r="N43" s="37"/>
    </row>
    <row r="44" spans="2:14" x14ac:dyDescent="0.25">
      <c r="B44" s="3" t="s">
        <v>34</v>
      </c>
      <c r="G44" s="6" cm="1">
        <f t="array" ref="G44:I44">dates.historical</f>
        <v>2021</v>
      </c>
      <c r="H44" s="6">
        <v>2022</v>
      </c>
      <c r="I44" s="25">
        <v>2023</v>
      </c>
      <c r="J44" s="15" cm="1">
        <f t="array" ref="J44:N44">+Dates.Forecast</f>
        <v>2024</v>
      </c>
      <c r="K44" s="15">
        <v>2025</v>
      </c>
      <c r="L44" s="15">
        <v>2026</v>
      </c>
      <c r="M44" s="15">
        <v>2027</v>
      </c>
      <c r="N44" s="15">
        <v>2028</v>
      </c>
    </row>
    <row r="45" spans="2:14" x14ac:dyDescent="0.25">
      <c r="C45" t="s">
        <v>35</v>
      </c>
      <c r="G45" s="13"/>
      <c r="H45" s="13"/>
      <c r="I45" s="27"/>
      <c r="J45" s="37"/>
      <c r="K45" s="37"/>
      <c r="L45" s="37"/>
      <c r="M45" s="37"/>
      <c r="N45" s="37"/>
    </row>
    <row r="46" spans="2:14" x14ac:dyDescent="0.25">
      <c r="D46" t="s">
        <v>44</v>
      </c>
      <c r="G46" s="17"/>
      <c r="H46" s="17"/>
      <c r="I46" s="32"/>
      <c r="J46" s="37"/>
      <c r="K46" s="37"/>
      <c r="L46" s="37"/>
      <c r="M46" s="37"/>
      <c r="N46" s="37"/>
    </row>
    <row r="47" spans="2:14" x14ac:dyDescent="0.25">
      <c r="E47" t="s">
        <v>36</v>
      </c>
      <c r="G47" s="13" cm="1">
        <f t="array" aca="1" ref="G47:I47" ca="1">H.Cash</f>
        <v>3500</v>
      </c>
      <c r="H47" s="13">
        <f ca="1"/>
        <v>3500</v>
      </c>
      <c r="I47" s="27">
        <f ca="1"/>
        <v>3124.315755171101</v>
      </c>
      <c r="J47" s="37" cm="1">
        <f t="array" aca="1" ref="J47:N47" ca="1">+F.Cash</f>
        <v>3988.5079578216782</v>
      </c>
      <c r="K47" s="37">
        <f ca="1"/>
        <v>4306.7570843118747</v>
      </c>
      <c r="L47" s="37">
        <f ca="1"/>
        <v>4129.3442568750206</v>
      </c>
      <c r="M47" s="37">
        <f ca="1"/>
        <v>3474.8162695124047</v>
      </c>
      <c r="N47" s="37">
        <f ca="1"/>
        <v>2351.9651973126865</v>
      </c>
    </row>
    <row r="48" spans="2:14" x14ac:dyDescent="0.25">
      <c r="E48" t="s">
        <v>38</v>
      </c>
      <c r="G48" s="13" cm="1">
        <f t="array" aca="1" ref="G48:I48" ca="1">H.Revenues*(P.H.AR.Days/365)</f>
        <v>2292.5753424657532</v>
      </c>
      <c r="H48" s="13">
        <f ca="1"/>
        <v>2263.972602739726</v>
      </c>
      <c r="I48" s="27">
        <f ca="1"/>
        <v>2098.6027397260273</v>
      </c>
      <c r="J48" s="37" cm="1">
        <f t="array" aca="1" ref="J48:N48" ca="1">F.Revenues*(P.F.Accounts.Receivable/365)</f>
        <v>2011.7162848014777</v>
      </c>
      <c r="K48" s="37">
        <f ca="1"/>
        <v>1901.4433771287261</v>
      </c>
      <c r="L48" s="37">
        <f ca="1"/>
        <v>1813.0885047955733</v>
      </c>
      <c r="M48" s="37">
        <f ca="1"/>
        <v>1724.9187317677865</v>
      </c>
      <c r="N48" s="37">
        <f ca="1"/>
        <v>1646.0958647965283</v>
      </c>
    </row>
    <row r="49" spans="3:14" x14ac:dyDescent="0.25">
      <c r="E49" t="s">
        <v>37</v>
      </c>
      <c r="G49" s="13" cm="1">
        <f t="array" aca="1" ref="G49:I49" ca="1">H.COGS*(P.H.Inventory.Days/365)</f>
        <v>1361.3670616947766</v>
      </c>
      <c r="H49" s="13">
        <f ca="1"/>
        <v>1371.9774694685275</v>
      </c>
      <c r="I49" s="27">
        <f ca="1"/>
        <v>1265.9892006223279</v>
      </c>
      <c r="J49" s="37" cm="1">
        <f t="array" aca="1" ref="J49:N49" ca="1">F.COGS*(P.F.Inventory.Days/365)</f>
        <v>1209.1939432349598</v>
      </c>
      <c r="K49" s="37">
        <f ca="1"/>
        <v>1146.9338511141857</v>
      </c>
      <c r="L49" s="37">
        <f ca="1"/>
        <v>1090.8708152387392</v>
      </c>
      <c r="M49" s="37">
        <f ca="1"/>
        <v>1037.6420864326401</v>
      </c>
      <c r="N49" s="37">
        <f ca="1"/>
        <v>990.27536579607511</v>
      </c>
    </row>
    <row r="50" spans="3:14" x14ac:dyDescent="0.25">
      <c r="E50" t="s">
        <v>39</v>
      </c>
      <c r="G50" s="13" cm="1">
        <f t="array" aca="1" ref="G50:I50" ca="1">P.H.Prepaids*H.Revenues</f>
        <v>836.79</v>
      </c>
      <c r="H50" s="13">
        <f ca="1"/>
        <v>826.35</v>
      </c>
      <c r="I50" s="27">
        <f ca="1"/>
        <v>765.99</v>
      </c>
      <c r="J50" s="38" cm="1">
        <f t="array" aca="1" ref="J50:N50" ca="1">P.F.Prepaids*F.Revenues</f>
        <v>734.27644395253935</v>
      </c>
      <c r="K50" s="39">
        <f ca="1"/>
        <v>694.02683265198505</v>
      </c>
      <c r="L50" s="39">
        <f ca="1"/>
        <v>661.77730425038419</v>
      </c>
      <c r="M50" s="39">
        <f ca="1"/>
        <v>629.59533709524214</v>
      </c>
      <c r="N50" s="39">
        <f ca="1"/>
        <v>600.82499065073284</v>
      </c>
    </row>
    <row r="51" spans="3:14" x14ac:dyDescent="0.25">
      <c r="D51" t="s">
        <v>45</v>
      </c>
      <c r="G51" s="18">
        <f ca="1">SUM(G46:G50)</f>
        <v>7990.7324041605298</v>
      </c>
      <c r="H51" s="18">
        <f ca="1">SUM(H46:H50)</f>
        <v>7962.3000722082543</v>
      </c>
      <c r="I51" s="28">
        <f ca="1">SUM(I46:I50)</f>
        <v>7254.8976955194566</v>
      </c>
      <c r="J51" s="37">
        <f ca="1">SUM(J47:J50)</f>
        <v>7943.694629810655</v>
      </c>
      <c r="K51" s="37">
        <f t="shared" ref="K51:N51" ca="1" si="4">SUM(K47:K50)</f>
        <v>8049.1611452067718</v>
      </c>
      <c r="L51" s="37">
        <f t="shared" ca="1" si="4"/>
        <v>7695.0808811597171</v>
      </c>
      <c r="M51" s="37">
        <f t="shared" ca="1" si="4"/>
        <v>6866.9724248080729</v>
      </c>
      <c r="N51" s="37">
        <f t="shared" ca="1" si="4"/>
        <v>5589.161418556022</v>
      </c>
    </row>
    <row r="52" spans="3:14" x14ac:dyDescent="0.25">
      <c r="G52" s="13"/>
      <c r="H52" s="13"/>
      <c r="I52" s="27"/>
      <c r="J52" s="37"/>
      <c r="K52" s="37"/>
      <c r="L52" s="37"/>
      <c r="M52" s="37"/>
      <c r="N52" s="37"/>
    </row>
    <row r="53" spans="3:14" x14ac:dyDescent="0.25">
      <c r="D53" t="s">
        <v>50</v>
      </c>
      <c r="G53" s="13"/>
      <c r="H53" s="13"/>
      <c r="I53" s="27"/>
      <c r="J53" s="37"/>
      <c r="K53" s="37"/>
      <c r="L53" s="37"/>
      <c r="M53" s="37"/>
      <c r="N53" s="37"/>
    </row>
    <row r="54" spans="3:14" x14ac:dyDescent="0.25">
      <c r="E54" t="s">
        <v>51</v>
      </c>
      <c r="G54" s="13">
        <f>PARMS!G36</f>
        <v>5500</v>
      </c>
      <c r="H54" s="13">
        <f>+PARMS!H35+'Financial Statements'!G54</f>
        <v>7500</v>
      </c>
      <c r="I54" s="27">
        <f>+H54+PARMS!I35</f>
        <v>9500</v>
      </c>
      <c r="J54" s="37">
        <f>+I54+PARMS!J35</f>
        <v>11500</v>
      </c>
      <c r="K54" s="37">
        <f>+J54+PARMS!K35</f>
        <v>13500</v>
      </c>
      <c r="L54" s="37">
        <f>+K54+PARMS!L35</f>
        <v>15500</v>
      </c>
      <c r="M54" s="37">
        <f>+L54+PARMS!M35</f>
        <v>17500</v>
      </c>
      <c r="N54" s="37">
        <f>+M54+PARMS!N35</f>
        <v>19500</v>
      </c>
    </row>
    <row r="55" spans="3:14" x14ac:dyDescent="0.25">
      <c r="E55" t="s">
        <v>52</v>
      </c>
      <c r="G55" s="20">
        <v>-2500</v>
      </c>
      <c r="H55" s="20">
        <f>G55-H25</f>
        <v>-3750</v>
      </c>
      <c r="I55" s="30">
        <f>+H55-I25</f>
        <v>-5000</v>
      </c>
      <c r="J55" s="39">
        <f>I55-J25</f>
        <v>-6250</v>
      </c>
      <c r="K55" s="39">
        <f t="shared" ref="K55:N55" si="5">J55-K25</f>
        <v>-7500</v>
      </c>
      <c r="L55" s="39">
        <f t="shared" si="5"/>
        <v>-8750</v>
      </c>
      <c r="M55" s="39">
        <f t="shared" si="5"/>
        <v>-10000</v>
      </c>
      <c r="N55" s="39">
        <f t="shared" si="5"/>
        <v>-11250</v>
      </c>
    </row>
    <row r="56" spans="3:14" x14ac:dyDescent="0.25">
      <c r="F56" t="s">
        <v>53</v>
      </c>
      <c r="G56" s="13">
        <f>SUM(G54:G55)</f>
        <v>3000</v>
      </c>
      <c r="H56" s="13">
        <f t="shared" ref="H56:I56" si="6">SUM(H54:H55)</f>
        <v>3750</v>
      </c>
      <c r="I56" s="27">
        <f t="shared" si="6"/>
        <v>4500</v>
      </c>
      <c r="J56" s="37">
        <f>SUM(J54:J55)</f>
        <v>5250</v>
      </c>
      <c r="K56" s="37">
        <f t="shared" ref="K56:N56" si="7">SUM(K54:K55)</f>
        <v>6000</v>
      </c>
      <c r="L56" s="37">
        <f t="shared" si="7"/>
        <v>6750</v>
      </c>
      <c r="M56" s="37">
        <f t="shared" si="7"/>
        <v>7500</v>
      </c>
      <c r="N56" s="37">
        <f t="shared" si="7"/>
        <v>8250</v>
      </c>
    </row>
    <row r="57" spans="3:14" x14ac:dyDescent="0.25">
      <c r="E57" t="s">
        <v>54</v>
      </c>
      <c r="G57" s="13">
        <f>+PARMS!G37</f>
        <v>2000</v>
      </c>
      <c r="H57" s="13">
        <f>G57-H26</f>
        <v>1750</v>
      </c>
      <c r="I57" s="27">
        <f>H57-I26</f>
        <v>1500</v>
      </c>
      <c r="J57" s="37">
        <f>I57-J26</f>
        <v>1250</v>
      </c>
      <c r="K57" s="37">
        <f t="shared" ref="K57:N57" si="8">J57-K26</f>
        <v>1000</v>
      </c>
      <c r="L57" s="37">
        <f t="shared" si="8"/>
        <v>750</v>
      </c>
      <c r="M57" s="37">
        <f t="shared" si="8"/>
        <v>500</v>
      </c>
      <c r="N57" s="37">
        <f t="shared" si="8"/>
        <v>250</v>
      </c>
    </row>
    <row r="58" spans="3:14" x14ac:dyDescent="0.25">
      <c r="E58" t="s">
        <v>55</v>
      </c>
      <c r="G58" s="13">
        <v>1000</v>
      </c>
      <c r="H58" s="13">
        <f>+G58</f>
        <v>1000</v>
      </c>
      <c r="I58" s="27">
        <f>+H58</f>
        <v>1000</v>
      </c>
      <c r="J58" s="38">
        <v>1000</v>
      </c>
      <c r="K58" s="39">
        <v>1000</v>
      </c>
      <c r="L58" s="39">
        <v>1000</v>
      </c>
      <c r="M58" s="39">
        <v>1000</v>
      </c>
      <c r="N58" s="39">
        <v>1000</v>
      </c>
    </row>
    <row r="59" spans="3:14" x14ac:dyDescent="0.25">
      <c r="E59" t="s">
        <v>56</v>
      </c>
      <c r="G59" s="22">
        <f>SUM(G56:G58)</f>
        <v>6000</v>
      </c>
      <c r="H59" s="22">
        <f t="shared" ref="H59:I59" si="9">SUM(H56:H58)</f>
        <v>6500</v>
      </c>
      <c r="I59" s="33">
        <f t="shared" si="9"/>
        <v>7000</v>
      </c>
      <c r="J59" s="37">
        <f>SUM(J56:J58)</f>
        <v>7500</v>
      </c>
      <c r="K59" s="37">
        <f t="shared" ref="K59:N59" si="10">SUM(K56:K58)</f>
        <v>8000</v>
      </c>
      <c r="L59" s="37">
        <f t="shared" si="10"/>
        <v>8500</v>
      </c>
      <c r="M59" s="37">
        <f t="shared" si="10"/>
        <v>9000</v>
      </c>
      <c r="N59" s="37">
        <f t="shared" si="10"/>
        <v>9500</v>
      </c>
    </row>
    <row r="60" spans="3:14" ht="15.75" thickBot="1" x14ac:dyDescent="0.3">
      <c r="D60" t="s">
        <v>57</v>
      </c>
      <c r="G60" s="23">
        <f ca="1">G51+G59</f>
        <v>13990.73240416053</v>
      </c>
      <c r="H60" s="23">
        <f t="shared" ref="H60:I60" ca="1" si="11">H51+H59</f>
        <v>14462.300072208254</v>
      </c>
      <c r="I60" s="34">
        <f t="shared" ca="1" si="11"/>
        <v>14254.897695519456</v>
      </c>
      <c r="J60" s="49">
        <f ca="1">J51+J59</f>
        <v>15443.694629810656</v>
      </c>
      <c r="K60" s="50">
        <f t="shared" ref="K60:N60" ca="1" si="12">K51+K59</f>
        <v>16049.161145206772</v>
      </c>
      <c r="L60" s="50">
        <f t="shared" ca="1" si="12"/>
        <v>16195.080881159716</v>
      </c>
      <c r="M60" s="50">
        <f t="shared" ca="1" si="12"/>
        <v>15866.972424808073</v>
      </c>
      <c r="N60" s="50">
        <f t="shared" ca="1" si="12"/>
        <v>15089.161418556021</v>
      </c>
    </row>
    <row r="61" spans="3:14" ht="15.75" thickTop="1" x14ac:dyDescent="0.25">
      <c r="G61" s="13"/>
      <c r="H61" s="13"/>
      <c r="I61" s="27"/>
      <c r="J61" s="37"/>
      <c r="K61" s="37"/>
      <c r="L61" s="37"/>
      <c r="M61" s="37"/>
      <c r="N61" s="37"/>
    </row>
    <row r="62" spans="3:14" x14ac:dyDescent="0.25">
      <c r="C62" t="s">
        <v>58</v>
      </c>
      <c r="G62" s="13"/>
      <c r="H62" s="13"/>
      <c r="I62" s="27"/>
      <c r="J62" s="37"/>
      <c r="K62" s="37"/>
      <c r="L62" s="37"/>
      <c r="M62" s="37"/>
      <c r="N62" s="37"/>
    </row>
    <row r="63" spans="3:14" x14ac:dyDescent="0.25">
      <c r="D63" t="s">
        <v>59</v>
      </c>
      <c r="G63" s="13"/>
      <c r="H63" s="13"/>
      <c r="I63" s="27"/>
      <c r="J63" s="37"/>
      <c r="K63" s="37"/>
      <c r="L63" s="37"/>
      <c r="M63" s="37"/>
      <c r="N63" s="37"/>
    </row>
    <row r="64" spans="3:14" x14ac:dyDescent="0.25">
      <c r="E64" t="s">
        <v>60</v>
      </c>
      <c r="G64" s="13"/>
      <c r="H64" s="13"/>
      <c r="I64" s="27"/>
      <c r="J64" s="37"/>
      <c r="K64" s="37"/>
      <c r="L64" s="37"/>
      <c r="M64" s="37"/>
      <c r="N64" s="37"/>
    </row>
    <row r="65" spans="2:14" x14ac:dyDescent="0.25">
      <c r="F65" t="s">
        <v>61</v>
      </c>
      <c r="G65" s="13" cm="1">
        <f t="array" aca="1" ref="G65:I65" ca="1">H.COGS*(P.H.Acct.Payable/365)</f>
        <v>972.40504406769753</v>
      </c>
      <c r="H65" s="13">
        <f ca="1"/>
        <v>979.98390676323402</v>
      </c>
      <c r="I65" s="27">
        <f ca="1"/>
        <v>904.27800044451988</v>
      </c>
      <c r="J65" s="37" cm="1">
        <f t="array" aca="1" ref="J65:N65" ca="1">+F.COGS*(P.F.Accounts.Payable/365)</f>
        <v>863.70995945354264</v>
      </c>
      <c r="K65" s="37">
        <f ca="1"/>
        <v>819.23846508156123</v>
      </c>
      <c r="L65" s="37">
        <f ca="1"/>
        <v>779.19343945624234</v>
      </c>
      <c r="M65" s="37">
        <f ca="1"/>
        <v>741.17291888045725</v>
      </c>
      <c r="N65" s="37">
        <f ca="1"/>
        <v>707.33954699719652</v>
      </c>
    </row>
    <row r="66" spans="2:14" x14ac:dyDescent="0.25">
      <c r="F66" t="s">
        <v>47</v>
      </c>
      <c r="G66" s="13" cm="1">
        <f t="array" aca="1" ref="G66:I66" ca="1">P.H.Accr.Liabilities*H.Revenues</f>
        <v>836.79</v>
      </c>
      <c r="H66" s="13">
        <f ca="1"/>
        <v>826.35</v>
      </c>
      <c r="I66" s="27">
        <f ca="1"/>
        <v>765.99</v>
      </c>
      <c r="J66" s="37" cm="1">
        <f t="array" aca="1" ref="J66:N66" ca="1">+P.F.Accrueds*F.Revenues</f>
        <v>734.27644395253935</v>
      </c>
      <c r="K66" s="37">
        <f ca="1"/>
        <v>694.02683265198505</v>
      </c>
      <c r="L66" s="37">
        <f ca="1"/>
        <v>661.77730425038419</v>
      </c>
      <c r="M66" s="37">
        <f ca="1"/>
        <v>629.59533709524214</v>
      </c>
      <c r="N66" s="37">
        <f ca="1"/>
        <v>600.82499065073284</v>
      </c>
    </row>
    <row r="67" spans="2:14" x14ac:dyDescent="0.25">
      <c r="F67" t="s">
        <v>62</v>
      </c>
      <c r="G67" s="13" cm="1">
        <f t="array" ref="G67:I67">D.H.ST.Debt</f>
        <v>250</v>
      </c>
      <c r="H67" s="13">
        <v>2000</v>
      </c>
      <c r="I67" s="27">
        <v>250</v>
      </c>
      <c r="J67" s="38" cm="1">
        <f t="array" ref="J67:N67">+D.F.STDebt</f>
        <v>250</v>
      </c>
      <c r="K67" s="39">
        <v>250</v>
      </c>
      <c r="L67" s="39">
        <v>250</v>
      </c>
      <c r="M67" s="39">
        <v>250</v>
      </c>
      <c r="N67" s="39">
        <v>250</v>
      </c>
    </row>
    <row r="68" spans="2:14" x14ac:dyDescent="0.25">
      <c r="E68" t="s">
        <v>63</v>
      </c>
      <c r="G68" s="18">
        <f ca="1">SUM(G65:G67)</f>
        <v>2059.1950440676974</v>
      </c>
      <c r="H68" s="18">
        <f t="shared" ref="H68:I68" ca="1" si="13">SUM(H65:H67)</f>
        <v>3806.3339067632342</v>
      </c>
      <c r="I68" s="28">
        <f t="shared" ca="1" si="13"/>
        <v>1920.2680004445199</v>
      </c>
      <c r="J68" s="37">
        <f ca="1">SUM(J65:J67)</f>
        <v>1847.986403406082</v>
      </c>
      <c r="K68" s="37">
        <f t="shared" ref="K68:N68" ca="1" si="14">SUM(K65:K67)</f>
        <v>1763.2652977335463</v>
      </c>
      <c r="L68" s="37">
        <f t="shared" ca="1" si="14"/>
        <v>1690.9707437066265</v>
      </c>
      <c r="M68" s="37">
        <f t="shared" ca="1" si="14"/>
        <v>1620.7682559756995</v>
      </c>
      <c r="N68" s="37">
        <f t="shared" ca="1" si="14"/>
        <v>1558.1645376479294</v>
      </c>
    </row>
    <row r="69" spans="2:14" x14ac:dyDescent="0.25">
      <c r="G69" s="13"/>
      <c r="H69" s="13"/>
      <c r="I69" s="27"/>
      <c r="J69" s="37"/>
      <c r="K69" s="37"/>
      <c r="L69" s="37"/>
      <c r="M69" s="37"/>
      <c r="N69" s="37"/>
    </row>
    <row r="70" spans="2:14" x14ac:dyDescent="0.25">
      <c r="D70" t="s">
        <v>64</v>
      </c>
      <c r="G70" s="13"/>
      <c r="H70" s="13"/>
      <c r="I70" s="27"/>
      <c r="J70" s="37"/>
      <c r="K70" s="37"/>
      <c r="L70" s="37"/>
      <c r="M70" s="37"/>
      <c r="N70" s="37"/>
    </row>
    <row r="71" spans="2:14" x14ac:dyDescent="0.25">
      <c r="E71" t="s">
        <v>65</v>
      </c>
      <c r="G71" s="13" cm="1">
        <f t="array" ref="G71:I71">D.H.LT.Debt</f>
        <v>5750</v>
      </c>
      <c r="H71" s="13">
        <v>3750</v>
      </c>
      <c r="I71" s="27">
        <v>3500</v>
      </c>
      <c r="J71" s="37" cm="1">
        <f t="array" ref="J71:N71">+D.F.LTDebt</f>
        <v>3250</v>
      </c>
      <c r="K71" s="37">
        <v>3000</v>
      </c>
      <c r="L71" s="37">
        <v>2750</v>
      </c>
      <c r="M71" s="37">
        <v>2500</v>
      </c>
      <c r="N71" s="37">
        <v>2250</v>
      </c>
    </row>
    <row r="72" spans="2:14" x14ac:dyDescent="0.25">
      <c r="E72" t="s">
        <v>66</v>
      </c>
      <c r="G72" s="13">
        <v>1000</v>
      </c>
      <c r="H72" s="13">
        <v>1000</v>
      </c>
      <c r="I72" s="27">
        <v>1000</v>
      </c>
      <c r="J72" s="38">
        <v>1000</v>
      </c>
      <c r="K72" s="39">
        <v>1000</v>
      </c>
      <c r="L72" s="39">
        <v>1000</v>
      </c>
      <c r="M72" s="39">
        <v>1000</v>
      </c>
      <c r="N72" s="39">
        <v>1000</v>
      </c>
    </row>
    <row r="73" spans="2:14" x14ac:dyDescent="0.25">
      <c r="D73" t="s">
        <v>67</v>
      </c>
      <c r="G73" s="22">
        <f>SUM(G71:G72)</f>
        <v>6750</v>
      </c>
      <c r="H73" s="22">
        <f t="shared" ref="H73:I73" si="15">SUM(H71:H72)</f>
        <v>4750</v>
      </c>
      <c r="I73" s="33">
        <f t="shared" si="15"/>
        <v>4500</v>
      </c>
      <c r="J73" s="51">
        <f>SUM(J71:J72)</f>
        <v>4250</v>
      </c>
      <c r="K73" s="52">
        <f t="shared" ref="K73:N73" si="16">SUM(K71:K72)</f>
        <v>4000</v>
      </c>
      <c r="L73" s="52">
        <f t="shared" si="16"/>
        <v>3750</v>
      </c>
      <c r="M73" s="52">
        <f t="shared" si="16"/>
        <v>3500</v>
      </c>
      <c r="N73" s="52">
        <f t="shared" si="16"/>
        <v>3250</v>
      </c>
    </row>
    <row r="74" spans="2:14" ht="15.75" thickBot="1" x14ac:dyDescent="0.3">
      <c r="C74" t="s">
        <v>68</v>
      </c>
      <c r="G74" s="23">
        <f ca="1">G68+G73</f>
        <v>8809.1950440676974</v>
      </c>
      <c r="H74" s="23">
        <f t="shared" ref="H74:I74" ca="1" si="17">H68+H73</f>
        <v>8556.3339067632332</v>
      </c>
      <c r="I74" s="34">
        <f t="shared" ca="1" si="17"/>
        <v>6420.2680004445201</v>
      </c>
      <c r="J74" s="49">
        <f ca="1">J68+J73</f>
        <v>6097.986403406082</v>
      </c>
      <c r="K74" s="50">
        <f t="shared" ref="K74:N74" ca="1" si="18">K68+K73</f>
        <v>5763.2652977335465</v>
      </c>
      <c r="L74" s="50">
        <f t="shared" ca="1" si="18"/>
        <v>5440.9707437066263</v>
      </c>
      <c r="M74" s="50">
        <f t="shared" ca="1" si="18"/>
        <v>5120.7682559756995</v>
      </c>
      <c r="N74" s="50">
        <f t="shared" ca="1" si="18"/>
        <v>4808.1645376479291</v>
      </c>
    </row>
    <row r="75" spans="2:14" ht="15.75" thickTop="1" x14ac:dyDescent="0.25">
      <c r="G75" s="13"/>
      <c r="H75" s="13"/>
      <c r="I75" s="27"/>
      <c r="J75" s="37"/>
      <c r="K75" s="37"/>
      <c r="L75" s="37"/>
      <c r="M75" s="37"/>
      <c r="N75" s="37"/>
    </row>
    <row r="76" spans="2:14" x14ac:dyDescent="0.25">
      <c r="B76" t="s">
        <v>69</v>
      </c>
      <c r="G76" s="13"/>
      <c r="H76" s="13"/>
      <c r="I76" s="27"/>
      <c r="J76" s="37"/>
      <c r="K76" s="37"/>
      <c r="L76" s="37"/>
      <c r="M76" s="37"/>
      <c r="N76" s="37"/>
    </row>
    <row r="77" spans="2:14" x14ac:dyDescent="0.25">
      <c r="C77" t="s">
        <v>80</v>
      </c>
      <c r="G77" s="13">
        <v>1000</v>
      </c>
      <c r="H77" s="13">
        <f>+G77</f>
        <v>1000</v>
      </c>
      <c r="I77" s="27">
        <f>+H77</f>
        <v>1000</v>
      </c>
      <c r="J77" s="37">
        <v>1000</v>
      </c>
      <c r="K77" s="37">
        <v>1000</v>
      </c>
      <c r="L77" s="37">
        <v>1000</v>
      </c>
      <c r="M77" s="37">
        <v>1000</v>
      </c>
      <c r="N77" s="37">
        <v>1000</v>
      </c>
    </row>
    <row r="78" spans="2:14" x14ac:dyDescent="0.25">
      <c r="C78" t="s">
        <v>81</v>
      </c>
      <c r="G78" s="16">
        <v>2500</v>
      </c>
      <c r="H78" s="16">
        <f>+G78</f>
        <v>2500</v>
      </c>
      <c r="I78" s="26">
        <f>+H78</f>
        <v>2500</v>
      </c>
      <c r="J78" s="37">
        <v>2500</v>
      </c>
      <c r="K78" s="37">
        <v>2500</v>
      </c>
      <c r="L78" s="37">
        <v>2500</v>
      </c>
      <c r="M78" s="37">
        <v>2500</v>
      </c>
      <c r="N78" s="37">
        <v>2500</v>
      </c>
    </row>
    <row r="79" spans="2:14" x14ac:dyDescent="0.25">
      <c r="C79" t="s">
        <v>82</v>
      </c>
      <c r="G79" s="13">
        <f>F79-PARMS!G27</f>
        <v>-500</v>
      </c>
      <c r="H79" s="13">
        <f>+G79-PARMS!H27</f>
        <v>-1000</v>
      </c>
      <c r="I79" s="27">
        <f>+H79-PARMS!I27</f>
        <v>-1500</v>
      </c>
      <c r="J79" s="37">
        <f>I79-PARMS!J27</f>
        <v>-2000</v>
      </c>
      <c r="K79" s="37">
        <f>J79-PARMS!K27</f>
        <v>-2500</v>
      </c>
      <c r="L79" s="37">
        <f>K79-PARMS!L27</f>
        <v>-3000</v>
      </c>
      <c r="M79" s="37">
        <f>L79-PARMS!M27</f>
        <v>-3500</v>
      </c>
      <c r="N79" s="37">
        <f>M79-PARMS!N27</f>
        <v>-4000</v>
      </c>
    </row>
    <row r="80" spans="2:14" x14ac:dyDescent="0.25">
      <c r="C80" t="s">
        <v>84</v>
      </c>
      <c r="G80" s="13">
        <f>1500+182+500</f>
        <v>2182</v>
      </c>
      <c r="H80" s="13">
        <f ca="1">G80+H41</f>
        <v>5254.4813639581389</v>
      </c>
      <c r="I80" s="27">
        <f ca="1">H80+I41</f>
        <v>7683.1448935880562</v>
      </c>
      <c r="J80" s="37">
        <f ca="1">I80+J41</f>
        <v>9694.2234249176945</v>
      </c>
      <c r="K80" s="37">
        <f t="shared" ref="K80:N80" ca="1" si="19">J80+K41</f>
        <v>11134.411045986346</v>
      </c>
      <c r="L80" s="37">
        <f t="shared" ca="1" si="19"/>
        <v>12102.625335966211</v>
      </c>
      <c r="M80" s="37">
        <f t="shared" ca="1" si="19"/>
        <v>12594.719367345495</v>
      </c>
      <c r="N80" s="37">
        <f t="shared" ca="1" si="19"/>
        <v>12629.512079421214</v>
      </c>
    </row>
    <row r="81" spans="2:15" ht="15.75" thickBot="1" x14ac:dyDescent="0.3">
      <c r="B81" t="s">
        <v>85</v>
      </c>
      <c r="G81" s="22">
        <f>SUM(G77:G80)</f>
        <v>5182</v>
      </c>
      <c r="H81" s="22">
        <f t="shared" ref="H81:I81" ca="1" si="20">SUM(H77:H80)</f>
        <v>7754.4813639581389</v>
      </c>
      <c r="I81" s="33">
        <f t="shared" ca="1" si="20"/>
        <v>9683.1448935880562</v>
      </c>
      <c r="J81" s="49">
        <f ca="1">SUM(J77:J80)</f>
        <v>11194.223424917695</v>
      </c>
      <c r="K81" s="50">
        <f t="shared" ref="K81:N81" ca="1" si="21">SUM(K77:K80)</f>
        <v>12134.411045986346</v>
      </c>
      <c r="L81" s="50">
        <f t="shared" ca="1" si="21"/>
        <v>12602.625335966211</v>
      </c>
      <c r="M81" s="50">
        <f t="shared" ca="1" si="21"/>
        <v>12594.719367345495</v>
      </c>
      <c r="N81" s="50">
        <f t="shared" ca="1" si="21"/>
        <v>12129.512079421214</v>
      </c>
    </row>
    <row r="82" spans="2:15" ht="15.75" thickTop="1" x14ac:dyDescent="0.25">
      <c r="G82" s="13"/>
      <c r="H82" s="13"/>
      <c r="I82" s="27"/>
      <c r="J82" s="37"/>
      <c r="K82" s="37"/>
      <c r="L82" s="37"/>
      <c r="M82" s="37"/>
      <c r="N82" s="37"/>
    </row>
    <row r="83" spans="2:15" ht="15.75" thickBot="1" x14ac:dyDescent="0.3">
      <c r="B83" t="s">
        <v>86</v>
      </c>
      <c r="G83" s="24" cm="1">
        <f t="array" aca="1" ref="G83:I83" ca="1">G74:I74+G81:I81</f>
        <v>13991.195044067697</v>
      </c>
      <c r="H83" s="24">
        <f ca="1"/>
        <v>16310.815270721372</v>
      </c>
      <c r="I83" s="35">
        <f ca="1"/>
        <v>16103.412894032575</v>
      </c>
      <c r="J83" s="49" cm="1">
        <f t="array" aca="1" ref="J83:N83" ca="1">F.Total.Liabilities+J81:N81</f>
        <v>17292.209828323776</v>
      </c>
      <c r="K83" s="50">
        <f ca="1"/>
        <v>17897.676343719893</v>
      </c>
      <c r="L83" s="50">
        <f ca="1"/>
        <v>18043.59607967284</v>
      </c>
      <c r="M83" s="50">
        <f ca="1"/>
        <v>17715.487623321194</v>
      </c>
      <c r="N83" s="50">
        <f ca="1"/>
        <v>16937.676617069144</v>
      </c>
    </row>
    <row r="84" spans="2:15" ht="15.75" thickTop="1" x14ac:dyDescent="0.25">
      <c r="G84" s="13"/>
      <c r="H84" s="13"/>
      <c r="I84" s="27"/>
      <c r="J84" s="37"/>
      <c r="K84" s="37"/>
      <c r="L84" s="37"/>
      <c r="M84" s="37"/>
      <c r="N84" s="37"/>
    </row>
    <row r="85" spans="2:15" x14ac:dyDescent="0.25">
      <c r="C85" t="s">
        <v>87</v>
      </c>
      <c r="G85" s="13" cm="1">
        <f t="array" aca="1" ref="G85:I85" ca="1">H.Total.Assets-H.Total.Capital</f>
        <v>-0.46263990716761327</v>
      </c>
      <c r="H85" s="13">
        <f ca="1"/>
        <v>-1848.5151985131179</v>
      </c>
      <c r="I85" s="27">
        <f ca="1"/>
        <v>-1848.5151985131197</v>
      </c>
      <c r="J85" s="37" cm="1">
        <f t="array" aca="1" ref="J85:N85" ca="1">F.Total.Assets-F.TotalCapital</f>
        <v>-1848.5151985131197</v>
      </c>
      <c r="K85" s="37">
        <f ca="1"/>
        <v>-1848.5151985131215</v>
      </c>
      <c r="L85" s="37">
        <f ca="1"/>
        <v>-1848.5151985131233</v>
      </c>
      <c r="M85" s="37">
        <f ca="1"/>
        <v>-1848.5151985131215</v>
      </c>
      <c r="N85" s="37">
        <f ca="1"/>
        <v>-1848.5151985131233</v>
      </c>
    </row>
    <row r="86" spans="2:15" x14ac:dyDescent="0.25">
      <c r="G86" s="13"/>
      <c r="H86" s="13"/>
      <c r="I86" s="27"/>
      <c r="J86" s="37"/>
      <c r="K86" s="37"/>
      <c r="L86" s="37"/>
      <c r="M86" s="37"/>
      <c r="N86" s="37"/>
    </row>
    <row r="87" spans="2:15" x14ac:dyDescent="0.25">
      <c r="B87" t="s">
        <v>88</v>
      </c>
      <c r="G87" s="6" cm="1">
        <f t="array" ref="G87:I87">dates.historical</f>
        <v>2021</v>
      </c>
      <c r="H87" s="6">
        <v>2022</v>
      </c>
      <c r="I87" s="6">
        <v>2023</v>
      </c>
      <c r="J87" s="15" cm="1">
        <f t="array" ref="J87:N87">Dates.Forecast</f>
        <v>2024</v>
      </c>
      <c r="K87" s="15">
        <v>2025</v>
      </c>
      <c r="L87" s="15">
        <v>2026</v>
      </c>
      <c r="M87" s="15">
        <v>2027</v>
      </c>
      <c r="N87" s="15">
        <v>2028</v>
      </c>
    </row>
    <row r="88" spans="2:15" x14ac:dyDescent="0.25">
      <c r="C88" t="s">
        <v>89</v>
      </c>
      <c r="G88" s="13"/>
      <c r="H88" s="13"/>
      <c r="I88" s="27"/>
      <c r="J88" s="37"/>
      <c r="K88" s="37"/>
      <c r="L88" s="37"/>
      <c r="M88" s="37"/>
      <c r="N88" s="37"/>
    </row>
    <row r="89" spans="2:15" x14ac:dyDescent="0.25">
      <c r="D89" t="s">
        <v>90</v>
      </c>
      <c r="G89" s="17" cm="1">
        <f t="array" aca="1" ref="G89:I89" ca="1">H.Net.Income</f>
        <v>5037.7108780458848</v>
      </c>
      <c r="H89" s="17">
        <f ca="1"/>
        <v>4822.4813639581389</v>
      </c>
      <c r="I89" s="32">
        <f ca="1"/>
        <v>4428.6635296299173</v>
      </c>
      <c r="J89" s="37" cm="1">
        <f t="array" aca="1" ref="J89:N89" ca="1">+F.Net.income</f>
        <v>4261.0785313296374</v>
      </c>
      <c r="K89" s="37">
        <f ca="1"/>
        <v>3940.1876210686514</v>
      </c>
      <c r="L89" s="37">
        <f ca="1"/>
        <v>3718.2142899798664</v>
      </c>
      <c r="M89" s="37">
        <f ca="1"/>
        <v>3492.0940313792835</v>
      </c>
      <c r="N89" s="37">
        <f ca="1"/>
        <v>3284.7927120757199</v>
      </c>
    </row>
    <row r="90" spans="2:15" x14ac:dyDescent="0.25">
      <c r="D90" t="s">
        <v>91</v>
      </c>
      <c r="G90" s="13"/>
      <c r="H90" s="13"/>
      <c r="I90" s="27"/>
      <c r="J90" s="37"/>
      <c r="K90" s="37"/>
      <c r="L90" s="37"/>
      <c r="M90" s="37"/>
      <c r="N90" s="37"/>
      <c r="O90" s="12"/>
    </row>
    <row r="91" spans="2:15" x14ac:dyDescent="0.25">
      <c r="E91" t="s">
        <v>92</v>
      </c>
      <c r="G91" s="13" cm="1">
        <f t="array" ref="G91:I91">P.H.Depr.Expense</f>
        <v>1250</v>
      </c>
      <c r="H91" s="13">
        <v>1250</v>
      </c>
      <c r="I91" s="27">
        <v>1250</v>
      </c>
      <c r="J91" s="37" cm="1">
        <f t="array" ref="J91:N91">+P.F.DepreciationExpense</f>
        <v>1250</v>
      </c>
      <c r="K91" s="37">
        <v>1250</v>
      </c>
      <c r="L91" s="37">
        <v>1250</v>
      </c>
      <c r="M91" s="37">
        <v>1250</v>
      </c>
      <c r="N91" s="37">
        <v>1250</v>
      </c>
    </row>
    <row r="92" spans="2:15" x14ac:dyDescent="0.25">
      <c r="E92" t="s">
        <v>93</v>
      </c>
      <c r="G92" s="13" cm="1">
        <f t="array" ref="G92:I92">P.H.Amort.Expense</f>
        <v>250</v>
      </c>
      <c r="H92" s="13">
        <v>250</v>
      </c>
      <c r="I92" s="27">
        <v>250</v>
      </c>
      <c r="J92" s="37" cm="1">
        <f t="array" ref="J92:N92">+P.F.AmortizationExpense</f>
        <v>250</v>
      </c>
      <c r="K92" s="37">
        <v>250</v>
      </c>
      <c r="L92" s="37">
        <v>250</v>
      </c>
      <c r="M92" s="37">
        <v>250</v>
      </c>
      <c r="N92" s="37">
        <v>250</v>
      </c>
    </row>
    <row r="93" spans="2:15" x14ac:dyDescent="0.25">
      <c r="D93" t="s">
        <v>94</v>
      </c>
      <c r="G93" s="13"/>
      <c r="H93" s="13"/>
      <c r="I93" s="27"/>
      <c r="J93" s="37"/>
      <c r="K93" s="37"/>
      <c r="L93" s="37"/>
      <c r="M93" s="37"/>
      <c r="N93" s="37"/>
    </row>
    <row r="94" spans="2:15" x14ac:dyDescent="0.25">
      <c r="E94" t="s">
        <v>95</v>
      </c>
      <c r="G94" s="16"/>
      <c r="H94" s="13" cm="1">
        <f t="array" aca="1" ref="H94:H96" ca="1">+G48:G50-H48:H50</f>
        <v>28.602739726027266</v>
      </c>
      <c r="I94" s="27" cm="1">
        <f t="array" aca="1" ref="I94:I96" ca="1">+H48:H50-I48:I50</f>
        <v>165.3698630136987</v>
      </c>
      <c r="J94" s="37" cm="1">
        <f t="array" aca="1" ref="J94:J96" ca="1">I48:I50-J48:J50</f>
        <v>86.886454924549525</v>
      </c>
      <c r="K94" s="37" cm="1">
        <f t="array" aca="1" ref="K94:K96" ca="1">J48:J50-K48:K50</f>
        <v>110.27290767275167</v>
      </c>
      <c r="L94" s="37" cm="1">
        <f t="array" aca="1" ref="L94:L96" ca="1">K48:K50-L48:L50</f>
        <v>88.354872333152798</v>
      </c>
      <c r="M94" s="37" cm="1">
        <f t="array" aca="1" ref="M94:M96" ca="1">L48:L50-M48:M50</f>
        <v>88.169773027786732</v>
      </c>
      <c r="N94" s="37" cm="1">
        <f t="array" aca="1" ref="N94:N96" ca="1">M48:M50-N48:N50</f>
        <v>78.822866971258236</v>
      </c>
    </row>
    <row r="95" spans="2:15" x14ac:dyDescent="0.25">
      <c r="E95" t="s">
        <v>37</v>
      </c>
      <c r="G95" s="13"/>
      <c r="H95" s="13">
        <f ca="1"/>
        <v>-10.610407773750921</v>
      </c>
      <c r="I95" s="27">
        <f ca="1"/>
        <v>105.98826884619962</v>
      </c>
      <c r="J95" s="37">
        <f ca="1"/>
        <v>56.79525738736811</v>
      </c>
      <c r="K95" s="37">
        <f ca="1"/>
        <v>62.260092120774061</v>
      </c>
      <c r="L95" s="37">
        <f ca="1"/>
        <v>56.063035875446531</v>
      </c>
      <c r="M95" s="37">
        <f ca="1"/>
        <v>53.22872880609907</v>
      </c>
      <c r="N95" s="37">
        <f ca="1"/>
        <v>47.366720636564992</v>
      </c>
    </row>
    <row r="96" spans="2:15" x14ac:dyDescent="0.25">
      <c r="E96" t="s">
        <v>96</v>
      </c>
      <c r="G96" s="13"/>
      <c r="H96" s="13">
        <f ca="1"/>
        <v>10.439999999999941</v>
      </c>
      <c r="I96" s="27">
        <f ca="1"/>
        <v>60.360000000000014</v>
      </c>
      <c r="J96" s="37">
        <f ca="1"/>
        <v>31.713556047460656</v>
      </c>
      <c r="K96" s="37">
        <f ca="1"/>
        <v>40.249611300554307</v>
      </c>
      <c r="L96" s="37">
        <f ca="1"/>
        <v>32.249528401600855</v>
      </c>
      <c r="M96" s="37">
        <f ca="1"/>
        <v>32.181967155142047</v>
      </c>
      <c r="N96" s="37">
        <f ca="1"/>
        <v>28.7703464445093</v>
      </c>
    </row>
    <row r="97" spans="4:14" x14ac:dyDescent="0.25">
      <c r="E97" t="s">
        <v>61</v>
      </c>
      <c r="G97" s="13"/>
      <c r="H97" s="13" cm="1">
        <f t="array" aca="1" ref="H97:H98" ca="1">+H65:H66-G65:G66</f>
        <v>7.5788626955364862</v>
      </c>
      <c r="I97" s="27" cm="1">
        <f t="array" aca="1" ref="I97:I98" ca="1">+I65:I66-H65:H66</f>
        <v>-75.705906318714142</v>
      </c>
      <c r="J97" s="37" cm="1">
        <f t="array" aca="1" ref="J97:J98" ca="1">J65:J66-I65:I66</f>
        <v>-40.568040990977238</v>
      </c>
      <c r="K97" s="37" cm="1">
        <f t="array" aca="1" ref="K97:K98" ca="1">K65:K66-J65:J66</f>
        <v>-44.471494371981407</v>
      </c>
      <c r="L97" s="37" cm="1">
        <f t="array" aca="1" ref="L97:L98" ca="1">L65:L66-K65:K66</f>
        <v>-40.045025625318885</v>
      </c>
      <c r="M97" s="37" cm="1">
        <f t="array" aca="1" ref="M97:M98" ca="1">M65:M66-L65:L66</f>
        <v>-38.020520575785099</v>
      </c>
      <c r="N97" s="37" cm="1">
        <f t="array" aca="1" ref="N97:N98" ca="1">N65:N66-M65:M66</f>
        <v>-33.833371883260725</v>
      </c>
    </row>
    <row r="98" spans="4:14" x14ac:dyDescent="0.25">
      <c r="E98" t="s">
        <v>47</v>
      </c>
      <c r="G98" s="13"/>
      <c r="H98" s="13">
        <f ca="1"/>
        <v>-10.439999999999941</v>
      </c>
      <c r="I98" s="27">
        <f ca="1"/>
        <v>-60.360000000000014</v>
      </c>
      <c r="J98" s="38">
        <f ca="1"/>
        <v>-31.713556047460656</v>
      </c>
      <c r="K98" s="39">
        <f ca="1"/>
        <v>-40.249611300554307</v>
      </c>
      <c r="L98" s="39">
        <f ca="1"/>
        <v>-32.249528401600855</v>
      </c>
      <c r="M98" s="39">
        <f ca="1"/>
        <v>-32.181967155142047</v>
      </c>
      <c r="N98" s="39">
        <f ca="1"/>
        <v>-28.7703464445093</v>
      </c>
    </row>
    <row r="99" spans="4:14" x14ac:dyDescent="0.25">
      <c r="D99" t="s">
        <v>100</v>
      </c>
      <c r="G99" s="13"/>
      <c r="H99" s="18">
        <f ca="1">SUM(H89:H98)</f>
        <v>6348.0525586059521</v>
      </c>
      <c r="I99" s="28">
        <f ca="1">SUM(I89:I98)</f>
        <v>6124.315755171101</v>
      </c>
      <c r="J99" s="37">
        <f ca="1">SUM(J89:J98)</f>
        <v>5864.1922026505772</v>
      </c>
      <c r="K99" s="37">
        <f t="shared" ref="K99:N99" ca="1" si="22">SUM(K89:K98)</f>
        <v>5568.2491264901964</v>
      </c>
      <c r="L99" s="37">
        <f t="shared" ca="1" si="22"/>
        <v>5322.5871725631459</v>
      </c>
      <c r="M99" s="37">
        <f t="shared" ca="1" si="22"/>
        <v>5095.4720126373841</v>
      </c>
      <c r="N99" s="37">
        <f t="shared" ca="1" si="22"/>
        <v>4877.1489278002819</v>
      </c>
    </row>
    <row r="100" spans="4:14" x14ac:dyDescent="0.25">
      <c r="G100" s="13"/>
      <c r="H100" s="13"/>
      <c r="I100" s="27"/>
      <c r="J100" s="37"/>
      <c r="K100" s="37"/>
      <c r="L100" s="37"/>
      <c r="M100" s="37"/>
      <c r="N100" s="37"/>
    </row>
    <row r="101" spans="4:14" x14ac:dyDescent="0.25">
      <c r="D101" t="s">
        <v>97</v>
      </c>
      <c r="G101" s="13"/>
      <c r="H101" s="13"/>
      <c r="I101" s="27"/>
      <c r="J101" s="37"/>
      <c r="K101" s="37"/>
      <c r="L101" s="37"/>
      <c r="M101" s="37"/>
      <c r="N101" s="37"/>
    </row>
    <row r="102" spans="4:14" x14ac:dyDescent="0.25">
      <c r="E102" t="s">
        <v>98</v>
      </c>
      <c r="G102" s="13"/>
      <c r="H102" s="13">
        <f>-PARMS!H35</f>
        <v>-2000</v>
      </c>
      <c r="I102" s="27">
        <f>-PARMS!I35</f>
        <v>-2000</v>
      </c>
      <c r="J102" s="37" cm="1">
        <f t="array" ref="J102:N102">-P.F.CAPX</f>
        <v>-2000</v>
      </c>
      <c r="K102" s="37">
        <v>-2000</v>
      </c>
      <c r="L102" s="37">
        <v>-2000</v>
      </c>
      <c r="M102" s="37">
        <v>-2000</v>
      </c>
      <c r="N102" s="37">
        <v>-2000</v>
      </c>
    </row>
    <row r="103" spans="4:14" x14ac:dyDescent="0.25">
      <c r="E103" t="s">
        <v>99</v>
      </c>
      <c r="G103" s="13"/>
      <c r="H103" s="13">
        <v>0</v>
      </c>
      <c r="I103" s="27">
        <v>0</v>
      </c>
      <c r="J103" s="37">
        <f>+I103</f>
        <v>0</v>
      </c>
      <c r="K103" s="37">
        <f t="shared" ref="K103:N103" si="23">+J103</f>
        <v>0</v>
      </c>
      <c r="L103" s="37">
        <f t="shared" si="23"/>
        <v>0</v>
      </c>
      <c r="M103" s="37">
        <f t="shared" si="23"/>
        <v>0</v>
      </c>
      <c r="N103" s="37">
        <f t="shared" si="23"/>
        <v>0</v>
      </c>
    </row>
    <row r="104" spans="4:14" x14ac:dyDescent="0.25">
      <c r="D104" t="s">
        <v>101</v>
      </c>
      <c r="G104" s="13"/>
      <c r="H104" s="18">
        <f>SUM(H102:H103)</f>
        <v>-2000</v>
      </c>
      <c r="I104" s="28">
        <f>SUM(I102:I103)</f>
        <v>-2000</v>
      </c>
      <c r="J104" s="53">
        <f>SUM(J102:J103)</f>
        <v>-2000</v>
      </c>
      <c r="K104" s="54">
        <f t="shared" ref="K104:N104" si="24">SUM(K102:K103)</f>
        <v>-2000</v>
      </c>
      <c r="L104" s="54">
        <f t="shared" si="24"/>
        <v>-2000</v>
      </c>
      <c r="M104" s="54">
        <f t="shared" si="24"/>
        <v>-2000</v>
      </c>
      <c r="N104" s="54">
        <f t="shared" si="24"/>
        <v>-2000</v>
      </c>
    </row>
    <row r="105" spans="4:14" x14ac:dyDescent="0.25">
      <c r="G105" s="13"/>
      <c r="H105" s="13"/>
      <c r="I105" s="27"/>
      <c r="J105" s="37"/>
      <c r="K105" s="37"/>
      <c r="L105" s="37"/>
      <c r="M105" s="37"/>
      <c r="N105" s="37"/>
    </row>
    <row r="106" spans="4:14" x14ac:dyDescent="0.25">
      <c r="D106" t="s">
        <v>102</v>
      </c>
      <c r="G106" s="13"/>
      <c r="H106" s="13"/>
      <c r="I106" s="27"/>
      <c r="J106" s="37"/>
      <c r="K106" s="37"/>
      <c r="L106" s="37"/>
      <c r="M106" s="37"/>
      <c r="N106" s="37"/>
    </row>
    <row r="107" spans="4:14" x14ac:dyDescent="0.25">
      <c r="E107" t="s">
        <v>103</v>
      </c>
      <c r="G107" s="13"/>
      <c r="H107" s="13">
        <f>+'Debt Schedule'!H8-'Debt Schedule'!G8</f>
        <v>-250</v>
      </c>
      <c r="I107" s="27">
        <f>+'Debt Schedule'!I8-'Debt Schedule'!H8</f>
        <v>-2000</v>
      </c>
      <c r="J107" s="37">
        <f>+'Debt Schedule'!J8-'Debt Schedule'!I8</f>
        <v>-250</v>
      </c>
      <c r="K107" s="37">
        <f>+'Debt Schedule'!K8-'Debt Schedule'!J8</f>
        <v>-250</v>
      </c>
      <c r="L107" s="37">
        <f>+'Debt Schedule'!L8-'Debt Schedule'!K8</f>
        <v>-250</v>
      </c>
      <c r="M107" s="37">
        <f>+'Debt Schedule'!M8-'Debt Schedule'!L8</f>
        <v>-250</v>
      </c>
      <c r="N107" s="37">
        <f>+'Debt Schedule'!N8-'Debt Schedule'!M8</f>
        <v>-250</v>
      </c>
    </row>
    <row r="108" spans="4:14" x14ac:dyDescent="0.25">
      <c r="E108" t="s">
        <v>104</v>
      </c>
      <c r="G108" s="13">
        <f>+G40</f>
        <v>-1500</v>
      </c>
      <c r="H108" s="13">
        <f t="shared" ref="H108:I108" si="25">+H40</f>
        <v>-1750</v>
      </c>
      <c r="I108" s="27">
        <f t="shared" si="25"/>
        <v>-2000</v>
      </c>
      <c r="J108" s="37" cm="1">
        <f t="array" ref="J108:N108">_xlfn.ANCHORARRAY(J40)</f>
        <v>-2250</v>
      </c>
      <c r="K108" s="37">
        <v>-2500</v>
      </c>
      <c r="L108" s="37">
        <v>-2750</v>
      </c>
      <c r="M108" s="37">
        <v>-3000</v>
      </c>
      <c r="N108" s="37">
        <v>-3250</v>
      </c>
    </row>
    <row r="109" spans="4:14" x14ac:dyDescent="0.25">
      <c r="E109" t="s">
        <v>83</v>
      </c>
      <c r="G109" s="13">
        <f>-PARMS!G27</f>
        <v>-500</v>
      </c>
      <c r="H109" s="13">
        <f>-PARMS!H27</f>
        <v>-500</v>
      </c>
      <c r="I109" s="27">
        <f>-PARMS!I27</f>
        <v>-500</v>
      </c>
      <c r="J109" s="38" cm="1">
        <f t="array" ref="J109:N109">-P.F.Buybacks</f>
        <v>-500</v>
      </c>
      <c r="K109" s="39">
        <v>-500</v>
      </c>
      <c r="L109" s="39">
        <v>-500</v>
      </c>
      <c r="M109" s="39">
        <v>-500</v>
      </c>
      <c r="N109" s="39">
        <v>-500</v>
      </c>
    </row>
    <row r="110" spans="4:14" x14ac:dyDescent="0.25">
      <c r="D110" t="s">
        <v>105</v>
      </c>
      <c r="G110" s="13"/>
      <c r="H110" s="18">
        <f>SUM(H107:H109)</f>
        <v>-2500</v>
      </c>
      <c r="I110" s="28">
        <f>SUM(I107:I109)</f>
        <v>-4500</v>
      </c>
      <c r="J110" s="37">
        <f>SUM(J107:J109)</f>
        <v>-3000</v>
      </c>
      <c r="K110" s="37">
        <f t="shared" ref="K110:N110" si="26">SUM(K107:K109)</f>
        <v>-3250</v>
      </c>
      <c r="L110" s="37">
        <f t="shared" si="26"/>
        <v>-3500</v>
      </c>
      <c r="M110" s="37">
        <f t="shared" si="26"/>
        <v>-3750</v>
      </c>
      <c r="N110" s="37">
        <f t="shared" si="26"/>
        <v>-4000</v>
      </c>
    </row>
    <row r="111" spans="4:14" x14ac:dyDescent="0.25">
      <c r="G111" s="13"/>
      <c r="H111" s="13"/>
      <c r="I111" s="27"/>
      <c r="J111" s="37"/>
      <c r="K111" s="37"/>
      <c r="L111" s="37"/>
      <c r="M111" s="37"/>
      <c r="N111" s="37"/>
    </row>
    <row r="112" spans="4:14" ht="15.75" thickBot="1" x14ac:dyDescent="0.3">
      <c r="D112" t="s">
        <v>106</v>
      </c>
      <c r="G112" s="13"/>
      <c r="H112" s="13"/>
      <c r="I112" s="34">
        <f ca="1">+I99+I104+I110</f>
        <v>-375.68424482889895</v>
      </c>
      <c r="J112" s="49" cm="1">
        <f t="array" aca="1" ref="J112:N112" ca="1">+F.Cash.Finance+F.Cash.Investing+F.Cash.Operations</f>
        <v>864.1922026505772</v>
      </c>
      <c r="K112" s="50">
        <f ca="1"/>
        <v>318.24912649019643</v>
      </c>
      <c r="L112" s="50">
        <f ca="1"/>
        <v>-177.41282743685406</v>
      </c>
      <c r="M112" s="50">
        <f ca="1"/>
        <v>-654.52798736261593</v>
      </c>
      <c r="N112" s="50">
        <f ca="1"/>
        <v>-1122.8510721997181</v>
      </c>
    </row>
    <row r="113" spans="4:14" ht="15.75" thickTop="1" x14ac:dyDescent="0.25">
      <c r="D113" t="s">
        <v>107</v>
      </c>
      <c r="G113" s="13"/>
      <c r="H113" s="13">
        <f>+G114</f>
        <v>3500</v>
      </c>
      <c r="I113" s="27">
        <f>+H114</f>
        <v>3500</v>
      </c>
      <c r="J113" s="37">
        <f ca="1">I114</f>
        <v>3124.315755171101</v>
      </c>
      <c r="K113" s="37">
        <f t="shared" ref="K113:M113" ca="1" si="27">J114</f>
        <v>3988.5079578216782</v>
      </c>
      <c r="L113" s="37">
        <f t="shared" ca="1" si="27"/>
        <v>4306.7570843118747</v>
      </c>
      <c r="M113" s="37">
        <f t="shared" ca="1" si="27"/>
        <v>4129.3442568750206</v>
      </c>
      <c r="N113" s="37">
        <f ca="1">M114</f>
        <v>3474.8162695124047</v>
      </c>
    </row>
    <row r="114" spans="4:14" ht="15.75" thickBot="1" x14ac:dyDescent="0.3">
      <c r="D114" t="s">
        <v>108</v>
      </c>
      <c r="G114" s="23">
        <f>+P.Start.Cash</f>
        <v>3500</v>
      </c>
      <c r="H114" s="23">
        <f>+H113+H112</f>
        <v>3500</v>
      </c>
      <c r="I114" s="34">
        <f ca="1">+I113+I112</f>
        <v>3124.315755171101</v>
      </c>
      <c r="J114" s="49">
        <f ca="1">SUM(J112:J113)</f>
        <v>3988.5079578216782</v>
      </c>
      <c r="K114" s="50">
        <f t="shared" ref="K114:N114" ca="1" si="28">SUM(K112:K113)</f>
        <v>4306.7570843118747</v>
      </c>
      <c r="L114" s="50">
        <f t="shared" ca="1" si="28"/>
        <v>4129.3442568750206</v>
      </c>
      <c r="M114" s="50">
        <f t="shared" ca="1" si="28"/>
        <v>3474.8162695124047</v>
      </c>
      <c r="N114" s="50">
        <f t="shared" ca="1" si="28"/>
        <v>2351.9651973126865</v>
      </c>
    </row>
    <row r="115" spans="4:14" ht="15.75" thickTop="1" x14ac:dyDescent="0.25"/>
  </sheetData>
  <pageMargins left="0.7" right="0.7" top="0.75" bottom="0.75" header="0.3" footer="0.3"/>
  <ignoredErrors>
    <ignoredError sqref="I55"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B1FBB-0CE6-4B8A-B594-B942E79A555F}">
  <sheetPr>
    <tabColor theme="2" tint="-0.499984740745262"/>
  </sheetPr>
  <dimension ref="A1:O23"/>
  <sheetViews>
    <sheetView workbookViewId="0">
      <selection activeCell="H24" sqref="H24"/>
    </sheetView>
  </sheetViews>
  <sheetFormatPr defaultRowHeight="15" x14ac:dyDescent="0.25"/>
  <cols>
    <col min="1" max="5" width="2" customWidth="1"/>
    <col min="6" max="6" width="46.5703125" customWidth="1"/>
    <col min="7" max="9" width="10.5703125" style="4" bestFit="1" customWidth="1"/>
    <col min="10" max="10" width="10.5703125" bestFit="1" customWidth="1"/>
  </cols>
  <sheetData>
    <row r="1" spans="1:15" x14ac:dyDescent="0.25">
      <c r="A1" t="s">
        <v>70</v>
      </c>
      <c r="G1"/>
      <c r="H1"/>
      <c r="I1"/>
    </row>
    <row r="2" spans="1:15" x14ac:dyDescent="0.25">
      <c r="B2" t="s">
        <v>71</v>
      </c>
      <c r="G2" s="6" cm="1">
        <f t="array" ref="G2:I2">dates.historical</f>
        <v>2021</v>
      </c>
      <c r="H2" s="6">
        <v>2022</v>
      </c>
      <c r="I2" s="6">
        <v>2023</v>
      </c>
      <c r="J2" s="15" cm="1">
        <f t="array" ref="J2:N2">+Dates.Forecast</f>
        <v>2024</v>
      </c>
      <c r="K2" s="15">
        <v>2025</v>
      </c>
      <c r="L2" s="15">
        <v>2026</v>
      </c>
      <c r="M2" s="15">
        <v>2027</v>
      </c>
      <c r="N2" s="15">
        <v>2028</v>
      </c>
    </row>
    <row r="3" spans="1:15" x14ac:dyDescent="0.25">
      <c r="C3" t="s">
        <v>72</v>
      </c>
      <c r="G3" s="9">
        <v>2000</v>
      </c>
      <c r="H3" s="9">
        <v>1750</v>
      </c>
      <c r="I3" s="9">
        <v>1500</v>
      </c>
      <c r="J3" s="9">
        <v>1250</v>
      </c>
      <c r="K3" s="9">
        <f>J3-250</f>
        <v>1000</v>
      </c>
      <c r="L3" s="9">
        <f t="shared" ref="L3:O3" si="0">K3-250</f>
        <v>750</v>
      </c>
      <c r="M3" s="9">
        <f t="shared" si="0"/>
        <v>500</v>
      </c>
      <c r="N3" s="9">
        <f t="shared" si="0"/>
        <v>250</v>
      </c>
      <c r="O3" s="9">
        <f t="shared" si="0"/>
        <v>0</v>
      </c>
    </row>
    <row r="4" spans="1:15" x14ac:dyDescent="0.25">
      <c r="C4" t="s">
        <v>73</v>
      </c>
      <c r="G4" s="4">
        <v>2250</v>
      </c>
      <c r="H4" s="4">
        <v>2250</v>
      </c>
      <c r="I4" s="4">
        <v>2250</v>
      </c>
      <c r="J4" s="4">
        <v>2250</v>
      </c>
      <c r="K4" s="4">
        <v>2250</v>
      </c>
      <c r="L4" s="4">
        <v>2250</v>
      </c>
      <c r="M4" s="4">
        <v>2250</v>
      </c>
      <c r="N4" s="4">
        <v>2250</v>
      </c>
      <c r="O4" s="48">
        <f>+N4</f>
        <v>2250</v>
      </c>
    </row>
    <row r="5" spans="1:15" x14ac:dyDescent="0.25">
      <c r="C5" t="s">
        <v>74</v>
      </c>
      <c r="G5" s="4">
        <v>1750</v>
      </c>
      <c r="H5" s="4">
        <v>1750</v>
      </c>
      <c r="I5" s="4">
        <v>0</v>
      </c>
      <c r="J5" s="4">
        <v>0</v>
      </c>
      <c r="K5" s="4">
        <v>0</v>
      </c>
      <c r="L5" s="4">
        <v>0</v>
      </c>
      <c r="M5" s="4">
        <v>0</v>
      </c>
      <c r="N5" s="4">
        <v>0</v>
      </c>
      <c r="O5" s="4">
        <v>0</v>
      </c>
    </row>
    <row r="6" spans="1:15" x14ac:dyDescent="0.25">
      <c r="C6" t="s">
        <v>75</v>
      </c>
      <c r="G6" s="4">
        <v>0</v>
      </c>
      <c r="H6" s="4">
        <v>0</v>
      </c>
      <c r="I6" s="4">
        <v>0</v>
      </c>
      <c r="J6" s="4">
        <v>0</v>
      </c>
      <c r="K6" s="4">
        <v>0</v>
      </c>
      <c r="L6" s="4">
        <v>0</v>
      </c>
      <c r="M6" s="4">
        <v>0</v>
      </c>
      <c r="N6" s="4">
        <v>0</v>
      </c>
      <c r="O6" s="4">
        <v>0</v>
      </c>
    </row>
    <row r="7" spans="1:15" x14ac:dyDescent="0.25">
      <c r="C7" t="s">
        <v>75</v>
      </c>
      <c r="G7" s="4">
        <v>0</v>
      </c>
      <c r="H7" s="4">
        <v>0</v>
      </c>
      <c r="I7" s="4">
        <v>0</v>
      </c>
      <c r="J7" s="4">
        <v>0</v>
      </c>
      <c r="K7" s="4">
        <v>0</v>
      </c>
      <c r="L7" s="4">
        <v>0</v>
      </c>
      <c r="M7" s="4">
        <v>0</v>
      </c>
      <c r="N7" s="4">
        <v>0</v>
      </c>
      <c r="O7" s="4">
        <v>0</v>
      </c>
    </row>
    <row r="8" spans="1:15" x14ac:dyDescent="0.25">
      <c r="B8" t="s">
        <v>76</v>
      </c>
      <c r="G8" s="4">
        <f>SUM(G3:G7)</f>
        <v>6000</v>
      </c>
      <c r="H8" s="4">
        <f>SUM(H3:H7)</f>
        <v>5750</v>
      </c>
      <c r="I8" s="4">
        <f>SUM(I3:I7)</f>
        <v>3750</v>
      </c>
      <c r="J8" s="4">
        <f>SUM(J3:J7)</f>
        <v>3500</v>
      </c>
      <c r="K8" s="4">
        <f t="shared" ref="K8:O8" si="1">SUM(K3:K7)</f>
        <v>3250</v>
      </c>
      <c r="L8" s="4">
        <f t="shared" si="1"/>
        <v>3000</v>
      </c>
      <c r="M8" s="4">
        <f t="shared" si="1"/>
        <v>2750</v>
      </c>
      <c r="N8" s="4">
        <f t="shared" si="1"/>
        <v>2500</v>
      </c>
      <c r="O8" s="4">
        <f t="shared" si="1"/>
        <v>2250</v>
      </c>
    </row>
    <row r="9" spans="1:15" x14ac:dyDescent="0.25">
      <c r="G9"/>
      <c r="H9"/>
      <c r="I9"/>
    </row>
    <row r="10" spans="1:15" x14ac:dyDescent="0.25">
      <c r="B10" t="s">
        <v>77</v>
      </c>
      <c r="G10" s="10">
        <v>6.5000000000000002E-2</v>
      </c>
      <c r="H10" s="10">
        <v>6.5000000000000002E-2</v>
      </c>
      <c r="I10" s="10">
        <v>6.5000000000000002E-2</v>
      </c>
      <c r="J10" s="10">
        <v>6.5000000000000002E-2</v>
      </c>
      <c r="K10" s="10">
        <v>6.5000000000000002E-2</v>
      </c>
      <c r="L10" s="10">
        <v>6.5000000000000002E-2</v>
      </c>
      <c r="M10" s="10">
        <v>6.5000000000000002E-2</v>
      </c>
      <c r="N10" s="10">
        <v>6.5000000000000002E-2</v>
      </c>
    </row>
    <row r="11" spans="1:15" x14ac:dyDescent="0.25">
      <c r="C11" t="s">
        <v>72</v>
      </c>
      <c r="G11" s="10">
        <v>6.25E-2</v>
      </c>
      <c r="H11" s="10">
        <v>6.25E-2</v>
      </c>
      <c r="I11" s="10">
        <v>6.25E-2</v>
      </c>
      <c r="J11" s="10">
        <v>6.25E-2</v>
      </c>
      <c r="K11" s="10">
        <v>6.25E-2</v>
      </c>
      <c r="L11" s="10">
        <v>6.25E-2</v>
      </c>
      <c r="M11" s="10">
        <v>6.25E-2</v>
      </c>
      <c r="N11" s="10">
        <v>6.25E-2</v>
      </c>
    </row>
    <row r="12" spans="1:15" x14ac:dyDescent="0.25">
      <c r="C12" t="s">
        <v>73</v>
      </c>
      <c r="G12" s="10">
        <v>5.7500000000000002E-2</v>
      </c>
      <c r="H12" s="10">
        <v>5.7500000000000002E-2</v>
      </c>
      <c r="I12" s="10">
        <v>5.7500000000000002E-2</v>
      </c>
      <c r="J12" s="10">
        <v>5.7500000000000002E-2</v>
      </c>
      <c r="K12" s="10">
        <v>5.7500000000000002E-2</v>
      </c>
      <c r="L12" s="10">
        <v>5.7500000000000002E-2</v>
      </c>
      <c r="M12" s="10">
        <v>5.7500000000000002E-2</v>
      </c>
      <c r="N12" s="10">
        <v>5.7500000000000002E-2</v>
      </c>
    </row>
    <row r="13" spans="1:15" x14ac:dyDescent="0.25">
      <c r="C13" t="s">
        <v>74</v>
      </c>
      <c r="G13" s="10">
        <v>0</v>
      </c>
      <c r="H13" s="10">
        <v>0</v>
      </c>
      <c r="I13" s="10">
        <v>0</v>
      </c>
      <c r="J13" s="10">
        <v>0</v>
      </c>
      <c r="K13" s="10">
        <v>0</v>
      </c>
      <c r="L13" s="10">
        <v>0</v>
      </c>
      <c r="M13" s="10">
        <v>0</v>
      </c>
      <c r="N13" s="10">
        <v>0</v>
      </c>
    </row>
    <row r="14" spans="1:15" x14ac:dyDescent="0.25">
      <c r="C14" t="s">
        <v>75</v>
      </c>
      <c r="G14" s="10">
        <v>0</v>
      </c>
      <c r="H14" s="10">
        <v>0</v>
      </c>
      <c r="I14" s="10">
        <v>0</v>
      </c>
      <c r="J14" s="10">
        <v>0</v>
      </c>
      <c r="K14" s="10">
        <v>0</v>
      </c>
      <c r="L14" s="10">
        <v>0</v>
      </c>
      <c r="M14" s="10">
        <v>0</v>
      </c>
      <c r="N14" s="10">
        <v>0</v>
      </c>
    </row>
    <row r="15" spans="1:15" x14ac:dyDescent="0.25">
      <c r="C15" t="s">
        <v>75</v>
      </c>
      <c r="G15"/>
      <c r="H15"/>
      <c r="I15"/>
    </row>
    <row r="16" spans="1:15" x14ac:dyDescent="0.25">
      <c r="G16"/>
      <c r="H16"/>
      <c r="I16"/>
    </row>
    <row r="17" spans="2:14" x14ac:dyDescent="0.25">
      <c r="B17" t="s">
        <v>26</v>
      </c>
      <c r="G17" s="11">
        <f>SUMPRODUCT(G3:G7,G10:G14)</f>
        <v>371.25</v>
      </c>
      <c r="H17" s="11">
        <f>SUMPRODUCT(H3:H7,H10:H14)</f>
        <v>355</v>
      </c>
      <c r="I17" s="11">
        <f>SUMPRODUCT(I3:I7,I10:I14)</f>
        <v>238.125</v>
      </c>
      <c r="J17" s="11">
        <f>SUMPRODUCT(J3:J7,J10:J14)</f>
        <v>221.875</v>
      </c>
      <c r="K17" s="11">
        <f t="shared" ref="K17:N17" si="2">SUMPRODUCT(K3:K7,K10:K14)</f>
        <v>205.625</v>
      </c>
      <c r="L17" s="11">
        <f t="shared" si="2"/>
        <v>189.375</v>
      </c>
      <c r="M17" s="11">
        <f t="shared" si="2"/>
        <v>173.125</v>
      </c>
      <c r="N17" s="11">
        <f t="shared" si="2"/>
        <v>156.875</v>
      </c>
    </row>
    <row r="18" spans="2:14" x14ac:dyDescent="0.25">
      <c r="B18" t="s">
        <v>78</v>
      </c>
      <c r="G18"/>
      <c r="H18"/>
      <c r="I18"/>
    </row>
    <row r="19" spans="2:14" x14ac:dyDescent="0.25">
      <c r="C19" t="s">
        <v>79</v>
      </c>
      <c r="G19" s="11">
        <f>G8-H8</f>
        <v>250</v>
      </c>
      <c r="H19" s="11">
        <f>H8-I8</f>
        <v>2000</v>
      </c>
      <c r="I19" s="11">
        <f>I8-J8</f>
        <v>250</v>
      </c>
      <c r="J19" s="48">
        <f>J8-K8</f>
        <v>250</v>
      </c>
      <c r="K19" s="48">
        <f t="shared" ref="K19:N19" si="3">K8-L8</f>
        <v>250</v>
      </c>
      <c r="L19" s="48">
        <f t="shared" si="3"/>
        <v>250</v>
      </c>
      <c r="M19" s="48">
        <f t="shared" si="3"/>
        <v>250</v>
      </c>
      <c r="N19" s="48">
        <f t="shared" si="3"/>
        <v>250</v>
      </c>
    </row>
    <row r="20" spans="2:14" x14ac:dyDescent="0.25">
      <c r="C20" t="s">
        <v>71</v>
      </c>
      <c r="G20" s="11" cm="1">
        <f t="array" ref="G20:I20">G8:I8-G19:I19</f>
        <v>5750</v>
      </c>
      <c r="H20" s="11">
        <v>3750</v>
      </c>
      <c r="I20" s="11">
        <v>3500</v>
      </c>
      <c r="J20" s="48" cm="1">
        <f t="array" ref="J20:N20">J8:N8-J19:N19</f>
        <v>3250</v>
      </c>
      <c r="K20">
        <v>3000</v>
      </c>
      <c r="L20">
        <v>2750</v>
      </c>
      <c r="M20">
        <v>2500</v>
      </c>
      <c r="N20">
        <v>2250</v>
      </c>
    </row>
    <row r="21" spans="2:14" x14ac:dyDescent="0.25">
      <c r="G21"/>
      <c r="H21"/>
      <c r="I21"/>
    </row>
    <row r="23" spans="2:14" x14ac:dyDescent="0.25">
      <c r="G23" s="1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F572BF-7C98-4368-836C-3E287F36D76E}">
  <sheetPr>
    <tabColor theme="5" tint="0.79998168889431442"/>
  </sheetPr>
  <dimension ref="A1:K24"/>
  <sheetViews>
    <sheetView tabSelected="1" workbookViewId="0">
      <selection activeCell="M11" sqref="M11"/>
    </sheetView>
  </sheetViews>
  <sheetFormatPr defaultRowHeight="15" x14ac:dyDescent="0.25"/>
  <cols>
    <col min="1" max="5" width="3" customWidth="1"/>
    <col min="6" max="6" width="41" customWidth="1"/>
    <col min="7" max="7" width="11.140625" bestFit="1" customWidth="1"/>
  </cols>
  <sheetData>
    <row r="1" spans="1:11" x14ac:dyDescent="0.25">
      <c r="A1" t="s">
        <v>111</v>
      </c>
    </row>
    <row r="2" spans="1:11" x14ac:dyDescent="0.25">
      <c r="B2" t="s">
        <v>112</v>
      </c>
    </row>
    <row r="3" spans="1:11" x14ac:dyDescent="0.25">
      <c r="C3" t="s">
        <v>113</v>
      </c>
      <c r="G3" s="55" cm="1">
        <f t="array" aca="1" ref="G3" ca="1">+_FV(I3,"Price")</f>
        <v>10.3599</v>
      </c>
      <c r="I3" t="e" vm="1">
        <v>#VALUE!</v>
      </c>
    </row>
    <row r="4" spans="1:11" x14ac:dyDescent="0.25">
      <c r="C4" t="s">
        <v>114</v>
      </c>
      <c r="G4" s="56" cm="1">
        <f t="array" aca="1" ref="G4" ca="1">+_FV(I3,"Shares outstanding",TRUE)/1000000</f>
        <v>570.41470000000004</v>
      </c>
    </row>
    <row r="5" spans="1:11" x14ac:dyDescent="0.25">
      <c r="C5" t="s">
        <v>115</v>
      </c>
      <c r="G5" s="57">
        <f ca="1">G3*G4</f>
        <v>5909.4392505300002</v>
      </c>
    </row>
    <row r="7" spans="1:11" x14ac:dyDescent="0.25">
      <c r="B7" t="s">
        <v>116</v>
      </c>
      <c r="G7" t="s">
        <v>121</v>
      </c>
      <c r="H7" t="s">
        <v>122</v>
      </c>
      <c r="I7" t="s">
        <v>123</v>
      </c>
    </row>
    <row r="8" spans="1:11" x14ac:dyDescent="0.25">
      <c r="C8" t="s">
        <v>117</v>
      </c>
      <c r="G8" s="11" cm="1">
        <f t="array" ref="G8">DCF.Debt</f>
        <v>3750</v>
      </c>
      <c r="H8" s="10">
        <f ca="1">+G8/$G$11</f>
        <v>0.27916024353984004</v>
      </c>
      <c r="I8" s="10" cm="1">
        <f t="array" ref="I8">(DCF.Interest/DCF.Debt)*(1-DCF.Taxrate)</f>
        <v>1.3693333333333333E-5</v>
      </c>
      <c r="J8" s="11"/>
    </row>
    <row r="9" spans="1:11" x14ac:dyDescent="0.25">
      <c r="C9" t="s">
        <v>118</v>
      </c>
      <c r="G9" s="11" cm="1">
        <f t="array" ref="G9">DCF.Pref</f>
        <v>1000</v>
      </c>
      <c r="H9" s="10">
        <f t="shared" ref="H9:H10" ca="1" si="0">+G9/$G$11</f>
        <v>7.4442731610624008E-2</v>
      </c>
      <c r="I9" s="10">
        <v>7.2900000000000006E-2</v>
      </c>
      <c r="J9" s="11"/>
    </row>
    <row r="10" spans="1:11" x14ac:dyDescent="0.25">
      <c r="C10" t="s">
        <v>81</v>
      </c>
      <c r="G10" s="11">
        <f ca="1">DCF.Equity-DCF.Pref</f>
        <v>8683.1448935880562</v>
      </c>
      <c r="H10" s="10">
        <f t="shared" ca="1" si="0"/>
        <v>0.64639702484953598</v>
      </c>
      <c r="I10" s="10">
        <v>0.1779</v>
      </c>
      <c r="J10" s="11"/>
    </row>
    <row r="11" spans="1:11" x14ac:dyDescent="0.25">
      <c r="D11" t="s">
        <v>119</v>
      </c>
      <c r="G11" s="11">
        <f ca="1">SUM(G8:G10)</f>
        <v>13433.144893588056</v>
      </c>
      <c r="H11" s="11"/>
      <c r="I11" s="11"/>
      <c r="J11" s="11"/>
    </row>
    <row r="12" spans="1:11" x14ac:dyDescent="0.25">
      <c r="C12" t="s">
        <v>120</v>
      </c>
      <c r="G12" s="10">
        <f ca="1">SUMPRODUCT(H8:H10,I8:I10)</f>
        <v>0.12042472848941516</v>
      </c>
      <c r="H12" s="11"/>
      <c r="I12" s="11"/>
      <c r="J12" s="11"/>
    </row>
    <row r="14" spans="1:11" x14ac:dyDescent="0.25">
      <c r="B14" t="s">
        <v>124</v>
      </c>
      <c r="G14" s="15" cm="1">
        <f t="array" ref="G14:K14">+Dates.Forecast</f>
        <v>2024</v>
      </c>
      <c r="H14" s="15">
        <v>2025</v>
      </c>
      <c r="I14" s="15">
        <v>2026</v>
      </c>
      <c r="J14" s="15">
        <v>2027</v>
      </c>
      <c r="K14" s="15">
        <v>2028</v>
      </c>
    </row>
    <row r="15" spans="1:11" x14ac:dyDescent="0.25">
      <c r="C15" t="s">
        <v>125</v>
      </c>
      <c r="G15" s="58" cm="1">
        <f t="array" aca="1" ref="G15:K15" ca="1">_xlfn.ANCHORARRAY(G17)-_xlfn.ANCHORARRAY(G16)</f>
        <v>7115.6452928223262</v>
      </c>
      <c r="H15" s="58">
        <f ca="1"/>
        <v>6693.204267175508</v>
      </c>
      <c r="I15" s="58">
        <f ca="1"/>
        <v>6395.9753670631217</v>
      </c>
      <c r="J15" s="58">
        <f ca="1"/>
        <v>6093.4971916193463</v>
      </c>
      <c r="K15" s="58">
        <f ca="1"/>
        <v>5814.8404583236961</v>
      </c>
    </row>
    <row r="16" spans="1:11" x14ac:dyDescent="0.25">
      <c r="D16" t="s">
        <v>126</v>
      </c>
      <c r="G16" s="62" cm="1">
        <f t="array" ref="G16:K16">-P.F.DepreciationExpense-P.F.AmortizationExpense</f>
        <v>-1500</v>
      </c>
      <c r="H16" s="62">
        <v>-1500</v>
      </c>
      <c r="I16" s="62">
        <v>-1500</v>
      </c>
      <c r="J16" s="62">
        <v>-1500</v>
      </c>
      <c r="K16" s="62">
        <v>-1500</v>
      </c>
    </row>
    <row r="17" spans="3:11" x14ac:dyDescent="0.25">
      <c r="C17" t="s">
        <v>127</v>
      </c>
      <c r="G17" s="58" cm="1">
        <f t="array" aca="1" ref="G17:K17" ca="1">+F.EBIT</f>
        <v>5615.6452928223262</v>
      </c>
      <c r="H17" s="58">
        <f ca="1"/>
        <v>5193.204267175508</v>
      </c>
      <c r="I17" s="58">
        <f ca="1"/>
        <v>4895.9753670631217</v>
      </c>
      <c r="J17" s="58">
        <f ca="1"/>
        <v>4593.4971916193463</v>
      </c>
      <c r="K17" s="58">
        <f ca="1"/>
        <v>4314.8404583236961</v>
      </c>
    </row>
    <row r="18" spans="3:11" x14ac:dyDescent="0.25">
      <c r="D18" t="s">
        <v>128</v>
      </c>
      <c r="G18" s="63" cm="1">
        <f t="array" ref="G18:K18">+Tax.Rate2</f>
        <v>0.21</v>
      </c>
      <c r="H18" s="63">
        <v>0.21</v>
      </c>
      <c r="I18" s="63">
        <v>0.21</v>
      </c>
      <c r="J18" s="63">
        <v>0.21</v>
      </c>
      <c r="K18" s="63">
        <v>0.21</v>
      </c>
    </row>
    <row r="19" spans="3:11" x14ac:dyDescent="0.25">
      <c r="C19" t="s">
        <v>129</v>
      </c>
      <c r="G19" s="58" cm="1">
        <f t="array" aca="1" ref="G19:K19" ca="1">_xlfn.ANCHORARRAY(G17)*(1-_xlfn.ANCHORARRAY(G18))</f>
        <v>4436.3597813296383</v>
      </c>
      <c r="H19" s="58">
        <f ca="1"/>
        <v>4102.6313710686518</v>
      </c>
      <c r="I19" s="58">
        <f ca="1"/>
        <v>3867.8205399798662</v>
      </c>
      <c r="J19" s="58">
        <f ca="1"/>
        <v>3628.8627813792837</v>
      </c>
      <c r="K19" s="58">
        <f ca="1"/>
        <v>3408.72396207572</v>
      </c>
    </row>
    <row r="20" spans="3:11" x14ac:dyDescent="0.25">
      <c r="D20" t="s">
        <v>130</v>
      </c>
      <c r="G20" s="58" cm="1">
        <f t="array" ref="G20:K20">-_xlfn.ANCHORARRAY(G16)</f>
        <v>1500</v>
      </c>
      <c r="H20" s="58">
        <v>1500</v>
      </c>
      <c r="I20" s="58">
        <v>1500</v>
      </c>
      <c r="J20" s="58">
        <v>1500</v>
      </c>
      <c r="K20" s="58">
        <v>1500</v>
      </c>
    </row>
    <row r="21" spans="3:11" x14ac:dyDescent="0.25">
      <c r="D21" t="s">
        <v>131</v>
      </c>
      <c r="G21" s="62">
        <f ca="1">SUM('Financial Statements'!J94:J98)</f>
        <v>103.1136713209404</v>
      </c>
      <c r="H21" s="62">
        <f ca="1">SUM('Financial Statements'!K94:K98)</f>
        <v>128.06150542154433</v>
      </c>
      <c r="I21" s="62">
        <f ca="1">SUM('Financial Statements'!L94:L98)</f>
        <v>104.37288258328044</v>
      </c>
      <c r="J21" s="62">
        <f ca="1">SUM('Financial Statements'!M94:M98)</f>
        <v>103.3779812581007</v>
      </c>
      <c r="K21" s="62">
        <f ca="1">SUM('Financial Statements'!N94:N98)</f>
        <v>92.356215724562503</v>
      </c>
    </row>
    <row r="22" spans="3:11" x14ac:dyDescent="0.25">
      <c r="C22" t="s">
        <v>132</v>
      </c>
      <c r="G22" s="58">
        <f ca="1">SUM(G19:G21)</f>
        <v>6039.473452650579</v>
      </c>
      <c r="H22" s="58">
        <f t="shared" ref="H22:K22" ca="1" si="1">SUM(H19:H21)</f>
        <v>5730.6928764901959</v>
      </c>
      <c r="I22" s="58">
        <f t="shared" ca="1" si="1"/>
        <v>5472.1934225631467</v>
      </c>
      <c r="J22" s="58">
        <f t="shared" ca="1" si="1"/>
        <v>5232.2407626373843</v>
      </c>
      <c r="K22" s="58">
        <f t="shared" ca="1" si="1"/>
        <v>5001.0801778002824</v>
      </c>
    </row>
    <row r="23" spans="3:11" x14ac:dyDescent="0.25">
      <c r="D23" t="s">
        <v>133</v>
      </c>
      <c r="G23" s="62" cm="1">
        <f t="array" ref="G23:K23">-P.F.CAPX</f>
        <v>-2000</v>
      </c>
      <c r="H23" s="62">
        <v>-2000</v>
      </c>
      <c r="I23" s="62">
        <v>-2000</v>
      </c>
      <c r="J23" s="62">
        <v>-2000</v>
      </c>
      <c r="K23" s="62">
        <v>-2000</v>
      </c>
    </row>
    <row r="24" spans="3:11" x14ac:dyDescent="0.25">
      <c r="C24" t="s">
        <v>134</v>
      </c>
      <c r="G24" s="58" cm="1">
        <f t="array" aca="1" ref="G24:K24" ca="1">G22:K22+_xlfn.ANCHORARRAY(G23)</f>
        <v>4039.473452650579</v>
      </c>
      <c r="H24" s="58">
        <f ca="1"/>
        <v>3730.6928764901959</v>
      </c>
      <c r="I24" s="58">
        <f ca="1"/>
        <v>3472.1934225631467</v>
      </c>
      <c r="J24" s="58">
        <f ca="1"/>
        <v>3232.2407626373843</v>
      </c>
      <c r="K24" s="58">
        <f ca="1"/>
        <v>3001.0801778002824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67</vt:i4>
      </vt:variant>
    </vt:vector>
  </HeadingPairs>
  <TitlesOfParts>
    <vt:vector size="71" baseType="lpstr">
      <vt:lpstr>PARMS</vt:lpstr>
      <vt:lpstr>Financial Statements</vt:lpstr>
      <vt:lpstr>Debt Schedule</vt:lpstr>
      <vt:lpstr>DCF</vt:lpstr>
      <vt:lpstr>company.name</vt:lpstr>
      <vt:lpstr>D.F.Interest.Expense</vt:lpstr>
      <vt:lpstr>D.F.LTDebt</vt:lpstr>
      <vt:lpstr>D.F.STDebt</vt:lpstr>
      <vt:lpstr>D.H.Interest.Expense</vt:lpstr>
      <vt:lpstr>D.H.LT.Debt</vt:lpstr>
      <vt:lpstr>D.H.ST.Debt</vt:lpstr>
      <vt:lpstr>Dates.Forecast</vt:lpstr>
      <vt:lpstr>dates.historical</vt:lpstr>
      <vt:lpstr>DCF.Debt</vt:lpstr>
      <vt:lpstr>DCF.Equity</vt:lpstr>
      <vt:lpstr>DCF.Interest</vt:lpstr>
      <vt:lpstr>DCF.Pref</vt:lpstr>
      <vt:lpstr>DCF.Taxrate</vt:lpstr>
      <vt:lpstr>F.Cash</vt:lpstr>
      <vt:lpstr>F.Cash.Finance</vt:lpstr>
      <vt:lpstr>F.Cash.Investing</vt:lpstr>
      <vt:lpstr>F.Cash.Operations</vt:lpstr>
      <vt:lpstr>F.COGS</vt:lpstr>
      <vt:lpstr>F.EBIT</vt:lpstr>
      <vt:lpstr>F.Gross.Margin</vt:lpstr>
      <vt:lpstr>F.Net.income</vt:lpstr>
      <vt:lpstr>F.Revenues</vt:lpstr>
      <vt:lpstr>F.SGA</vt:lpstr>
      <vt:lpstr>F.Total.Assets</vt:lpstr>
      <vt:lpstr>F.Total.Liabilities</vt:lpstr>
      <vt:lpstr>F.TotalCapital</vt:lpstr>
      <vt:lpstr>H.Cash</vt:lpstr>
      <vt:lpstr>H.COGS</vt:lpstr>
      <vt:lpstr>H.EBIT</vt:lpstr>
      <vt:lpstr>H.EBT</vt:lpstr>
      <vt:lpstr>H.Gross.Margin</vt:lpstr>
      <vt:lpstr>H.Net.Income</vt:lpstr>
      <vt:lpstr>H.Revenues</vt:lpstr>
      <vt:lpstr>H.SGA</vt:lpstr>
      <vt:lpstr>H.Total.Assets</vt:lpstr>
      <vt:lpstr>H.Total.Capital</vt:lpstr>
      <vt:lpstr>P.F.Accounts.Payable</vt:lpstr>
      <vt:lpstr>P.F.Accounts.Receivable</vt:lpstr>
      <vt:lpstr>P.F.Accrueds</vt:lpstr>
      <vt:lpstr>P.F.AmortizationExpense</vt:lpstr>
      <vt:lpstr>P.F.Buybacks</vt:lpstr>
      <vt:lpstr>P.F.CAPX</vt:lpstr>
      <vt:lpstr>P.F.COGS</vt:lpstr>
      <vt:lpstr>P.F.DepreciationExpense</vt:lpstr>
      <vt:lpstr>P.F.Dividends</vt:lpstr>
      <vt:lpstr>P.F.FixedCosts</vt:lpstr>
      <vt:lpstr>P.F.Inventory.Days</vt:lpstr>
      <vt:lpstr>P.F.Prepaids</vt:lpstr>
      <vt:lpstr>P.F.Revenues</vt:lpstr>
      <vt:lpstr>P.H.Accr.Liabilities</vt:lpstr>
      <vt:lpstr>P.H.Acct.Payable</vt:lpstr>
      <vt:lpstr>P.H.Amort.Expense</vt:lpstr>
      <vt:lpstr>P.H.AR.Days</vt:lpstr>
      <vt:lpstr>P.H.COGS</vt:lpstr>
      <vt:lpstr>P.H.COGS.Days</vt:lpstr>
      <vt:lpstr>P.H.Depr.Expense</vt:lpstr>
      <vt:lpstr>P.H.Dividend</vt:lpstr>
      <vt:lpstr>P.H.Fixed.Costs</vt:lpstr>
      <vt:lpstr>P.H.Interest.Expense.filler</vt:lpstr>
      <vt:lpstr>P.H.Inventory.Days</vt:lpstr>
      <vt:lpstr>P.H.Prepaids</vt:lpstr>
      <vt:lpstr>P.H.Revenues</vt:lpstr>
      <vt:lpstr>P.Start.Cash</vt:lpstr>
      <vt:lpstr>revenue.lines</vt:lpstr>
      <vt:lpstr>tax.rate</vt:lpstr>
      <vt:lpstr>Tax.Rate2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Gartner, Caleb</dc:creator>
  <cp:lastModifiedBy>Gartner, Caleb</cp:lastModifiedBy>
  <dcterms:created xsi:type="dcterms:W3CDTF">2024-03-04T17:11:27Z</dcterms:created>
  <dcterms:modified xsi:type="dcterms:W3CDTF">2026-05-01T19:01:23Z</dcterms:modified>
</cp:coreProperties>
</file>