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Caleb\Desktop\GitHub Models\"/>
    </mc:Choice>
  </mc:AlternateContent>
  <xr:revisionPtr revIDLastSave="0" documentId="8_{30F935CC-BB7C-4944-B858-A5E9AB9827FB}" xr6:coauthVersionLast="47" xr6:coauthVersionMax="47" xr10:uidLastSave="{00000000-0000-0000-0000-000000000000}"/>
  <bookViews>
    <workbookView xWindow="28680" yWindow="-120" windowWidth="29040" windowHeight="15720" xr2:uid="{AD7998DA-5355-4A7F-A39D-46FAEB671AFE}"/>
  </bookViews>
  <sheets>
    <sheet name="Parameters 1" sheetId="1" r:id="rId1"/>
    <sheet name="Hedged vs Unhedged Returns" sheetId="2" r:id="rId2"/>
    <sheet name="PNL 1" sheetId="22" r:id="rId3"/>
    <sheet name="Parameters 2" sheetId="24" r:id="rId4"/>
    <sheet name="Currency Variance Scenario" sheetId="13" r:id="rId5"/>
    <sheet name="PNL 2" sheetId="23" r:id="rId6"/>
  </sheets>
  <definedNames>
    <definedName name="CallDelta">_xlfn.LAMBDA(_xlpm.spot,_xlpm.strike,_xlpm.time,_xlpm.interest,_xlpm.implied,_xlpm.divyld,+EXP(-_xlpm.divyld*_xlpm.time)*_xlfn.NORM.S.DIST((LN(_xlpm.spot/_xlpm.strike)+_xlpm.time*(_xlpm.interest-_xlpm.divyld+(_xlpm.implied^2/2)))/(_xlpm.implied*SQRT(_xlpm.time)),TRUE))</definedName>
    <definedName name="CallPrice">_xlfn.LAMBDA(_xlpm.S,_xlpm.K,_xlpm.T,_xlpm.r,_xlpm.sigma,_xlpm.q, _xlpm.S * EXP(-_xlpm.q * _xlpm.T) * _xlfn.NORM.S.DIST((LN(_xlpm.S / _xlpm.K) + (_xlpm.r - _xlpm.q + (_xlpm.sigma^2) / 2) * _xlpm.T) / (_xlpm.sigma * SQRT(_xlpm.T)), TRUE) - _xlpm.K * EXP(-_xlpm.r * _xlpm.T) * _xlfn.NORM.S.DIST(((LN(_xlpm.S / _xlpm.K) + (_xlpm.r - _xlpm.q + (_xlpm.sigma^2) / 2) * _xlpm.T) / (_xlpm.sigma * SQRT(_xlpm.T))) - _xlpm.sigma * SQRT(_xlpm.T), TRUE))</definedName>
    <definedName name="div.yield">#REF!</definedName>
    <definedName name="expiry">#REF!</definedName>
    <definedName name="OptionPayout">_xlfn.LAMBDA(_xlpm.type,_xlpm.spot,_xlpm.strike,MAX(0,(_xlpm.spot-_xlpm.strike)*IF(_xlpm.type="Call",1,-1)))</definedName>
    <definedName name="PlusIt">_xlfn.LAMBDA(_xlpm.ksu,_xlpm.zips,_xlpm.ksu+_xlpm.zips)</definedName>
    <definedName name="PutDelta">_xlfn.LAMBDA(_xlpm.spot,_xlpm.strike,_xlpm.time,_xlpm.interest,_xlpm.implied,_xlpm.divyld,+EXP(-_xlpm.divyld*_xlpm.time)*(-1+_xlfn.NORM.S.DIST((LN(_xlpm.spot/_xlpm.strike)+_xlpm.time*(_xlpm.interest-_xlpm.divyld+(_xlpm.implied^2/2)))/(_xlpm.implied*SQRT(_xlpm.time)),TRUE)))</definedName>
    <definedName name="PutPrice">_xlfn.LAMBDA(_xlpm.spot1,_xlpm.strike1,_xlpm.expiry1,_xlpm.riskfree1,_xlpm.volatility1,_xlpm.divyld1,-_xlpm.spot1*EXP(-_xlpm.divyld1*_xlpm.expiry1)*_xlfn.NORM.S.DIST(-(LN(_xlpm.spot1/_xlpm.strike1)+(_xlpm.riskfree1-_xlpm.divyld1+(_xlpm.volatility1^2)/2)*_xlpm.expiry1)/(_xlpm.volatility1*SQRT(_xlpm.expiry1)),TRUE)+_xlpm.strike1*EXP(-_xlpm.riskfree1*_xlpm.expiry1)*_xlfn.NORM.S.DIST(-((LN(_xlpm.spot1/_xlpm.strike1)+(_xlpm.riskfree1-_xlpm.divyld1+(_xlpm.volatility1^2)/2)*_xlpm.expiry1)/(_xlpm.volatility1*SQRT(_xlpm.expiry1))-(_xlpm.volatility1*SQRT(_xlpm.expiry1))),TRUE))</definedName>
    <definedName name="riskfree">#REF!</definedName>
    <definedName name="spot">#REF!</definedName>
    <definedName name="strike">#REF!</definedName>
    <definedName name="TimesIt">_xlfn.LAMBDA(_xlpm.first,_xlpm.second,_xlpm.first*_xlpm.second)</definedName>
    <definedName name="vol">#REF!</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23" l="1" a="1"/>
  <c r="K4" i="23" s="1"/>
  <c r="J4" i="22" a="1"/>
  <c r="J4" i="22" s="1"/>
  <c r="E7" i="13"/>
  <c r="E8" i="13"/>
  <c r="E9" i="13"/>
  <c r="E10" i="13"/>
  <c r="E11" i="13"/>
  <c r="E12" i="13"/>
  <c r="E13" i="13"/>
  <c r="E14" i="13"/>
  <c r="E15" i="13"/>
  <c r="E16" i="13"/>
  <c r="E17" i="13"/>
  <c r="E6" i="13"/>
  <c r="D7" i="13"/>
  <c r="D8" i="13"/>
  <c r="D9" i="13"/>
  <c r="D10" i="13"/>
  <c r="D11" i="13"/>
  <c r="D12" i="13"/>
  <c r="D13" i="13"/>
  <c r="D14" i="13"/>
  <c r="D15" i="13"/>
  <c r="D16" i="13"/>
  <c r="D17" i="13"/>
  <c r="D6" i="13"/>
  <c r="E23" i="13"/>
  <c r="E24" i="13"/>
  <c r="E25" i="13"/>
  <c r="E26" i="13"/>
  <c r="E27" i="13"/>
  <c r="E28" i="13"/>
  <c r="E29" i="13"/>
  <c r="E30" i="13"/>
  <c r="E31" i="13"/>
  <c r="E32" i="13"/>
  <c r="E33" i="13"/>
  <c r="E22" i="13"/>
  <c r="D23" i="13"/>
  <c r="D24" i="13"/>
  <c r="D25" i="13"/>
  <c r="D26" i="13"/>
  <c r="D27" i="13"/>
  <c r="D28" i="13"/>
  <c r="D29" i="13"/>
  <c r="D30" i="13"/>
  <c r="D31" i="13"/>
  <c r="D32" i="13"/>
  <c r="D33" i="13"/>
  <c r="D22" i="13"/>
  <c r="G23" i="13"/>
  <c r="G24" i="13"/>
  <c r="G25" i="13"/>
  <c r="G26" i="13"/>
  <c r="G27" i="13"/>
  <c r="G28" i="13"/>
  <c r="G29" i="13"/>
  <c r="G30" i="13"/>
  <c r="G31" i="13"/>
  <c r="G32" i="13"/>
  <c r="G33" i="13"/>
  <c r="H23" i="13"/>
  <c r="H24" i="13"/>
  <c r="H25" i="13"/>
  <c r="H26" i="13"/>
  <c r="H27" i="13"/>
  <c r="H28" i="13"/>
  <c r="H29" i="13"/>
  <c r="H30" i="13"/>
  <c r="H31" i="13"/>
  <c r="H32" i="13"/>
  <c r="H33" i="13"/>
  <c r="H22" i="13"/>
  <c r="G22" i="13"/>
  <c r="F5" i="24"/>
  <c r="F4" i="24"/>
  <c r="C4" i="23" a="1"/>
  <c r="C4" i="23" s="1"/>
  <c r="C4" i="22" a="1"/>
  <c r="C4" i="22" s="1"/>
  <c r="B22" i="13" a="1"/>
  <c r="B22" i="13" s="1"/>
  <c r="B6" i="13" a="1"/>
  <c r="B6" i="13" s="1"/>
  <c r="B5" i="2" a="1"/>
  <c r="B5" i="2"/>
  <c r="B11" i="24" a="1"/>
  <c r="F22" i="13" l="1" a="1"/>
  <c r="F22" i="13" s="1"/>
  <c r="F6" i="13" a="1"/>
  <c r="F6" i="13" s="1"/>
  <c r="F262" i="24"/>
  <c r="F254" i="24"/>
  <c r="F261" i="24"/>
  <c r="F253" i="24"/>
  <c r="F245" i="24"/>
  <c r="F237" i="24"/>
  <c r="F229" i="24"/>
  <c r="F221" i="24"/>
  <c r="F213" i="24"/>
  <c r="F205" i="24"/>
  <c r="F197" i="24"/>
  <c r="F189" i="24"/>
  <c r="F181" i="24"/>
  <c r="F173" i="24"/>
  <c r="F165" i="24"/>
  <c r="F157" i="24"/>
  <c r="F149" i="24"/>
  <c r="F141" i="24"/>
  <c r="F133" i="24"/>
  <c r="F125" i="24"/>
  <c r="F117" i="24"/>
  <c r="F109" i="24"/>
  <c r="F101" i="24"/>
  <c r="F93" i="24"/>
  <c r="F85" i="24"/>
  <c r="F77" i="24"/>
  <c r="F69" i="24"/>
  <c r="F61" i="24"/>
  <c r="F53" i="24"/>
  <c r="F45" i="24"/>
  <c r="F37" i="24"/>
  <c r="F29" i="24"/>
  <c r="F22" i="24"/>
  <c r="F18" i="24"/>
  <c r="F14" i="24"/>
  <c r="E61" i="24"/>
  <c r="E37" i="24"/>
  <c r="E29" i="24"/>
  <c r="E18" i="24"/>
  <c r="E14" i="24"/>
  <c r="F260" i="24"/>
  <c r="F244" i="24"/>
  <c r="F236" i="24"/>
  <c r="F228" i="24"/>
  <c r="F220" i="24"/>
  <c r="F212" i="24"/>
  <c r="F204" i="24"/>
  <c r="F196" i="24"/>
  <c r="F188" i="24"/>
  <c r="F180" i="24"/>
  <c r="F172" i="24"/>
  <c r="F164" i="24"/>
  <c r="F156" i="24"/>
  <c r="F148" i="24"/>
  <c r="F140" i="24"/>
  <c r="F132" i="24"/>
  <c r="F124" i="24"/>
  <c r="F108" i="24"/>
  <c r="F100" i="24"/>
  <c r="F92" i="24"/>
  <c r="F84" i="24"/>
  <c r="F76" i="24"/>
  <c r="F68" i="24"/>
  <c r="F60" i="24"/>
  <c r="F52" i="24"/>
  <c r="F44" i="24"/>
  <c r="F36" i="24"/>
  <c r="F28" i="24"/>
  <c r="E260" i="24"/>
  <c r="E244" i="24"/>
  <c r="E236" i="24"/>
  <c r="E228" i="24"/>
  <c r="E212" i="24"/>
  <c r="E204" i="24"/>
  <c r="E196" i="24"/>
  <c r="E188" i="24"/>
  <c r="E180" i="24"/>
  <c r="E172" i="24"/>
  <c r="E164" i="24"/>
  <c r="E156" i="24"/>
  <c r="E148" i="24"/>
  <c r="E140" i="24"/>
  <c r="E132" i="24"/>
  <c r="E124" i="24"/>
  <c r="E116" i="24"/>
  <c r="E261" i="24"/>
  <c r="E253" i="24"/>
  <c r="E245" i="24"/>
  <c r="E237" i="24"/>
  <c r="E229" i="24"/>
  <c r="E221" i="24"/>
  <c r="E213" i="24"/>
  <c r="E205" i="24"/>
  <c r="E197" i="24"/>
  <c r="E189" i="24"/>
  <c r="E181" i="24"/>
  <c r="E173" i="24"/>
  <c r="E165" i="24"/>
  <c r="E157" i="24"/>
  <c r="E149" i="24"/>
  <c r="E141" i="24"/>
  <c r="E133" i="24"/>
  <c r="E125" i="24"/>
  <c r="E117" i="24"/>
  <c r="E109" i="24"/>
  <c r="E101" i="24"/>
  <c r="E93" i="24"/>
  <c r="E85" i="24"/>
  <c r="E77" i="24"/>
  <c r="E69" i="24"/>
  <c r="E53" i="24"/>
  <c r="E45" i="24"/>
  <c r="E22" i="24"/>
  <c r="F252" i="24"/>
  <c r="F116" i="24"/>
  <c r="E252" i="24"/>
  <c r="E100" i="24"/>
  <c r="E92" i="24"/>
  <c r="E84" i="24"/>
  <c r="E76" i="24"/>
  <c r="E68" i="24"/>
  <c r="E60" i="24"/>
  <c r="E52" i="24"/>
  <c r="E44" i="24"/>
  <c r="E36" i="24"/>
  <c r="E28" i="24"/>
  <c r="I21" i="24"/>
  <c r="I17" i="24"/>
  <c r="F259" i="24"/>
  <c r="F243" i="24"/>
  <c r="F235" i="24"/>
  <c r="F219" i="24"/>
  <c r="F203" i="24"/>
  <c r="F179" i="24"/>
  <c r="F155" i="24"/>
  <c r="F131" i="24"/>
  <c r="F99" i="24"/>
  <c r="F67" i="24"/>
  <c r="F35" i="24"/>
  <c r="F17" i="24"/>
  <c r="E90" i="24"/>
  <c r="E220" i="24"/>
  <c r="I13" i="24"/>
  <c r="F251" i="24"/>
  <c r="F227" i="24"/>
  <c r="F211" i="24"/>
  <c r="F195" i="24"/>
  <c r="F187" i="24"/>
  <c r="F171" i="24"/>
  <c r="F163" i="24"/>
  <c r="F147" i="24"/>
  <c r="F139" i="24"/>
  <c r="F123" i="24"/>
  <c r="F115" i="24"/>
  <c r="F107" i="24"/>
  <c r="F91" i="24"/>
  <c r="F83" i="24"/>
  <c r="F75" i="24"/>
  <c r="F59" i="24"/>
  <c r="F51" i="24"/>
  <c r="F43" i="24"/>
  <c r="F27" i="24"/>
  <c r="F21" i="24"/>
  <c r="F13" i="24"/>
  <c r="E98" i="24"/>
  <c r="E259" i="24"/>
  <c r="E251" i="24"/>
  <c r="E243" i="24"/>
  <c r="E235" i="24"/>
  <c r="E227" i="24"/>
  <c r="E219" i="24"/>
  <c r="E211" i="24"/>
  <c r="E203" i="24"/>
  <c r="E195" i="24"/>
  <c r="E187" i="24"/>
  <c r="E179" i="24"/>
  <c r="E171" i="24"/>
  <c r="E163" i="24"/>
  <c r="E155" i="24"/>
  <c r="E147" i="24"/>
  <c r="E139" i="24"/>
  <c r="E131" i="24"/>
  <c r="E123" i="24"/>
  <c r="E115" i="24"/>
  <c r="E107" i="24"/>
  <c r="E99" i="24"/>
  <c r="E91" i="24"/>
  <c r="E83" i="24"/>
  <c r="E75" i="24"/>
  <c r="E67" i="24"/>
  <c r="E59" i="24"/>
  <c r="E51" i="24"/>
  <c r="E43" i="24"/>
  <c r="E35" i="24"/>
  <c r="E27" i="24"/>
  <c r="E21" i="24"/>
  <c r="E17" i="24"/>
  <c r="E13" i="24"/>
  <c r="F258" i="24"/>
  <c r="F250" i="24"/>
  <c r="F242" i="24"/>
  <c r="F234" i="24"/>
  <c r="F226" i="24"/>
  <c r="F218" i="24"/>
  <c r="F210" i="24"/>
  <c r="F202" i="24"/>
  <c r="F194" i="24"/>
  <c r="F186" i="24"/>
  <c r="F178" i="24"/>
  <c r="F170" i="24"/>
  <c r="F162" i="24"/>
  <c r="F154" i="24"/>
  <c r="F146" i="24"/>
  <c r="F138" i="24"/>
  <c r="F130" i="24"/>
  <c r="F122" i="24"/>
  <c r="F114" i="24"/>
  <c r="F106" i="24"/>
  <c r="F98" i="24"/>
  <c r="F90" i="24"/>
  <c r="F82" i="24"/>
  <c r="F74" i="24"/>
  <c r="F66" i="24"/>
  <c r="F58" i="24"/>
  <c r="F50" i="24"/>
  <c r="F42" i="24"/>
  <c r="F34" i="24"/>
  <c r="F26" i="24"/>
  <c r="E258" i="24"/>
  <c r="E250" i="24"/>
  <c r="E242" i="24"/>
  <c r="E234" i="24"/>
  <c r="E226" i="24"/>
  <c r="E218" i="24"/>
  <c r="E210" i="24"/>
  <c r="E202" i="24"/>
  <c r="E194" i="24"/>
  <c r="E186" i="24"/>
  <c r="E178" i="24"/>
  <c r="E170" i="24"/>
  <c r="E162" i="24"/>
  <c r="E154" i="24"/>
  <c r="E146" i="24"/>
  <c r="E138" i="24"/>
  <c r="E130" i="24"/>
  <c r="E122" i="24"/>
  <c r="E114" i="24"/>
  <c r="E256" i="24"/>
  <c r="E262" i="24"/>
  <c r="E241" i="24"/>
  <c r="E225" i="24"/>
  <c r="E209" i="24"/>
  <c r="E193" i="24"/>
  <c r="E177" i="24"/>
  <c r="E161" i="24"/>
  <c r="E145" i="24"/>
  <c r="E129" i="24"/>
  <c r="E113" i="24"/>
  <c r="E102" i="24"/>
  <c r="E86" i="24"/>
  <c r="E71" i="24"/>
  <c r="E56" i="24"/>
  <c r="E41" i="24"/>
  <c r="E26" i="24"/>
  <c r="B11" i="24"/>
  <c r="F240" i="24"/>
  <c r="F224" i="24"/>
  <c r="F208" i="24"/>
  <c r="F192" i="24"/>
  <c r="F176" i="24"/>
  <c r="F160" i="24"/>
  <c r="F144" i="24"/>
  <c r="F128" i="24"/>
  <c r="F97" i="24"/>
  <c r="E82" i="24"/>
  <c r="F70" i="24"/>
  <c r="F55" i="24"/>
  <c r="F40" i="24"/>
  <c r="F25" i="24"/>
  <c r="I18" i="24"/>
  <c r="F223" i="24"/>
  <c r="F111" i="24"/>
  <c r="E66" i="24"/>
  <c r="F39" i="24"/>
  <c r="E239" i="24"/>
  <c r="E159" i="24"/>
  <c r="E111" i="24"/>
  <c r="F65" i="24"/>
  <c r="E39" i="24"/>
  <c r="E24" i="24"/>
  <c r="E16" i="24"/>
  <c r="E255" i="24"/>
  <c r="F206" i="24"/>
  <c r="F190" i="24"/>
  <c r="F174" i="24"/>
  <c r="F158" i="24"/>
  <c r="F142" i="24"/>
  <c r="F126" i="24"/>
  <c r="F110" i="24"/>
  <c r="E80" i="24"/>
  <c r="E50" i="24"/>
  <c r="F38" i="24"/>
  <c r="F23" i="24"/>
  <c r="E254" i="24"/>
  <c r="E206" i="24"/>
  <c r="E190" i="24"/>
  <c r="E174" i="24"/>
  <c r="E158" i="24"/>
  <c r="E142" i="24"/>
  <c r="E126" i="24"/>
  <c r="E110" i="24"/>
  <c r="F79" i="24"/>
  <c r="F49" i="24"/>
  <c r="E38" i="24"/>
  <c r="E23" i="24"/>
  <c r="F249" i="24"/>
  <c r="F185" i="24"/>
  <c r="F137" i="24"/>
  <c r="F94" i="24"/>
  <c r="E64" i="24"/>
  <c r="F15" i="24"/>
  <c r="E249" i="24"/>
  <c r="E201" i="24"/>
  <c r="E169" i="24"/>
  <c r="E121" i="24"/>
  <c r="E106" i="24"/>
  <c r="F63" i="24"/>
  <c r="I22" i="24"/>
  <c r="F232" i="24"/>
  <c r="F257" i="24"/>
  <c r="F112" i="24"/>
  <c r="E257" i="24"/>
  <c r="E240" i="24"/>
  <c r="E224" i="24"/>
  <c r="E208" i="24"/>
  <c r="E192" i="24"/>
  <c r="E176" i="24"/>
  <c r="E160" i="24"/>
  <c r="E144" i="24"/>
  <c r="E128" i="24"/>
  <c r="E112" i="24"/>
  <c r="E97" i="24"/>
  <c r="F81" i="24"/>
  <c r="E70" i="24"/>
  <c r="E55" i="24"/>
  <c r="E40" i="24"/>
  <c r="E25" i="24"/>
  <c r="I16" i="24"/>
  <c r="F175" i="24"/>
  <c r="F127" i="24"/>
  <c r="E81" i="24"/>
  <c r="F54" i="24"/>
  <c r="F16" i="24"/>
  <c r="F255" i="24"/>
  <c r="E207" i="24"/>
  <c r="E191" i="24"/>
  <c r="E175" i="24"/>
  <c r="E143" i="24"/>
  <c r="E127" i="24"/>
  <c r="E96" i="24"/>
  <c r="E54" i="24"/>
  <c r="F238" i="24"/>
  <c r="E65" i="24"/>
  <c r="E238" i="24"/>
  <c r="E95" i="24"/>
  <c r="I15" i="24"/>
  <c r="F233" i="24"/>
  <c r="F201" i="24"/>
  <c r="F153" i="24"/>
  <c r="F121" i="24"/>
  <c r="E79" i="24"/>
  <c r="E34" i="24"/>
  <c r="E233" i="24"/>
  <c r="E185" i="24"/>
  <c r="E137" i="24"/>
  <c r="E94" i="24"/>
  <c r="F48" i="24"/>
  <c r="E15" i="24"/>
  <c r="F248" i="24"/>
  <c r="F256" i="24"/>
  <c r="F239" i="24"/>
  <c r="F207" i="24"/>
  <c r="F191" i="24"/>
  <c r="F159" i="24"/>
  <c r="F143" i="24"/>
  <c r="F96" i="24"/>
  <c r="F24" i="24"/>
  <c r="E223" i="24"/>
  <c r="F80" i="24"/>
  <c r="F222" i="24"/>
  <c r="F95" i="24"/>
  <c r="E222" i="24"/>
  <c r="F64" i="24"/>
  <c r="F217" i="24"/>
  <c r="F169" i="24"/>
  <c r="E108" i="24"/>
  <c r="E49" i="24"/>
  <c r="E217" i="24"/>
  <c r="E153" i="24"/>
  <c r="F78" i="24"/>
  <c r="F33" i="24"/>
  <c r="F216" i="24"/>
  <c r="E248" i="24"/>
  <c r="E214" i="24"/>
  <c r="F168" i="24"/>
  <c r="F135" i="24"/>
  <c r="F103" i="24"/>
  <c r="F71" i="24"/>
  <c r="F32" i="24"/>
  <c r="F12" i="24"/>
  <c r="F247" i="24"/>
  <c r="F209" i="24"/>
  <c r="E168" i="24"/>
  <c r="E135" i="24"/>
  <c r="E103" i="24"/>
  <c r="E63" i="24"/>
  <c r="E32" i="24"/>
  <c r="E12" i="24"/>
  <c r="E247" i="24"/>
  <c r="F200" i="24"/>
  <c r="F167" i="24"/>
  <c r="F134" i="24"/>
  <c r="F102" i="24"/>
  <c r="F62" i="24"/>
  <c r="F246" i="24"/>
  <c r="E200" i="24"/>
  <c r="E167" i="24"/>
  <c r="E134" i="24"/>
  <c r="F89" i="24"/>
  <c r="E62" i="24"/>
  <c r="E31" i="24"/>
  <c r="I11" i="24"/>
  <c r="J11" i="24" s="1"/>
  <c r="E246" i="24"/>
  <c r="F199" i="24"/>
  <c r="F166" i="24"/>
  <c r="F129" i="24"/>
  <c r="E89" i="24"/>
  <c r="E58" i="24"/>
  <c r="F30" i="24"/>
  <c r="F241" i="24"/>
  <c r="E166" i="24"/>
  <c r="F120" i="24"/>
  <c r="F88" i="24"/>
  <c r="E30" i="24"/>
  <c r="E232" i="24"/>
  <c r="E120" i="24"/>
  <c r="E88" i="24"/>
  <c r="I20" i="24"/>
  <c r="E198" i="24"/>
  <c r="F119" i="24"/>
  <c r="F20" i="24"/>
  <c r="E231" i="24"/>
  <c r="E48" i="24"/>
  <c r="F230" i="24"/>
  <c r="F47" i="24"/>
  <c r="E151" i="24"/>
  <c r="E118" i="24"/>
  <c r="I19" i="24"/>
  <c r="F225" i="24"/>
  <c r="F113" i="24"/>
  <c r="F19" i="24"/>
  <c r="E183" i="24"/>
  <c r="F73" i="24"/>
  <c r="F182" i="24"/>
  <c r="E73" i="24"/>
  <c r="F136" i="24"/>
  <c r="F41" i="24"/>
  <c r="F214" i="24"/>
  <c r="E136" i="24"/>
  <c r="I12" i="24"/>
  <c r="F31" i="24"/>
  <c r="F57" i="24"/>
  <c r="F198" i="24"/>
  <c r="F152" i="24"/>
  <c r="F56" i="24"/>
  <c r="E152" i="24"/>
  <c r="E119" i="24"/>
  <c r="F184" i="24"/>
  <c r="F118" i="24"/>
  <c r="E230" i="24"/>
  <c r="E78" i="24"/>
  <c r="F183" i="24"/>
  <c r="F46" i="24"/>
  <c r="E150" i="24"/>
  <c r="E46" i="24"/>
  <c r="F145" i="24"/>
  <c r="E42" i="24"/>
  <c r="E182" i="24"/>
  <c r="F104" i="24"/>
  <c r="I14" i="24"/>
  <c r="F177" i="24"/>
  <c r="E72" i="24"/>
  <c r="E199" i="24"/>
  <c r="F161" i="24"/>
  <c r="E57" i="24"/>
  <c r="F231" i="24"/>
  <c r="F87" i="24"/>
  <c r="F193" i="24"/>
  <c r="E87" i="24"/>
  <c r="E20" i="24"/>
  <c r="F151" i="24"/>
  <c r="F86" i="24"/>
  <c r="E184" i="24"/>
  <c r="E47" i="24"/>
  <c r="F150" i="24"/>
  <c r="E74" i="24"/>
  <c r="E216" i="24"/>
  <c r="F105" i="24"/>
  <c r="E19" i="24"/>
  <c r="E105" i="24"/>
  <c r="E215" i="24"/>
  <c r="F72" i="24"/>
  <c r="E104" i="24"/>
  <c r="E33" i="24"/>
  <c r="F215" i="24"/>
  <c r="E5" i="2" a="1"/>
  <c r="D5" i="2" a="1"/>
  <c r="D5" i="2" s="1"/>
  <c r="E21" i="2" a="1"/>
  <c r="D21" i="2" a="1"/>
  <c r="B21" i="2" a="1"/>
  <c r="B21" i="2" s="1"/>
  <c r="B11" i="1" a="1"/>
  <c r="J15" i="24" l="1"/>
  <c r="J19" i="24"/>
  <c r="J20" i="24"/>
  <c r="J17" i="24"/>
  <c r="J13" i="24"/>
  <c r="J16" i="24"/>
  <c r="J14" i="24"/>
  <c r="J22" i="24"/>
  <c r="J18" i="24"/>
  <c r="J21" i="24"/>
  <c r="J12" i="24"/>
  <c r="I13" i="1"/>
  <c r="D21" i="2"/>
  <c r="E5" i="2"/>
  <c r="F5" i="2" a="1"/>
  <c r="F5" i="2" s="1"/>
  <c r="E21" i="2"/>
  <c r="I22" i="1"/>
  <c r="I21" i="1"/>
  <c r="I20" i="1"/>
  <c r="I19" i="1"/>
  <c r="I18" i="1"/>
  <c r="I17" i="1"/>
  <c r="I16" i="1"/>
  <c r="I15" i="1"/>
  <c r="I14" i="1"/>
  <c r="I12" i="1"/>
  <c r="I11" i="1"/>
  <c r="J11" i="1" s="1"/>
  <c r="F13" i="1"/>
  <c r="F29" i="1"/>
  <c r="F45" i="1"/>
  <c r="F61" i="1"/>
  <c r="F77" i="1"/>
  <c r="F93" i="1"/>
  <c r="F109" i="1"/>
  <c r="F125" i="1"/>
  <c r="F141" i="1"/>
  <c r="F157" i="1"/>
  <c r="F173" i="1"/>
  <c r="F189" i="1"/>
  <c r="F205" i="1"/>
  <c r="F221" i="1"/>
  <c r="F237" i="1"/>
  <c r="F253" i="1"/>
  <c r="E18" i="1"/>
  <c r="E34" i="1"/>
  <c r="E50" i="1"/>
  <c r="E66" i="1"/>
  <c r="E82" i="1"/>
  <c r="E98" i="1"/>
  <c r="E114" i="1"/>
  <c r="E130" i="1"/>
  <c r="E146" i="1"/>
  <c r="E162" i="1"/>
  <c r="E178" i="1"/>
  <c r="E194" i="1"/>
  <c r="E210" i="1"/>
  <c r="E226" i="1"/>
  <c r="E242" i="1"/>
  <c r="E258" i="1"/>
  <c r="E261" i="1"/>
  <c r="E262" i="1"/>
  <c r="F66" i="1"/>
  <c r="F98" i="1"/>
  <c r="F146" i="1"/>
  <c r="F194" i="1"/>
  <c r="F242" i="1"/>
  <c r="E23" i="1"/>
  <c r="E71" i="1"/>
  <c r="E151" i="1"/>
  <c r="E231" i="1"/>
  <c r="F19" i="1"/>
  <c r="F131" i="1"/>
  <c r="F211" i="1"/>
  <c r="E24" i="1"/>
  <c r="E104" i="1"/>
  <c r="E200" i="1"/>
  <c r="F68" i="1"/>
  <c r="E57" i="1"/>
  <c r="E185" i="1"/>
  <c r="F37" i="1"/>
  <c r="F133" i="1"/>
  <c r="F229" i="1"/>
  <c r="E26" i="1"/>
  <c r="E106" i="1"/>
  <c r="E170" i="1"/>
  <c r="E250" i="1"/>
  <c r="F22" i="1"/>
  <c r="F150" i="1"/>
  <c r="F262" i="1"/>
  <c r="E91" i="1"/>
  <c r="E139" i="1"/>
  <c r="E187" i="1"/>
  <c r="E235" i="1"/>
  <c r="F39" i="1"/>
  <c r="F151" i="1"/>
  <c r="F215" i="1"/>
  <c r="E76" i="1"/>
  <c r="E156" i="1"/>
  <c r="E220" i="1"/>
  <c r="F40" i="1"/>
  <c r="F120" i="1"/>
  <c r="F216" i="1"/>
  <c r="E45" i="1"/>
  <c r="E125" i="1"/>
  <c r="E173" i="1"/>
  <c r="E221" i="1"/>
  <c r="F41" i="1"/>
  <c r="F169" i="1"/>
  <c r="E30" i="1"/>
  <c r="E94" i="1"/>
  <c r="E174" i="1"/>
  <c r="F58" i="1"/>
  <c r="F14" i="1"/>
  <c r="F30" i="1"/>
  <c r="F46" i="1"/>
  <c r="F62" i="1"/>
  <c r="F78" i="1"/>
  <c r="F94" i="1"/>
  <c r="F110" i="1"/>
  <c r="F126" i="1"/>
  <c r="F142" i="1"/>
  <c r="F158" i="1"/>
  <c r="F174" i="1"/>
  <c r="F190" i="1"/>
  <c r="F206" i="1"/>
  <c r="F222" i="1"/>
  <c r="F238" i="1"/>
  <c r="F254" i="1"/>
  <c r="E19" i="1"/>
  <c r="E35" i="1"/>
  <c r="E51" i="1"/>
  <c r="E67" i="1"/>
  <c r="E83" i="1"/>
  <c r="E99" i="1"/>
  <c r="E115" i="1"/>
  <c r="E131" i="1"/>
  <c r="E147" i="1"/>
  <c r="E163" i="1"/>
  <c r="E179" i="1"/>
  <c r="E195" i="1"/>
  <c r="E211" i="1"/>
  <c r="E227" i="1"/>
  <c r="E243" i="1"/>
  <c r="E259" i="1"/>
  <c r="E246" i="1"/>
  <c r="F34" i="1"/>
  <c r="F178" i="1"/>
  <c r="E39" i="1"/>
  <c r="E135" i="1"/>
  <c r="E215" i="1"/>
  <c r="E12" i="1"/>
  <c r="F51" i="1"/>
  <c r="F115" i="1"/>
  <c r="F195" i="1"/>
  <c r="F243" i="1"/>
  <c r="E56" i="1"/>
  <c r="E88" i="1"/>
  <c r="E120" i="1"/>
  <c r="E168" i="1"/>
  <c r="E216" i="1"/>
  <c r="F100" i="1"/>
  <c r="F212" i="1"/>
  <c r="E41" i="1"/>
  <c r="E105" i="1"/>
  <c r="E169" i="1"/>
  <c r="E233" i="1"/>
  <c r="F21" i="1"/>
  <c r="F117" i="1"/>
  <c r="F149" i="1"/>
  <c r="F213" i="1"/>
  <c r="E42" i="1"/>
  <c r="E138" i="1"/>
  <c r="F38" i="1"/>
  <c r="F166" i="1"/>
  <c r="E59" i="1"/>
  <c r="E171" i="1"/>
  <c r="F55" i="1"/>
  <c r="F119" i="1"/>
  <c r="F135" i="1"/>
  <c r="F199" i="1"/>
  <c r="F231" i="1"/>
  <c r="E60" i="1"/>
  <c r="E108" i="1"/>
  <c r="E236" i="1"/>
  <c r="F24" i="1"/>
  <c r="F168" i="1"/>
  <c r="E29" i="1"/>
  <c r="E141" i="1"/>
  <c r="E253" i="1"/>
  <c r="F57" i="1"/>
  <c r="F121" i="1"/>
  <c r="F249" i="1"/>
  <c r="E126" i="1"/>
  <c r="E206" i="1"/>
  <c r="F26" i="1"/>
  <c r="F122" i="1"/>
  <c r="F138" i="1"/>
  <c r="F15" i="1"/>
  <c r="F31" i="1"/>
  <c r="F47" i="1"/>
  <c r="F63" i="1"/>
  <c r="F79" i="1"/>
  <c r="F95" i="1"/>
  <c r="F111" i="1"/>
  <c r="F127" i="1"/>
  <c r="F143" i="1"/>
  <c r="F159" i="1"/>
  <c r="F175" i="1"/>
  <c r="F191" i="1"/>
  <c r="F207" i="1"/>
  <c r="F223" i="1"/>
  <c r="F239" i="1"/>
  <c r="F255" i="1"/>
  <c r="E20" i="1"/>
  <c r="E36" i="1"/>
  <c r="E52" i="1"/>
  <c r="E68" i="1"/>
  <c r="E84" i="1"/>
  <c r="E100" i="1"/>
  <c r="E116" i="1"/>
  <c r="E132" i="1"/>
  <c r="E148" i="1"/>
  <c r="E164" i="1"/>
  <c r="E180" i="1"/>
  <c r="E196" i="1"/>
  <c r="E212" i="1"/>
  <c r="E228" i="1"/>
  <c r="E244" i="1"/>
  <c r="E260" i="1"/>
  <c r="E245" i="1"/>
  <c r="F18" i="1"/>
  <c r="F162" i="1"/>
  <c r="F258" i="1"/>
  <c r="E55" i="1"/>
  <c r="E119" i="1"/>
  <c r="E199" i="1"/>
  <c r="E247" i="1"/>
  <c r="F35" i="1"/>
  <c r="F99" i="1"/>
  <c r="F147" i="1"/>
  <c r="F227" i="1"/>
  <c r="E72" i="1"/>
  <c r="E184" i="1"/>
  <c r="E248" i="1"/>
  <c r="F84" i="1"/>
  <c r="F196" i="1"/>
  <c r="E25" i="1"/>
  <c r="E89" i="1"/>
  <c r="E153" i="1"/>
  <c r="E201" i="1"/>
  <c r="F101" i="1"/>
  <c r="F245" i="1"/>
  <c r="E90" i="1"/>
  <c r="E154" i="1"/>
  <c r="E218" i="1"/>
  <c r="F70" i="1"/>
  <c r="F134" i="1"/>
  <c r="F182" i="1"/>
  <c r="F246" i="1"/>
  <c r="E43" i="1"/>
  <c r="E123" i="1"/>
  <c r="E203" i="1"/>
  <c r="F23" i="1"/>
  <c r="F167" i="1"/>
  <c r="E28" i="1"/>
  <c r="E92" i="1"/>
  <c r="E188" i="1"/>
  <c r="E252" i="1"/>
  <c r="F56" i="1"/>
  <c r="F136" i="1"/>
  <c r="F248" i="1"/>
  <c r="E109" i="1"/>
  <c r="E237" i="1"/>
  <c r="F73" i="1"/>
  <c r="F137" i="1"/>
  <c r="F185" i="1"/>
  <c r="F233" i="1"/>
  <c r="E46" i="1"/>
  <c r="E78" i="1"/>
  <c r="E142" i="1"/>
  <c r="E238" i="1"/>
  <c r="F74" i="1"/>
  <c r="F16" i="1"/>
  <c r="F32" i="1"/>
  <c r="F48" i="1"/>
  <c r="F64" i="1"/>
  <c r="F80" i="1"/>
  <c r="F96" i="1"/>
  <c r="F112" i="1"/>
  <c r="F128" i="1"/>
  <c r="F144" i="1"/>
  <c r="F160" i="1"/>
  <c r="F176" i="1"/>
  <c r="F192" i="1"/>
  <c r="F208" i="1"/>
  <c r="F224" i="1"/>
  <c r="F240" i="1"/>
  <c r="F256" i="1"/>
  <c r="E21" i="1"/>
  <c r="E37" i="1"/>
  <c r="E53" i="1"/>
  <c r="E69" i="1"/>
  <c r="E85" i="1"/>
  <c r="E101" i="1"/>
  <c r="E117" i="1"/>
  <c r="E133" i="1"/>
  <c r="E149" i="1"/>
  <c r="E165" i="1"/>
  <c r="E181" i="1"/>
  <c r="E197" i="1"/>
  <c r="E213" i="1"/>
  <c r="E229" i="1"/>
  <c r="F50" i="1"/>
  <c r="F114" i="1"/>
  <c r="F210" i="1"/>
  <c r="E103" i="1"/>
  <c r="E183" i="1"/>
  <c r="F67" i="1"/>
  <c r="F163" i="1"/>
  <c r="F259" i="1"/>
  <c r="E136" i="1"/>
  <c r="F148" i="1"/>
  <c r="F244" i="1"/>
  <c r="E121" i="1"/>
  <c r="E249" i="1"/>
  <c r="F85" i="1"/>
  <c r="F197" i="1"/>
  <c r="E74" i="1"/>
  <c r="E186" i="1"/>
  <c r="F102" i="1"/>
  <c r="F230" i="1"/>
  <c r="E107" i="1"/>
  <c r="E251" i="1"/>
  <c r="F103" i="1"/>
  <c r="E44" i="1"/>
  <c r="E172" i="1"/>
  <c r="F72" i="1"/>
  <c r="F200" i="1"/>
  <c r="E93" i="1"/>
  <c r="F89" i="1"/>
  <c r="F217" i="1"/>
  <c r="E110" i="1"/>
  <c r="E254" i="1"/>
  <c r="F90" i="1"/>
  <c r="F218" i="1"/>
  <c r="E15" i="1"/>
  <c r="F17" i="1"/>
  <c r="F33" i="1"/>
  <c r="F49" i="1"/>
  <c r="F65" i="1"/>
  <c r="F81" i="1"/>
  <c r="F97" i="1"/>
  <c r="F113" i="1"/>
  <c r="F129" i="1"/>
  <c r="F145" i="1"/>
  <c r="F161" i="1"/>
  <c r="F177" i="1"/>
  <c r="F193" i="1"/>
  <c r="F209" i="1"/>
  <c r="F225" i="1"/>
  <c r="F241" i="1"/>
  <c r="F257" i="1"/>
  <c r="E22" i="1"/>
  <c r="E38" i="1"/>
  <c r="E54" i="1"/>
  <c r="E70" i="1"/>
  <c r="E86" i="1"/>
  <c r="E102" i="1"/>
  <c r="E118" i="1"/>
  <c r="E134" i="1"/>
  <c r="E150" i="1"/>
  <c r="E166" i="1"/>
  <c r="E182" i="1"/>
  <c r="E198" i="1"/>
  <c r="E214" i="1"/>
  <c r="E230" i="1"/>
  <c r="F82" i="1"/>
  <c r="F130" i="1"/>
  <c r="F226" i="1"/>
  <c r="E87" i="1"/>
  <c r="E167" i="1"/>
  <c r="F83" i="1"/>
  <c r="F179" i="1"/>
  <c r="E40" i="1"/>
  <c r="E152" i="1"/>
  <c r="E232" i="1"/>
  <c r="F132" i="1"/>
  <c r="F260" i="1"/>
  <c r="E137" i="1"/>
  <c r="F53" i="1"/>
  <c r="F181" i="1"/>
  <c r="E58" i="1"/>
  <c r="E202" i="1"/>
  <c r="F86" i="1"/>
  <c r="F214" i="1"/>
  <c r="E75" i="1"/>
  <c r="E219" i="1"/>
  <c r="F87" i="1"/>
  <c r="F247" i="1"/>
  <c r="E140" i="1"/>
  <c r="F104" i="1"/>
  <c r="F152" i="1"/>
  <c r="F232" i="1"/>
  <c r="E61" i="1"/>
  <c r="E205" i="1"/>
  <c r="F105" i="1"/>
  <c r="F201" i="1"/>
  <c r="E62" i="1"/>
  <c r="E190" i="1"/>
  <c r="F106" i="1"/>
  <c r="F234" i="1"/>
  <c r="F20" i="1"/>
  <c r="F36" i="1"/>
  <c r="F52" i="1"/>
  <c r="F116" i="1"/>
  <c r="F164" i="1"/>
  <c r="F180" i="1"/>
  <c r="F228" i="1"/>
  <c r="E73" i="1"/>
  <c r="E217" i="1"/>
  <c r="F69" i="1"/>
  <c r="F165" i="1"/>
  <c r="F261" i="1"/>
  <c r="E122" i="1"/>
  <c r="E234" i="1"/>
  <c r="F54" i="1"/>
  <c r="F118" i="1"/>
  <c r="F198" i="1"/>
  <c r="E27" i="1"/>
  <c r="E155" i="1"/>
  <c r="F71" i="1"/>
  <c r="F183" i="1"/>
  <c r="F12" i="1"/>
  <c r="E124" i="1"/>
  <c r="E204" i="1"/>
  <c r="F88" i="1"/>
  <c r="F184" i="1"/>
  <c r="E13" i="1"/>
  <c r="E77" i="1"/>
  <c r="E157" i="1"/>
  <c r="E189" i="1"/>
  <c r="F25" i="1"/>
  <c r="F153" i="1"/>
  <c r="E14" i="1"/>
  <c r="E158" i="1"/>
  <c r="E222" i="1"/>
  <c r="F42" i="1"/>
  <c r="F170" i="1"/>
  <c r="F250" i="1"/>
  <c r="E31" i="1"/>
  <c r="F27" i="1"/>
  <c r="F154" i="1"/>
  <c r="F252" i="1"/>
  <c r="E97" i="1"/>
  <c r="E191" i="1"/>
  <c r="E16" i="1"/>
  <c r="E111" i="1"/>
  <c r="F156" i="1"/>
  <c r="E17" i="1"/>
  <c r="E112" i="1"/>
  <c r="E193" i="1"/>
  <c r="F44" i="1"/>
  <c r="E32" i="1"/>
  <c r="E207" i="1"/>
  <c r="E33" i="1"/>
  <c r="E127" i="1"/>
  <c r="F60" i="1"/>
  <c r="E128" i="1"/>
  <c r="F187" i="1"/>
  <c r="E129" i="1"/>
  <c r="F76" i="1"/>
  <c r="E143" i="1"/>
  <c r="F202" i="1"/>
  <c r="E225" i="1"/>
  <c r="E64" i="1"/>
  <c r="F107" i="1"/>
  <c r="E159" i="1"/>
  <c r="F108" i="1"/>
  <c r="E241" i="1"/>
  <c r="E80" i="1"/>
  <c r="F124" i="1"/>
  <c r="E175" i="1"/>
  <c r="E95" i="1"/>
  <c r="F140" i="1"/>
  <c r="E177" i="1"/>
  <c r="F28" i="1"/>
  <c r="F155" i="1"/>
  <c r="E192" i="1"/>
  <c r="F171" i="1"/>
  <c r="E113" i="1"/>
  <c r="F172" i="1"/>
  <c r="F186" i="1"/>
  <c r="E209" i="1"/>
  <c r="E48" i="1"/>
  <c r="F188" i="1"/>
  <c r="E224" i="1"/>
  <c r="E144" i="1"/>
  <c r="F203" i="1"/>
  <c r="E239" i="1"/>
  <c r="E65" i="1"/>
  <c r="E79" i="1"/>
  <c r="F123" i="1"/>
  <c r="E161" i="1"/>
  <c r="F235" i="1"/>
  <c r="E256" i="1"/>
  <c r="E176" i="1"/>
  <c r="F251" i="1"/>
  <c r="F43" i="1"/>
  <c r="F59" i="1"/>
  <c r="E208" i="1"/>
  <c r="E47" i="1"/>
  <c r="F75" i="1"/>
  <c r="E223" i="1"/>
  <c r="E49" i="1"/>
  <c r="F91" i="1"/>
  <c r="E63" i="1"/>
  <c r="F92" i="1"/>
  <c r="E145" i="1"/>
  <c r="F204" i="1"/>
  <c r="E240" i="1"/>
  <c r="F219" i="1"/>
  <c r="E160" i="1"/>
  <c r="F220" i="1"/>
  <c r="E255" i="1"/>
  <c r="E81" i="1"/>
  <c r="F139" i="1"/>
  <c r="E257" i="1"/>
  <c r="E96" i="1"/>
  <c r="F236" i="1"/>
  <c r="B11" i="1"/>
  <c r="F21" i="2" l="1" a="1"/>
  <c r="F21" i="2" s="1"/>
  <c r="J18" i="1"/>
  <c r="J21" i="1"/>
  <c r="J22" i="1"/>
  <c r="J17" i="1"/>
  <c r="J15" i="1"/>
  <c r="J19" i="1"/>
  <c r="J12" i="1"/>
  <c r="J14" i="1"/>
  <c r="J20" i="1"/>
  <c r="J13" i="1"/>
  <c r="J16" i="1"/>
  <c r="C6" i="13" l="1" a="1"/>
  <c r="C6" i="13" s="1"/>
  <c r="G6" i="13" s="1" a="1"/>
  <c r="C21" i="2" a="1"/>
  <c r="C5" i="2" a="1"/>
  <c r="C5" i="2" s="1"/>
  <c r="G5" i="2" s="1" a="1"/>
  <c r="G5" i="2" l="1"/>
  <c r="H4" i="22" s="1" a="1"/>
  <c r="H4" i="22" s="1"/>
  <c r="G6" i="13"/>
  <c r="H4" i="23" s="1" a="1"/>
  <c r="H4" i="23" s="1"/>
  <c r="C22" i="13" a="1"/>
  <c r="C22" i="13" s="1"/>
  <c r="C21" i="2"/>
  <c r="F5" i="1"/>
  <c r="F4" i="1"/>
  <c r="H6" i="13" l="1"/>
  <c r="H7" i="13" s="1"/>
  <c r="H8" i="13" s="1"/>
  <c r="H9" i="13" s="1"/>
  <c r="H10" i="13" s="1"/>
  <c r="H11" i="13" s="1"/>
  <c r="H12" i="13" s="1"/>
  <c r="H13" i="13" s="1"/>
  <c r="H14" i="13" s="1"/>
  <c r="H15" i="13" s="1"/>
  <c r="H16" i="13" s="1"/>
  <c r="H17" i="13" s="1"/>
  <c r="H16" i="23" s="1"/>
  <c r="H5" i="2"/>
  <c r="H6" i="2" s="1"/>
  <c r="H7" i="2" s="1"/>
  <c r="H8" i="2" s="1"/>
  <c r="H9" i="2" s="1"/>
  <c r="H10" i="2" s="1"/>
  <c r="H11" i="2" s="1"/>
  <c r="H12" i="2" s="1"/>
  <c r="H13" i="2" s="1"/>
  <c r="H14" i="2" s="1"/>
  <c r="H15" i="2" s="1"/>
  <c r="H16" i="2" s="1"/>
  <c r="I28" i="13"/>
  <c r="J28" i="13" s="1"/>
  <c r="I27" i="13"/>
  <c r="J27" i="13" s="1"/>
  <c r="I26" i="13"/>
  <c r="J26" i="13" s="1"/>
  <c r="I33" i="13"/>
  <c r="J33" i="13" s="1"/>
  <c r="G22" i="2"/>
  <c r="G23" i="2"/>
  <c r="G24" i="2"/>
  <c r="G25" i="2"/>
  <c r="G26" i="2"/>
  <c r="G27" i="2"/>
  <c r="G28" i="2"/>
  <c r="G29" i="2"/>
  <c r="G30" i="2"/>
  <c r="G31" i="2"/>
  <c r="G32" i="2"/>
  <c r="G21" i="2"/>
  <c r="H22" i="2"/>
  <c r="H23" i="2"/>
  <c r="H24" i="2"/>
  <c r="H25" i="2"/>
  <c r="H26" i="2"/>
  <c r="H27" i="2"/>
  <c r="H28" i="2"/>
  <c r="H29" i="2"/>
  <c r="H30" i="2"/>
  <c r="H31" i="2"/>
  <c r="H32" i="2"/>
  <c r="H21" i="2"/>
  <c r="I6" i="13" l="1"/>
  <c r="I25" i="13"/>
  <c r="J25" i="13" s="1"/>
  <c r="I29" i="13"/>
  <c r="J29" i="13" s="1"/>
  <c r="I23" i="13"/>
  <c r="J23" i="13" s="1"/>
  <c r="I31" i="13"/>
  <c r="J31" i="13" s="1"/>
  <c r="I24" i="13"/>
  <c r="J24" i="13" s="1"/>
  <c r="I30" i="13"/>
  <c r="J30" i="13" s="1"/>
  <c r="I22" i="13"/>
  <c r="J22" i="13" s="1"/>
  <c r="K22" i="13" s="1"/>
  <c r="K23" i="13" s="1"/>
  <c r="I32" i="13"/>
  <c r="J32" i="13" s="1"/>
  <c r="H16" i="22"/>
  <c r="I5" i="2"/>
  <c r="I21" i="2"/>
  <c r="J21" i="2" s="1"/>
  <c r="I32" i="2"/>
  <c r="J32" i="2" s="1"/>
  <c r="I31" i="2"/>
  <c r="J31" i="2" s="1"/>
  <c r="I30" i="2"/>
  <c r="J30" i="2" s="1"/>
  <c r="I29" i="2"/>
  <c r="J29" i="2" s="1"/>
  <c r="I28" i="2"/>
  <c r="J28" i="2" s="1"/>
  <c r="I27" i="2"/>
  <c r="J27" i="2" s="1"/>
  <c r="I26" i="2"/>
  <c r="J26" i="2" s="1"/>
  <c r="I25" i="2"/>
  <c r="J25" i="2" s="1"/>
  <c r="I24" i="2"/>
  <c r="J24" i="2" s="1"/>
  <c r="I23" i="2"/>
  <c r="J23" i="2" s="1"/>
  <c r="I22" i="2"/>
  <c r="J22" i="2" s="1"/>
  <c r="K24" i="13" l="1"/>
  <c r="K25" i="13" s="1"/>
  <c r="K26" i="13" s="1"/>
  <c r="K27" i="13" s="1"/>
  <c r="K28" i="13" s="1"/>
  <c r="K29" i="13" s="1"/>
  <c r="K30" i="13" s="1"/>
  <c r="K31" i="13" s="1"/>
  <c r="K32" i="13" s="1"/>
  <c r="K33" i="13" s="1"/>
  <c r="G16" i="23" s="1"/>
  <c r="G4" i="23" a="1"/>
  <c r="G4" i="23" s="1"/>
  <c r="G4" i="22" a="1"/>
  <c r="G4" i="22" s="1"/>
  <c r="K21" i="2"/>
  <c r="K22" i="2" s="1"/>
  <c r="L22" i="13" l="1"/>
  <c r="K23" i="2"/>
  <c r="K24" i="2" s="1"/>
  <c r="K25" i="2" s="1"/>
  <c r="K26" i="2" s="1"/>
  <c r="K27" i="2" s="1"/>
  <c r="K28" i="2" s="1"/>
  <c r="K29" i="2" s="1"/>
  <c r="K30" i="2" s="1"/>
  <c r="K31" i="2" s="1"/>
  <c r="K32" i="2" s="1"/>
  <c r="G16" i="22" l="1"/>
  <c r="L2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01">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futureMetadata>
  <cellMetadata count="1">
    <bk>
      <rc t="1" v="0"/>
    </bk>
  </cellMetadata>
  <valueMetadata count="5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valueMetadata>
</metadata>
</file>

<file path=xl/sharedStrings.xml><?xml version="1.0" encoding="utf-8"?>
<sst xmlns="http://schemas.openxmlformats.org/spreadsheetml/2006/main" count="161" uniqueCount="61">
  <si>
    <t>Row Labels</t>
  </si>
  <si>
    <t>Sum of Hedged Index</t>
  </si>
  <si>
    <t>Grand Total</t>
  </si>
  <si>
    <t>Month</t>
  </si>
  <si>
    <t>Unhedged Index</t>
  </si>
  <si>
    <t>Hedged Index</t>
  </si>
  <si>
    <t>Start Date</t>
  </si>
  <si>
    <t>End Date</t>
  </si>
  <si>
    <t>Domestic (London) Risk-Free Rate</t>
  </si>
  <si>
    <t>Domestic Risk-Free Rate</t>
  </si>
  <si>
    <t>Foreign (U.S.) Risk-Free Rate</t>
  </si>
  <si>
    <t>Foreign Risk-Free Rate</t>
  </si>
  <si>
    <t>Foreign Investment</t>
  </si>
  <si>
    <t>Historical Foreign Investment Returns (NYSE:AAPL)</t>
  </si>
  <si>
    <t>Monthly Historical Foreign Investment Returns (NYSE:AAPL)</t>
  </si>
  <si>
    <t>Monthly Spot Rate</t>
  </si>
  <si>
    <t>Date</t>
  </si>
  <si>
    <t>Price</t>
  </si>
  <si>
    <t>Δ (Delta)</t>
  </si>
  <si>
    <t>Return</t>
  </si>
  <si>
    <t>EOM Price</t>
  </si>
  <si>
    <t>January</t>
  </si>
  <si>
    <t>December 2023</t>
  </si>
  <si>
    <t>February</t>
  </si>
  <si>
    <t>March</t>
  </si>
  <si>
    <t>April</t>
  </si>
  <si>
    <t>May</t>
  </si>
  <si>
    <t>June</t>
  </si>
  <si>
    <t>July</t>
  </si>
  <si>
    <t>August</t>
  </si>
  <si>
    <t>September</t>
  </si>
  <si>
    <t>October</t>
  </si>
  <si>
    <t>November</t>
  </si>
  <si>
    <t>December</t>
  </si>
  <si>
    <t>January 2025</t>
  </si>
  <si>
    <t>Simulated Month to Month Returns - Unhedged</t>
  </si>
  <si>
    <t xml:space="preserve">Foreign Asset Return </t>
  </si>
  <si>
    <t>Spot Exchange Rate (t)</t>
  </si>
  <si>
    <t>Spot Exchange Rate (t-1)</t>
  </si>
  <si>
    <t>Spot Exchange Return</t>
  </si>
  <si>
    <t>Unhedged Return</t>
  </si>
  <si>
    <t>Deviation</t>
  </si>
  <si>
    <t>Simulated Month to Month Returns - Hedged</t>
  </si>
  <si>
    <t>Risk Free Domestic</t>
  </si>
  <si>
    <t>Risk Free Foreign</t>
  </si>
  <si>
    <t>Forward</t>
  </si>
  <si>
    <t>Hedged Return</t>
  </si>
  <si>
    <t>Sum of Unhedged Index</t>
  </si>
  <si>
    <t>Forward Price</t>
  </si>
  <si>
    <t>Exchange Rate (USD/EUR)</t>
  </si>
  <si>
    <t>Hedged</t>
  </si>
  <si>
    <t>Unhedged</t>
  </si>
  <si>
    <t>Cumulative</t>
  </si>
  <si>
    <t>Standard Inputs - Base Scenario</t>
  </si>
  <si>
    <t>Exchange Rate (Argentinian Pesos per 1 EUR)</t>
  </si>
  <si>
    <t>Foreign (Argentina) Risk-Free Rate</t>
  </si>
  <si>
    <t>PNL 2</t>
  </si>
  <si>
    <t>PNL 1</t>
  </si>
  <si>
    <t>Index</t>
  </si>
  <si>
    <t>&lt;- traded on the Buenos Aires Stock Exchange</t>
  </si>
  <si>
    <t>Standard Inputs - Scenario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</si>
</sst>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409]mmmm\ d\,\ yyyy;@"/>
    <numFmt numFmtId="165" formatCode="0.00%&quot;/yr&quot;"/>
    <numFmt numFmtId="166" formatCode="[$-409]mmmm;@"/>
    <numFmt numFmtId="167" formatCode="_(* #,##0_);_(* \(#,##0\);_(* &quot;-&quot;??_);_(@_)"/>
    <numFmt numFmtId="168" formatCode="mmmm"/>
    <numFmt numFmtId="169" formatCode="0.00%&quot;/mo&quot;"/>
  </numFmts>
  <fonts count="6" x14ac:knownFonts="1">
    <font>
      <sz val="11"/>
      <color theme="1"/>
      <name val="Aptos Narrow"/>
      <family val="2"/>
      <scheme val="minor"/>
    </font>
    <font>
      <sz val="11"/>
      <color theme="1"/>
      <name val="Aptos Narrow"/>
      <family val="2"/>
      <scheme val="minor"/>
    </font>
    <font>
      <sz val="18"/>
      <color theme="3"/>
      <name val="Aptos Display"/>
      <family val="2"/>
      <scheme val="major"/>
    </font>
    <font>
      <b/>
      <sz val="11"/>
      <color theme="1"/>
      <name val="Aptos Narrow"/>
      <family val="2"/>
      <scheme val="minor"/>
    </font>
    <font>
      <sz val="8"/>
      <name val="Aptos Narrow"/>
      <family val="2"/>
      <scheme val="minor"/>
    </font>
    <font>
      <b/>
      <sz val="18"/>
      <name val="Aptos Display"/>
      <family val="2"/>
      <scheme val="major"/>
    </font>
  </fonts>
  <fills count="7">
    <fill>
      <patternFill patternType="none"/>
    </fill>
    <fill>
      <patternFill patternType="gray125"/>
    </fill>
    <fill>
      <patternFill patternType="solid">
        <fgColor theme="5" tint="0.79998168889431442"/>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3" tint="0.749992370372631"/>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115">
    <xf numFmtId="0" fontId="0" fillId="0" borderId="0" xfId="0"/>
    <xf numFmtId="0" fontId="0" fillId="0" borderId="5" xfId="0" applyBorder="1"/>
    <xf numFmtId="0" fontId="0" fillId="0" borderId="6" xfId="0" applyBorder="1"/>
    <xf numFmtId="164" fontId="0" fillId="0" borderId="6" xfId="0" applyNumberFormat="1" applyBorder="1"/>
    <xf numFmtId="0" fontId="0" fillId="0" borderId="7" xfId="0" applyBorder="1"/>
    <xf numFmtId="0" fontId="0" fillId="0" borderId="4" xfId="0" applyBorder="1"/>
    <xf numFmtId="165" fontId="0" fillId="0" borderId="0" xfId="0" applyNumberFormat="1"/>
    <xf numFmtId="10" fontId="0" fillId="0" borderId="8" xfId="3" applyNumberFormat="1" applyFont="1" applyBorder="1"/>
    <xf numFmtId="0" fontId="0" fillId="0" borderId="9" xfId="0" applyBorder="1"/>
    <xf numFmtId="0" fontId="0" fillId="0" borderId="10" xfId="0" applyBorder="1"/>
    <xf numFmtId="0" fontId="0" fillId="0" borderId="11" xfId="0" applyBorder="1"/>
    <xf numFmtId="164" fontId="0" fillId="0" borderId="7" xfId="0" applyNumberFormat="1" applyBorder="1"/>
    <xf numFmtId="10" fontId="0" fillId="0" borderId="11" xfId="3" applyNumberFormat="1" applyFont="1" applyBorder="1"/>
    <xf numFmtId="10" fontId="0" fillId="0" borderId="0" xfId="3" applyNumberFormat="1" applyFont="1" applyBorder="1"/>
    <xf numFmtId="0" fontId="0" fillId="0" borderId="10" xfId="0" applyBorder="1" applyAlignment="1">
      <alignment horizontal="right"/>
    </xf>
    <xf numFmtId="10" fontId="0" fillId="0" borderId="10" xfId="3" applyNumberFormat="1" applyFont="1" applyBorder="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5" xfId="0" applyBorder="1" applyAlignment="1">
      <alignment horizontal="right"/>
    </xf>
    <xf numFmtId="10" fontId="0" fillId="0" borderId="7" xfId="3" applyNumberFormat="1" applyFont="1" applyBorder="1"/>
    <xf numFmtId="0" fontId="0" fillId="0" borderId="4" xfId="0" applyBorder="1" applyAlignment="1">
      <alignment horizontal="right"/>
    </xf>
    <xf numFmtId="0" fontId="0" fillId="0" borderId="9" xfId="0" applyBorder="1" applyAlignment="1">
      <alignment horizontal="right"/>
    </xf>
    <xf numFmtId="44" fontId="0" fillId="0" borderId="8" xfId="2" applyFont="1" applyBorder="1"/>
    <xf numFmtId="0" fontId="0" fillId="0" borderId="0" xfId="0" pivotButton="1"/>
    <xf numFmtId="10" fontId="0" fillId="0" borderId="0" xfId="0" applyNumberFormat="1"/>
    <xf numFmtId="44" fontId="0" fillId="0" borderId="0" xfId="0" applyNumberFormat="1"/>
    <xf numFmtId="166" fontId="0" fillId="0" borderId="13" xfId="0" applyNumberFormat="1" applyBorder="1"/>
    <xf numFmtId="166" fontId="0" fillId="0" borderId="15" xfId="0" applyNumberFormat="1" applyBorder="1"/>
    <xf numFmtId="10" fontId="0" fillId="0" borderId="12" xfId="0" applyNumberFormat="1" applyBorder="1"/>
    <xf numFmtId="44" fontId="0" fillId="0" borderId="12" xfId="0" applyNumberFormat="1" applyBorder="1"/>
    <xf numFmtId="10" fontId="0" fillId="0" borderId="12" xfId="3" applyNumberFormat="1" applyFont="1" applyBorder="1"/>
    <xf numFmtId="0" fontId="0" fillId="0" borderId="5" xfId="0" quotePrefix="1" applyBorder="1" applyAlignment="1">
      <alignment horizontal="right"/>
    </xf>
    <xf numFmtId="44" fontId="0" fillId="0" borderId="7" xfId="2" applyFont="1" applyBorder="1"/>
    <xf numFmtId="44" fontId="0" fillId="0" borderId="11" xfId="2" applyFont="1" applyFill="1" applyBorder="1"/>
    <xf numFmtId="17" fontId="0" fillId="0" borderId="9" xfId="0" quotePrefix="1" applyNumberFormat="1" applyBorder="1" applyAlignment="1">
      <alignment horizontal="right"/>
    </xf>
    <xf numFmtId="0" fontId="3" fillId="2" borderId="1" xfId="0" applyFont="1" applyFill="1" applyBorder="1" applyAlignment="1">
      <alignment horizontal="center"/>
    </xf>
    <xf numFmtId="0" fontId="3" fillId="2" borderId="2" xfId="0" applyFont="1" applyFill="1" applyBorder="1" applyAlignment="1">
      <alignment horizontal="center"/>
    </xf>
    <xf numFmtId="43" fontId="0" fillId="0" borderId="0" xfId="1" applyFont="1" applyBorder="1"/>
    <xf numFmtId="43" fontId="0" fillId="0" borderId="12" xfId="1" applyFont="1" applyBorder="1"/>
    <xf numFmtId="167" fontId="0" fillId="0" borderId="0" xfId="1" applyNumberFormat="1" applyFont="1" applyBorder="1"/>
    <xf numFmtId="0" fontId="0" fillId="0" borderId="14" xfId="0" applyBorder="1"/>
    <xf numFmtId="167" fontId="0" fillId="0" borderId="12" xfId="1" applyNumberFormat="1" applyFont="1" applyBorder="1"/>
    <xf numFmtId="0" fontId="0" fillId="0" borderId="16" xfId="0" applyBorder="1"/>
    <xf numFmtId="9" fontId="0" fillId="0" borderId="14" xfId="3" applyFont="1" applyBorder="1"/>
    <xf numFmtId="0" fontId="0" fillId="0" borderId="12" xfId="0" applyBorder="1"/>
    <xf numFmtId="0" fontId="0" fillId="0" borderId="13" xfId="0" applyBorder="1"/>
    <xf numFmtId="10" fontId="0" fillId="0" borderId="14" xfId="3" applyNumberFormat="1" applyFont="1" applyBorder="1"/>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167" fontId="0" fillId="0" borderId="14" xfId="1" applyNumberFormat="1" applyFont="1" applyBorder="1"/>
    <xf numFmtId="167" fontId="0" fillId="0" borderId="16" xfId="1" applyNumberFormat="1" applyFont="1" applyBorder="1"/>
    <xf numFmtId="9" fontId="0" fillId="0" borderId="17" xfId="3" applyFont="1" applyBorder="1"/>
    <xf numFmtId="0" fontId="3" fillId="2" borderId="18" xfId="0" applyFont="1" applyFill="1" applyBorder="1" applyAlignment="1">
      <alignment horizontal="center"/>
    </xf>
    <xf numFmtId="167" fontId="0" fillId="0" borderId="19" xfId="1" applyNumberFormat="1" applyFont="1" applyBorder="1"/>
    <xf numFmtId="168" fontId="0" fillId="0" borderId="0" xfId="0" applyNumberFormat="1"/>
    <xf numFmtId="0" fontId="3" fillId="0" borderId="15" xfId="0" applyFont="1" applyBorder="1"/>
    <xf numFmtId="10" fontId="3" fillId="0" borderId="12" xfId="3" applyNumberFormat="1" applyFont="1" applyBorder="1"/>
    <xf numFmtId="10" fontId="3" fillId="0" borderId="16" xfId="3" applyNumberFormat="1" applyFont="1" applyBorder="1"/>
    <xf numFmtId="0" fontId="3" fillId="0" borderId="13" xfId="0" applyFont="1" applyBorder="1"/>
    <xf numFmtId="0" fontId="3" fillId="0" borderId="0" xfId="0" applyFont="1" applyAlignment="1">
      <alignment horizontal="center"/>
    </xf>
    <xf numFmtId="0" fontId="3" fillId="0" borderId="14" xfId="0" applyFont="1" applyBorder="1" applyAlignment="1">
      <alignment horizontal="center"/>
    </xf>
    <xf numFmtId="169" fontId="0" fillId="0" borderId="8" xfId="3" applyNumberFormat="1" applyFont="1" applyBorder="1"/>
    <xf numFmtId="44" fontId="0" fillId="0" borderId="6" xfId="0" applyNumberFormat="1" applyBorder="1"/>
    <xf numFmtId="43" fontId="0" fillId="0" borderId="6" xfId="1" applyFont="1" applyBorder="1"/>
    <xf numFmtId="0" fontId="5" fillId="6" borderId="4" xfId="4" applyFont="1" applyFill="1" applyBorder="1"/>
    <xf numFmtId="0" fontId="0" fillId="6" borderId="0" xfId="0" applyFill="1"/>
    <xf numFmtId="0" fontId="0" fillId="6" borderId="8" xfId="0" applyFill="1" applyBorder="1"/>
    <xf numFmtId="0" fontId="3" fillId="6" borderId="1" xfId="0" applyFont="1" applyFill="1" applyBorder="1" applyAlignment="1">
      <alignment horizontal="center"/>
    </xf>
    <xf numFmtId="0" fontId="3" fillId="6" borderId="2" xfId="0" applyFont="1" applyFill="1" applyBorder="1" applyAlignment="1">
      <alignment horizontal="center"/>
    </xf>
    <xf numFmtId="0" fontId="3" fillId="6" borderId="3" xfId="0" applyFont="1" applyFill="1" applyBorder="1" applyAlignment="1">
      <alignment horizontal="center"/>
    </xf>
    <xf numFmtId="0" fontId="5" fillId="4" borderId="4" xfId="4" applyFont="1" applyFill="1" applyBorder="1"/>
    <xf numFmtId="0" fontId="0" fillId="4" borderId="0" xfId="0" applyFill="1"/>
    <xf numFmtId="0" fontId="0" fillId="4" borderId="8" xfId="0" applyFill="1" applyBorder="1"/>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4" borderId="18" xfId="0" applyFont="1" applyFill="1" applyBorder="1" applyAlignment="1">
      <alignment horizontal="center"/>
    </xf>
    <xf numFmtId="168" fontId="0" fillId="0" borderId="13" xfId="0" applyNumberFormat="1" applyBorder="1"/>
    <xf numFmtId="168" fontId="0" fillId="0" borderId="15" xfId="0" applyNumberFormat="1" applyBorder="1"/>
    <xf numFmtId="168" fontId="0" fillId="0" borderId="0" xfId="0" applyNumberFormat="1" applyAlignment="1">
      <alignment horizontal="left"/>
    </xf>
    <xf numFmtId="0" fontId="3" fillId="0" borderId="13" xfId="0" applyFont="1" applyBorder="1" applyAlignment="1">
      <alignment horizontal="right"/>
    </xf>
    <xf numFmtId="0" fontId="3" fillId="0" borderId="0" xfId="0" applyFont="1"/>
    <xf numFmtId="0" fontId="3" fillId="0" borderId="14" xfId="0" applyFont="1" applyBorder="1"/>
    <xf numFmtId="0" fontId="3" fillId="0" borderId="13" xfId="0" applyFont="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5" fillId="4" borderId="1" xfId="4" applyFont="1" applyFill="1" applyBorder="1" applyAlignment="1">
      <alignment horizontal="center"/>
    </xf>
    <xf numFmtId="0" fontId="5" fillId="4" borderId="2" xfId="4" applyFont="1" applyFill="1" applyBorder="1" applyAlignment="1">
      <alignment horizontal="center"/>
    </xf>
    <xf numFmtId="0" fontId="5" fillId="4" borderId="3" xfId="4" applyFont="1" applyFill="1" applyBorder="1" applyAlignment="1">
      <alignment horizontal="center"/>
    </xf>
    <xf numFmtId="0" fontId="5" fillId="2" borderId="1" xfId="4" applyFont="1" applyFill="1" applyBorder="1" applyAlignment="1">
      <alignment horizontal="center"/>
    </xf>
    <xf numFmtId="0" fontId="5" fillId="2" borderId="2" xfId="4" applyFont="1" applyFill="1" applyBorder="1" applyAlignment="1">
      <alignment horizontal="center"/>
    </xf>
    <xf numFmtId="0" fontId="5" fillId="2" borderId="3" xfId="4" applyFont="1"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5" fillId="3" borderId="1" xfId="4" applyFont="1" applyFill="1" applyBorder="1" applyAlignment="1">
      <alignment horizontal="center"/>
    </xf>
    <xf numFmtId="0" fontId="5" fillId="3" borderId="2" xfId="4" applyFont="1" applyFill="1" applyBorder="1" applyAlignment="1">
      <alignment horizontal="center"/>
    </xf>
    <xf numFmtId="0" fontId="5" fillId="3" borderId="3" xfId="4" applyFont="1" applyFill="1" applyBorder="1" applyAlignment="1">
      <alignment horizontal="center"/>
    </xf>
    <xf numFmtId="0" fontId="5" fillId="6" borderId="1" xfId="4" applyFont="1" applyFill="1" applyBorder="1" applyAlignment="1">
      <alignment horizontal="center"/>
    </xf>
    <xf numFmtId="0" fontId="5" fillId="6" borderId="2" xfId="4" applyFont="1" applyFill="1" applyBorder="1" applyAlignment="1">
      <alignment horizontal="center"/>
    </xf>
    <xf numFmtId="0" fontId="5" fillId="6" borderId="3" xfId="4" applyFont="1" applyFill="1" applyBorder="1" applyAlignment="1">
      <alignment horizontal="center"/>
    </xf>
    <xf numFmtId="0" fontId="0" fillId="5"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cellXfs>
  <cellStyles count="5">
    <cellStyle name="Comma" xfId="1" builtinId="3"/>
    <cellStyle name="Currency" xfId="2" builtinId="4"/>
    <cellStyle name="Normal" xfId="0" builtinId="0"/>
    <cellStyle name="Percent" xfId="3" builtinId="5"/>
    <cellStyle name="Title" xfId="4" builtinId="15"/>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[Hedged vs Unhedged Foreign Currency Model.xlsx]PNL 1!PivotTable1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68209629371044E-2"/>
          <c:y val="0.13786807892215094"/>
          <c:w val="0.64590679099806614"/>
          <c:h val="0.66348717026650439"/>
        </c:manualLayout>
      </c:layout>
      <c:lineChart>
        <c:grouping val="standard"/>
        <c:varyColors val="0"/>
        <c:ser>
          <c:idx val="0"/>
          <c:order val="0"/>
          <c:tx>
            <c:strRef>
              <c:f>'PNL 1'!$O$2</c:f>
              <c:strCache>
                <c:ptCount val="1"/>
                <c:pt idx="0">
                  <c:v>Sum of Unhedged Index</c:v>
                </c:pt>
              </c:strCache>
            </c:strRef>
          </c:tx>
          <c:spPr>
            <a:ln w="28575" cap="rnd">
              <a:solidFill>
                <a:schemeClr val="accent1"/>
              </a:solidFill>
              <a:round/>
            </a:ln>
            <a:effectLst/>
          </c:spPr>
          <c:marker>
            <c:symbol val="none"/>
          </c:marker>
          <c:cat>
            <c:strRef>
              <c:f>'PNL 1'!$N$3:$N$15</c:f>
              <c:strCache>
                <c:ptCount val="12"/>
                <c:pt idx="0">
                  <c:v>January</c:v>
                </c:pt>
                <c:pt idx="1">
                  <c:v>January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'PNL 1'!$O$3:$O$15</c:f>
              <c:numCache>
                <c:formatCode>General</c:formatCode>
                <c:ptCount val="12"/>
                <c:pt idx="0">
                  <c:v>98.053821228745946</c:v>
                </c:pt>
                <c:pt idx="1">
                  <c:v>97.527026725809691</c:v>
                </c:pt>
                <c:pt idx="2">
                  <c:v>92.772619338661571</c:v>
                </c:pt>
                <c:pt idx="3">
                  <c:v>93.059948732393678</c:v>
                </c:pt>
                <c:pt idx="4">
                  <c:v>105.27120336462605</c:v>
                </c:pt>
                <c:pt idx="5">
                  <c:v>113.83235335497088</c:v>
                </c:pt>
                <c:pt idx="6">
                  <c:v>121.36750932668292</c:v>
                </c:pt>
                <c:pt idx="7">
                  <c:v>124.54612879610018</c:v>
                </c:pt>
                <c:pt idx="8">
                  <c:v>123.73965229693457</c:v>
                </c:pt>
                <c:pt idx="9">
                  <c:v>119.76840032668706</c:v>
                </c:pt>
                <c:pt idx="10">
                  <c:v>128.11472214673142</c:v>
                </c:pt>
                <c:pt idx="11">
                  <c:v>139.37367401304994</c:v>
                </c:pt>
              </c:numCache>
            </c:numRef>
          </c:val>
          <c:smooth val="0"/>
          <c:extLst>
            <c:ext xmlns:c16="http://schemas.microsoft.com/office/drawing/2014/chart" uri="{C3380CC4-5D6E-409C-BE32-E72D297353CC}">
              <c16:uniqueId val="{00000000-F5F3-4FC2-B117-C32A3F1D4BE5}"/>
            </c:ext>
          </c:extLst>
        </c:ser>
        <c:ser>
          <c:idx val="1"/>
          <c:order val="1"/>
          <c:tx>
            <c:strRef>
              <c:f>'PNL 1'!$P$2</c:f>
              <c:strCache>
                <c:ptCount val="1"/>
                <c:pt idx="0">
                  <c:v>Sum of Hedged Index</c:v>
                </c:pt>
              </c:strCache>
            </c:strRef>
          </c:tx>
          <c:spPr>
            <a:ln w="28575" cap="rnd">
              <a:solidFill>
                <a:schemeClr val="accent2"/>
              </a:solidFill>
              <a:round/>
            </a:ln>
            <a:effectLst/>
          </c:spPr>
          <c:marker>
            <c:symbol val="none"/>
          </c:marker>
          <c:cat>
            <c:strRef>
              <c:f>'PNL 1'!$N$3:$N$15</c:f>
              <c:strCache>
                <c:ptCount val="12"/>
                <c:pt idx="0">
                  <c:v>January</c:v>
                </c:pt>
                <c:pt idx="1">
                  <c:v>January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'PNL 1'!$P$3:$P$15</c:f>
              <c:numCache>
                <c:formatCode>General</c:formatCode>
                <c:ptCount val="12"/>
                <c:pt idx="0">
                  <c:v>99.37327423225895</c:v>
                </c:pt>
                <c:pt idx="1">
                  <c:v>97.446721295343011</c:v>
                </c:pt>
                <c:pt idx="2">
                  <c:v>92.487415346480802</c:v>
                </c:pt>
                <c:pt idx="3">
                  <c:v>91.905299989547814</c:v>
                </c:pt>
                <c:pt idx="4">
                  <c:v>103.77577887694056</c:v>
                </c:pt>
                <c:pt idx="5">
                  <c:v>113.73902581059549</c:v>
                </c:pt>
                <c:pt idx="6">
                  <c:v>119.97743890994875</c:v>
                </c:pt>
                <c:pt idx="7">
                  <c:v>123.7672847110537</c:v>
                </c:pt>
                <c:pt idx="8">
                  <c:v>125.98143313338807</c:v>
                </c:pt>
                <c:pt idx="9">
                  <c:v>122.1986256787129</c:v>
                </c:pt>
                <c:pt idx="10">
                  <c:v>128.42919128650223</c:v>
                </c:pt>
                <c:pt idx="11">
                  <c:v>135.56899057700076</c:v>
                </c:pt>
              </c:numCache>
            </c:numRef>
          </c:val>
          <c:smooth val="0"/>
          <c:extLst>
            <c:ext xmlns:c16="http://schemas.microsoft.com/office/drawing/2014/chart" uri="{C3380CC4-5D6E-409C-BE32-E72D297353CC}">
              <c16:uniqueId val="{00000001-F5F3-4FC2-B117-C32A3F1D4BE5}"/>
            </c:ext>
          </c:extLst>
        </c:ser>
        <c:dLbls>
          <c:showLegendKey val="0"/>
          <c:showVal val="0"/>
          <c:showCatName val="0"/>
          <c:showSerName val="0"/>
          <c:showPercent val="0"/>
          <c:showBubbleSize val="0"/>
        </c:dLbls>
        <c:smooth val="0"/>
        <c:axId val="1589643295"/>
        <c:axId val="1589642335"/>
      </c:lineChart>
      <c:catAx>
        <c:axId val="1589643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42335"/>
        <c:crosses val="autoZero"/>
        <c:auto val="1"/>
        <c:lblAlgn val="ctr"/>
        <c:lblOffset val="100"/>
        <c:noMultiLvlLbl val="0"/>
      </c:catAx>
      <c:valAx>
        <c:axId val="158964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64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[Hedged vs Unhedged Foreign Currency Model.xlsx]PNL 2!PivotTable2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'PNL 2'!$P$2</c:f>
              <c:strCache>
                <c:ptCount val="1"/>
                <c:pt idx="0">
                  <c:v>Sum of Unhedged Index</c:v>
                </c:pt>
              </c:strCache>
            </c:strRef>
          </c:tx>
          <c:spPr>
            <a:ln w="28575" cap="rnd">
              <a:solidFill>
                <a:schemeClr val="accent1"/>
              </a:solidFill>
              <a:round/>
            </a:ln>
            <a:effectLst/>
          </c:spPr>
          <c:marker>
            <c:symbol val="none"/>
          </c:marker>
          <c:cat>
            <c:strRef>
              <c:f>'PNL 2'!$O$3:$O$15</c:f>
              <c:strCache>
                <c:ptCount val="12"/>
                <c:pt idx="0">
                  <c:v>January</c:v>
                </c:pt>
                <c:pt idx="1">
                  <c:v>January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'PNL 2'!$P$3:$P$15</c:f>
              <c:numCache>
                <c:formatCode>General</c:formatCode>
                <c:ptCount val="12"/>
                <c:pt idx="0">
                  <c:v>75.202213839683509</c:v>
                </c:pt>
                <c:pt idx="1">
                  <c:v>73.0560428120084</c:v>
                </c:pt>
                <c:pt idx="2">
                  <c:v>67.500437330823473</c:v>
                </c:pt>
                <c:pt idx="3">
                  <c:v>66.613856943762713</c:v>
                </c:pt>
                <c:pt idx="4">
                  <c:v>73.158222612393544</c:v>
                </c:pt>
                <c:pt idx="5">
                  <c:v>78.845616067105908</c:v>
                </c:pt>
                <c:pt idx="6">
                  <c:v>80.792904977375599</c:v>
                </c:pt>
                <c:pt idx="7">
                  <c:v>80.477595865358424</c:v>
                </c:pt>
                <c:pt idx="8">
                  <c:v>79.509999868425624</c:v>
                </c:pt>
                <c:pt idx="9">
                  <c:v>77.008229117573322</c:v>
                </c:pt>
                <c:pt idx="10">
                  <c:v>81.246700647671574</c:v>
                </c:pt>
                <c:pt idx="11">
                  <c:v>85.272115375086031</c:v>
                </c:pt>
              </c:numCache>
            </c:numRef>
          </c:val>
          <c:smooth val="0"/>
          <c:extLst>
            <c:ext xmlns:c16="http://schemas.microsoft.com/office/drawing/2014/chart" uri="{C3380CC4-5D6E-409C-BE32-E72D297353CC}">
              <c16:uniqueId val="{00000000-8454-4F5B-96C6-4A9CDBAB9A1F}"/>
            </c:ext>
          </c:extLst>
        </c:ser>
        <c:ser>
          <c:idx val="1"/>
          <c:order val="1"/>
          <c:tx>
            <c:strRef>
              <c:f>'PNL 2'!$Q$2</c:f>
              <c:strCache>
                <c:ptCount val="1"/>
                <c:pt idx="0">
                  <c:v>Sum of Hedged Index</c:v>
                </c:pt>
              </c:strCache>
            </c:strRef>
          </c:tx>
          <c:spPr>
            <a:ln w="28575" cap="rnd">
              <a:solidFill>
                <a:schemeClr val="accent2"/>
              </a:solidFill>
              <a:round/>
            </a:ln>
            <a:effectLst/>
          </c:spPr>
          <c:marker>
            <c:symbol val="none"/>
          </c:marker>
          <c:cat>
            <c:strRef>
              <c:f>'PNL 2'!$O$3:$O$15</c:f>
              <c:strCache>
                <c:ptCount val="12"/>
                <c:pt idx="0">
                  <c:v>January</c:v>
                </c:pt>
                <c:pt idx="1">
                  <c:v>January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'PNL 2'!$Q$3:$Q$15</c:f>
              <c:numCache>
                <c:formatCode>General</c:formatCode>
                <c:ptCount val="12"/>
                <c:pt idx="0">
                  <c:v>97.155120789574596</c:v>
                </c:pt>
                <c:pt idx="1">
                  <c:v>93.144973693517713</c:v>
                </c:pt>
                <c:pt idx="2">
                  <c:v>86.431277537686228</c:v>
                </c:pt>
                <c:pt idx="3">
                  <c:v>83.970152709432838</c:v>
                </c:pt>
                <c:pt idx="4">
                  <c:v>92.699306290072599</c:v>
                </c:pt>
                <c:pt idx="5">
                  <c:v>99.331291728303697</c:v>
                </c:pt>
                <c:pt idx="6">
                  <c:v>102.44063517312343</c:v>
                </c:pt>
                <c:pt idx="7">
                  <c:v>103.31767755699195</c:v>
                </c:pt>
                <c:pt idx="8">
                  <c:v>102.81853534313804</c:v>
                </c:pt>
                <c:pt idx="9">
                  <c:v>97.505089807698909</c:v>
                </c:pt>
                <c:pt idx="10">
                  <c:v>100.18917706171104</c:v>
                </c:pt>
                <c:pt idx="11">
                  <c:v>103.39832904438288</c:v>
                </c:pt>
              </c:numCache>
            </c:numRef>
          </c:val>
          <c:smooth val="0"/>
          <c:extLst>
            <c:ext xmlns:c16="http://schemas.microsoft.com/office/drawing/2014/chart" uri="{C3380CC4-5D6E-409C-BE32-E72D297353CC}">
              <c16:uniqueId val="{00000001-8454-4F5B-96C6-4A9CDBAB9A1F}"/>
            </c:ext>
          </c:extLst>
        </c:ser>
        <c:dLbls>
          <c:showLegendKey val="0"/>
          <c:showVal val="0"/>
          <c:showCatName val="0"/>
          <c:showSerName val="0"/>
          <c:showPercent val="0"/>
          <c:showBubbleSize val="0"/>
        </c:dLbls>
        <c:smooth val="0"/>
        <c:axId val="1330499008"/>
        <c:axId val="1330496128"/>
      </c:lineChart>
      <c:catAx>
        <c:axId val="133049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96128"/>
        <c:crosses val="autoZero"/>
        <c:auto val="1"/>
        <c:lblAlgn val="ctr"/>
        <c:lblOffset val="100"/>
        <c:noMultiLvlLbl val="0"/>
      </c:catAx>
      <c:valAx>
        <c:axId val="133049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49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16935</xdr:colOff>
      <xdr:row>16</xdr:row>
      <xdr:rowOff>57678</xdr:rowOff>
    </xdr:from>
    <xdr:to>
      <xdr:col>11</xdr:col>
      <xdr:colOff>1028700</xdr:colOff>
      <xdr:row>39</xdr:row>
      <xdr:rowOff>171450</xdr:rowOff>
    </xdr:to>
    <xdr:graphicFrame macro="">
      <xdr:nvGraphicFramePr>
        <xdr:cNvPr id="2" name="Chart 1">
          <a:extLst>
            <a:ext uri="{FF2B5EF4-FFF2-40B4-BE49-F238E27FC236}">
              <a16:creationId xmlns:a16="http://schemas.microsoft.com/office/drawing/2014/main" id="{31B9F06B-1088-B770-1958-7B6E32814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16</xdr:row>
      <xdr:rowOff>90486</xdr:rowOff>
    </xdr:from>
    <xdr:to>
      <xdr:col>13</xdr:col>
      <xdr:colOff>171450</xdr:colOff>
      <xdr:row>42</xdr:row>
      <xdr:rowOff>133350</xdr:rowOff>
    </xdr:to>
    <xdr:graphicFrame macro="">
      <xdr:nvGraphicFramePr>
        <xdr:cNvPr id="2" name="Chart 1">
          <a:extLst>
            <a:ext uri="{FF2B5EF4-FFF2-40B4-BE49-F238E27FC236}">
              <a16:creationId xmlns:a16="http://schemas.microsoft.com/office/drawing/2014/main" id="{60A166B9-5E6C-13F8-FBC9-09D41CE0F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eb" refreshedDate="45983.527280208335" createdVersion="8" refreshedVersion="8" minRefreshableVersion="3" recordCount="12" xr:uid="{CB3A018C-E5BF-46ED-A5A2-FA844D52AEBF}">
  <cacheSource type="worksheet">
    <worksheetSource ref="J3:L15" sheet="PNL 1"/>
  </cacheSource>
  <cacheFields count="5">
    <cacheField name="Month" numFmtId="168">
      <sharedItems containsSemiMixedTypes="0" containsNonDate="0" containsDate="1" containsString="0" minDate="1899-12-30T00:00:43" maxDate="1900-12-06T00:00:43" count="12">
        <d v="1899-12-30T00:00:43"/>
        <d v="1900-01-30T00:00:43"/>
        <d v="1900-03-02T00:00:43"/>
        <d v="1900-04-02T00:00:43"/>
        <d v="1900-05-03T00:00:43"/>
        <d v="1900-06-03T00:00:43"/>
        <d v="1900-07-04T00:00:43"/>
        <d v="1900-08-04T00:00:43"/>
        <d v="1900-09-04T00:00:43"/>
        <d v="1900-10-05T00:00:43"/>
        <d v="1900-11-05T00:00:43"/>
        <d v="1900-12-06T00:00:43"/>
      </sharedItems>
      <fieldGroup par="4"/>
    </cacheField>
    <cacheField name="Unhedged Index" numFmtId="0">
      <sharedItems containsSemiMixedTypes="0" containsString="0" containsNumber="1" minValue="92.772619338661571" maxValue="139.37367401304994"/>
    </cacheField>
    <cacheField name="Hedged Index" numFmtId="0">
      <sharedItems containsSemiMixedTypes="0" containsString="0" containsNumber="1" minValue="91.905299989547814" maxValue="135.56899057700076"/>
    </cacheField>
    <cacheField name="Days (Month)" numFmtId="0" databaseField="0">
      <fieldGroup base="0">
        <rangePr groupBy="days" startDate="1899-12-30T00:00:43" endDate="1900-12-06T00:00:43"/>
        <groupItems count="368">
          <s v="&lt;1/0/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6/1900"/>
        </groupItems>
      </fieldGroup>
    </cacheField>
    <cacheField name="Months (Month)" numFmtId="0" databaseField="0">
      <fieldGroup base="0">
        <rangePr groupBy="months" startDate="1899-12-30T00:00:43" endDate="1900-12-06T00:00:43"/>
        <groupItems count="14">
          <s v="&lt;1/0/1900"/>
          <s v="Jan"/>
          <s v="Feb"/>
          <s v="Mar"/>
          <s v="Apr"/>
          <s v="May"/>
          <s v="Jun"/>
          <s v="Jul"/>
          <s v="Aug"/>
          <s v="Sep"/>
          <s v="Oct"/>
          <s v="Nov"/>
          <s v="Dec"/>
          <s v="&gt;12/6/19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eb" refreshedDate="45983.531693634257" createdVersion="8" refreshedVersion="8" minRefreshableVersion="3" recordCount="12" xr:uid="{87A715E6-AD82-41D7-94D5-DBCDE8D5EB22}">
  <cacheSource type="worksheet">
    <worksheetSource ref="K3:M15" sheet="PNL 2"/>
  </cacheSource>
  <cacheFields count="5">
    <cacheField name="Month" numFmtId="168">
      <sharedItems containsSemiMixedTypes="0" containsNonDate="0" containsDate="1" containsString="0" minDate="1899-12-30T00:00:43" maxDate="1900-12-06T00:00:43" count="12">
        <d v="1899-12-30T00:00:43"/>
        <d v="1900-01-30T00:00:43"/>
        <d v="1900-03-02T00:00:43"/>
        <d v="1900-04-02T00:00:43"/>
        <d v="1900-05-03T00:00:43"/>
        <d v="1900-06-03T00:00:43"/>
        <d v="1900-07-04T00:00:43"/>
        <d v="1900-08-04T00:00:43"/>
        <d v="1900-09-04T00:00:43"/>
        <d v="1900-10-05T00:00:43"/>
        <d v="1900-11-05T00:00:43"/>
        <d v="1900-12-06T00:00:43"/>
      </sharedItems>
      <fieldGroup par="4"/>
    </cacheField>
    <cacheField name="Unhedged Index" numFmtId="0">
      <sharedItems containsSemiMixedTypes="0" containsString="0" containsNumber="1" minValue="66.613856943762713" maxValue="85.272115375086031"/>
    </cacheField>
    <cacheField name="Hedged Index" numFmtId="0">
      <sharedItems containsSemiMixedTypes="0" containsString="0" containsNumber="1" minValue="83.970152709432838" maxValue="103.39832904438288"/>
    </cacheField>
    <cacheField name="Days (Month)" numFmtId="0" databaseField="0">
      <fieldGroup base="0">
        <rangePr groupBy="days" startDate="1899-12-30T00:00:43" endDate="1900-12-06T00:00:43"/>
        <groupItems count="368">
          <s v="&lt;1/0/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6/1900"/>
        </groupItems>
      </fieldGroup>
    </cacheField>
    <cacheField name="Months (Month)" numFmtId="0" databaseField="0">
      <fieldGroup base="0">
        <rangePr groupBy="months" startDate="1899-12-30T00:00:43" endDate="1900-12-06T00:00:43"/>
        <groupItems count="14">
          <s v="&lt;1/0/1900"/>
          <s v="Jan"/>
          <s v="Feb"/>
          <s v="Mar"/>
          <s v="Apr"/>
          <s v="May"/>
          <s v="Jun"/>
          <s v="Jul"/>
          <s v="Aug"/>
          <s v="Sep"/>
          <s v="Oct"/>
          <s v="Nov"/>
          <s v="Dec"/>
          <s v="&gt;12/6/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98.053821228745946"/>
    <n v="99.37327423225895"/>
  </r>
  <r>
    <x v="1"/>
    <n v="97.527026725809691"/>
    <n v="97.446721295343011"/>
  </r>
  <r>
    <x v="2"/>
    <n v="92.772619338661571"/>
    <n v="92.487415346480802"/>
  </r>
  <r>
    <x v="3"/>
    <n v="93.059948732393678"/>
    <n v="91.905299989547814"/>
  </r>
  <r>
    <x v="4"/>
    <n v="105.27120336462605"/>
    <n v="103.77577887694056"/>
  </r>
  <r>
    <x v="5"/>
    <n v="113.83235335497088"/>
    <n v="113.73902581059549"/>
  </r>
  <r>
    <x v="6"/>
    <n v="121.36750932668292"/>
    <n v="119.97743890994875"/>
  </r>
  <r>
    <x v="7"/>
    <n v="124.54612879610018"/>
    <n v="123.7672847110537"/>
  </r>
  <r>
    <x v="8"/>
    <n v="123.73965229693457"/>
    <n v="125.98143313338807"/>
  </r>
  <r>
    <x v="9"/>
    <n v="119.76840032668706"/>
    <n v="122.1986256787129"/>
  </r>
  <r>
    <x v="10"/>
    <n v="128.11472214673142"/>
    <n v="128.42919128650223"/>
  </r>
  <r>
    <x v="11"/>
    <n v="139.37367401304994"/>
    <n v="135.5689905770007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75.202213839683509"/>
    <n v="97.155120789574596"/>
  </r>
  <r>
    <x v="1"/>
    <n v="73.0560428120084"/>
    <n v="93.144973693517713"/>
  </r>
  <r>
    <x v="2"/>
    <n v="67.500437330823473"/>
    <n v="86.431277537686228"/>
  </r>
  <r>
    <x v="3"/>
    <n v="66.613856943762713"/>
    <n v="83.970152709432838"/>
  </r>
  <r>
    <x v="4"/>
    <n v="73.158222612393544"/>
    <n v="92.699306290072599"/>
  </r>
  <r>
    <x v="5"/>
    <n v="78.845616067105908"/>
    <n v="99.331291728303697"/>
  </r>
  <r>
    <x v="6"/>
    <n v="80.792904977375599"/>
    <n v="102.44063517312343"/>
  </r>
  <r>
    <x v="7"/>
    <n v="80.477595865358424"/>
    <n v="103.31767755699195"/>
  </r>
  <r>
    <x v="8"/>
    <n v="79.509999868425624"/>
    <n v="102.81853534313804"/>
  </r>
  <r>
    <x v="9"/>
    <n v="77.008229117573322"/>
    <n v="97.505089807698909"/>
  </r>
  <r>
    <x v="10"/>
    <n v="81.246700647671574"/>
    <n v="100.18917706171104"/>
  </r>
  <r>
    <x v="11"/>
    <n v="85.272115375086031"/>
    <n v="103.398329044382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6DB71-FF55-44BF-A5EC-625D228A9D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P15" firstHeaderRow="0" firstDataRow="1" firstDataCol="1"/>
  <pivotFields count="5">
    <pivotField axis="axisRow" numFmtId="168" showAll="0">
      <items count="13">
        <item x="0"/>
        <item x="1"/>
        <item x="2"/>
        <item x="3"/>
        <item x="4"/>
        <item x="5"/>
        <item x="6"/>
        <item x="7"/>
        <item x="8"/>
        <item x="9"/>
        <item x="10"/>
        <item x="11"/>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Unhedged Index" fld="1" baseField="0" baseItem="0"/>
    <dataField name="Sum of Hedged Index"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9952B9-11EB-406C-B36D-418344ABAD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2:Q15" firstHeaderRow="0" firstDataRow="1" firstDataCol="1"/>
  <pivotFields count="5">
    <pivotField axis="axisRow" numFmtId="168" showAll="0">
      <items count="13">
        <item x="0"/>
        <item x="1"/>
        <item x="2"/>
        <item x="3"/>
        <item x="4"/>
        <item x="5"/>
        <item x="6"/>
        <item x="7"/>
        <item x="8"/>
        <item x="9"/>
        <item x="10"/>
        <item x="11"/>
        <item t="default"/>
      </items>
    </pivotField>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Unhedged Index" fld="1" baseField="0" baseItem="0"/>
    <dataField name="Sum of Hedged Index"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2">
  <a r="1" c="252">
    <v t="i">1</v>
    <v t="i">2</v>
    <v t="i">3</v>
    <v t="i">4</v>
    <v t="i">7</v>
    <v t="i">8</v>
    <v t="i">9</v>
    <v t="i">10</v>
    <v t="i">11</v>
    <v t="i">15</v>
    <v t="i">16</v>
    <v t="i">17</v>
    <v t="i">18</v>
    <v t="i">21</v>
    <v t="i">22</v>
    <v t="i">23</v>
    <v t="i">24</v>
    <v t="i">25</v>
    <v t="i">28</v>
    <v t="i">29</v>
    <v t="i">30</v>
    <v t="i">31</v>
    <v t="i">32</v>
    <v t="i">35</v>
    <v t="i">36</v>
    <v t="i">37</v>
    <v t="i">38</v>
    <v t="i">39</v>
    <v t="i">42</v>
    <v t="i">43</v>
    <v t="i">44</v>
    <v t="i">45</v>
    <v t="i">46</v>
    <v t="i">50</v>
    <v t="i">51</v>
    <v t="i">52</v>
    <v t="i">53</v>
    <v t="i">56</v>
    <v t="i">57</v>
    <v t="i">58</v>
    <v t="i">59</v>
    <v t="i">60</v>
    <v t="i">63</v>
    <v t="i">64</v>
    <v t="i">65</v>
    <v t="i">66</v>
    <v t="i">67</v>
    <v t="i">70</v>
    <v t="i">71</v>
    <v t="i">72</v>
    <v t="i">73</v>
    <v t="i">74</v>
    <v t="i">77</v>
    <v t="i">78</v>
    <v t="i">79</v>
    <v t="i">80</v>
    <v t="i">81</v>
    <v t="i">84</v>
    <v t="i">85</v>
    <v t="i">86</v>
    <v t="i">87</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148</v>
    <v t="i">149</v>
    <v t="i">150</v>
    <v t="i">151</v>
    <v t="i">154</v>
    <v t="i">155</v>
    <v t="i">156</v>
    <v t="i">157</v>
    <v t="i">158</v>
    <v t="i">161</v>
    <v t="i">162</v>
    <v t="i">163</v>
    <v t="i">164</v>
    <v t="i">165</v>
    <v t="i">168</v>
    <v t="i">169</v>
    <v t="i">171</v>
    <v t="i">172</v>
    <v t="i">175</v>
    <v t="i">176</v>
    <v t="i">177</v>
    <v t="i">178</v>
    <v t="i">179</v>
    <v t="i">182</v>
    <v t="i">183</v>
    <v t="i">184</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333</v>
    <v t="i">336</v>
    <v t="i">337</v>
    <v t="i">338</v>
    <v t="i">339</v>
    <v t="i">340</v>
    <v t="i">343</v>
    <v t="i">344</v>
    <v t="i">345</v>
    <v t="i">346</v>
    <v t="i">347</v>
    <v t="i">350</v>
    <v t="i">351</v>
    <v t="i">352</v>
    <v t="i">353</v>
    <v t="i">354</v>
    <v t="i">357</v>
    <v t="i">358</v>
    <v t="i">360</v>
    <v t="i">361</v>
    <v t="i">364</v>
    <v t="i">365</v>
  </a>
  <a r="1" c="252">
    <v>185.64</v>
    <v>184.25</v>
    <v>181.91</v>
    <v>181.18</v>
    <v>185.56</v>
    <v>185.14</v>
    <v>186.19</v>
    <v>185.59</v>
    <v>185.92</v>
    <v>183.63</v>
    <v>182.68</v>
    <v>188.63</v>
    <v>191.56</v>
    <v>193.89</v>
    <v>195.18</v>
    <v>194.5</v>
    <v>194.17</v>
    <v>192.42</v>
    <v>191.73</v>
    <v>188.04</v>
    <v>184.4</v>
    <v>186.86</v>
    <v>185.85</v>
    <v>187.68</v>
    <v>189.3</v>
    <v>189.41</v>
    <v>188.32</v>
    <v>188.85</v>
    <v>187.15</v>
    <v>185.04</v>
    <v>184.15</v>
    <v>183.86</v>
    <v>182.31</v>
    <v>181.56</v>
    <v>182.32</v>
    <v>184.37</v>
    <v>182.52</v>
    <v>181.16</v>
    <v>182.63</v>
    <v>181.42</v>
    <v>180.75</v>
    <v>179.66</v>
    <v>175.1</v>
    <v>170.12</v>
    <v>169.12</v>
    <v>169</v>
    <v>170.73</v>
    <v>172.75</v>
    <v>173.23</v>
    <v>171.13</v>
    <v>173</v>
    <v>172.62</v>
    <v>173.72</v>
    <v>176.08</v>
    <v>178.67</v>
    <v>171.37</v>
    <v>172.28</v>
    <v>170.85</v>
    <v>169.71</v>
    <v>173.31</v>
    <v>171.48</v>
    <v>170.03</v>
    <v>168.84</v>
    <v>169.65</v>
    <v>168.82</v>
    <v>169.58</v>
    <v>168.45</v>
    <v>169.67</v>
    <v>167.78</v>
    <v>175.04</v>
    <v>176.55</v>
    <v>172.69</v>
    <v>169.38</v>
    <v>168</v>
    <v>167.04</v>
    <v>165</v>
    <v>165.84</v>
    <v>166.9</v>
    <v>169.02</v>
    <v>169.89</v>
    <v>169.3</v>
    <v>173.5</v>
    <v>170.33</v>
    <v>169.3</v>
    <v>173.03</v>
    <v>183.38</v>
    <v>181.71</v>
    <v>182.4</v>
    <v>182.74</v>
    <v>184.57</v>
    <v>183.05</v>
    <v>186.28</v>
    <v>187.43</v>
    <v>189.72</v>
    <v>189.84</v>
    <v>189.87</v>
    <v>191.04</v>
    <v>192.35</v>
    <v>190.9</v>
    <v>186.88</v>
    <v>189.98</v>
    <v>189.99</v>
    <v>190.29</v>
    <v>191.29</v>
    <v>192.25</v>
    <v>194.03</v>
    <v>194.35</v>
    <v>195.87</v>
    <v>194.48</v>
    <v>196.89</v>
    <v>193.12</v>
    <v>207.15</v>
    <v>213.07</v>
    <v>214.24</v>
    <v>212.49</v>
    <v>216.67</v>
    <v>214.29</v>
    <v>209.68</v>
    <v>207.49</v>
    <v>208.14</v>
    <v>209.07</v>
    <v>213.25</v>
    <v>214.1</v>
    <v>210.62</v>
    <v>216.75</v>
    <v>220.27</v>
    <v>221.55</v>
    <v>226.34</v>
    <v>227.82</v>
    <v>228.68</v>
    <v>232.98</v>
    <v>227.57</v>
    <v>230.54</v>
    <v>234.4</v>
    <v>234.82</v>
    <v>228.88</v>
    <v>224.18</v>
    <v>224.31</v>
    <v>223.96</v>
    <v>225.01</v>
    <v>218.54</v>
    <v>217.49</v>
    <v>217.96</v>
    <v>218.24</v>
    <v>218.8</v>
    <v>222.08</v>
    <v>218.36</v>
    <v>219.86</v>
    <v>209.27</v>
    <v>207.23</v>
    <v>209.82</v>
    <v>213.31</v>
    <v>216.24</v>
    <v>217.53</v>
    <v>221.27</v>
    <v>221.72</v>
    <v>224.72</v>
    <v>226.05</v>
    <v>225.89</v>
    <v>226.51</v>
    <v>226.4</v>
    <v>224.53</v>
    <v>226.84</v>
    <v>227.18</v>
    <v>228.03</v>
    <v>226.49</v>
    <v>229.79</v>
    <v>229</v>
    <v>222.77</v>
    <v>220.85</v>
    <v>222.38</v>
    <v>220.82</v>
    <v>220.91</v>
    <v>220.11</v>
    <v>222.66</v>
    <v>222.77</v>
    <v>222.5</v>
    <v>216.32</v>
    <v>216.79</v>
    <v>220.69</v>
    <v>228.87</v>
    <v>228.2</v>
    <v>226.47</v>
    <v>227.37</v>
    <v>226.37</v>
    <v>227.52</v>
    <v>227.79</v>
    <v>233</v>
    <v>226.21</v>
    <v>226.78</v>
    <v>225.67</v>
    <v>226.8</v>
    <v>221.69</v>
    <v>225.77</v>
    <v>229.54</v>
    <v>229.04</v>
    <v>227.55</v>
    <v>231.3</v>
    <v>233.85</v>
    <v>231.78</v>
    <v>232.15</v>
    <v>235</v>
    <v>236.48</v>
    <v>235.86</v>
    <v>230.76</v>
    <v>230.57</v>
    <v>231.41</v>
    <v>233.4</v>
    <v>233.67</v>
    <v>230.1</v>
    <v>225.91</v>
    <v>222.91</v>
    <v>222.01</v>
    <v>223.45</v>
    <v>222.72</v>
    <v>227.48</v>
    <v>226.96</v>
    <v>224.23</v>
    <v>224.23</v>
    <v>225.12</v>
    <v>228.22</v>
    <v>225</v>
    <v>228.02</v>
    <v>228.28</v>
    <v>229</v>
    <v>228.52</v>
    <v>229.87</v>
    <v>232.87</v>
    <v>235.06</v>
    <v>234.93</v>
    <v>237.33</v>
    <v>239.59</v>
    <v>242.65</v>
    <v>243.01</v>
    <v>243.04</v>
    <v>242.84</v>
    <v>246.75</v>
    <v>247.77</v>
    <v>246.49</v>
    <v>247.96</v>
    <v>248.13</v>
    <v>251.04</v>
    <v>253.48</v>
    <v>248.05</v>
    <v>249.79</v>
    <v>254.49</v>
    <v>255.27</v>
    <v>258.2</v>
    <v>259.02</v>
    <v>255.59</v>
    <v>252.2</v>
    <v>250.42</v>
  </a>
</arrayData>
</file>

<file path=xl/richData/rdrichvalue.xml><?xml version="1.0" encoding="utf-8"?>
<rvData xmlns="http://schemas.microsoft.com/office/spreadsheetml/2017/richdata" count="504">
  <rv s="0">
    <v>https://www.bing.com/financeapi/forcetrigger?t=a1mou2&amp;q=XNAS%3aAAPL&amp;form=skydnc</v>
    <v>Learn more on Bing</v>
  </rv>
  <rv s="1">
    <v>en-US</v>
    <v>a1mou2</v>
    <v>268435456</v>
    <v>1</v>
    <v>Powered by Refinitiv</v>
    <v>0</v>
    <v>APPLE INC. (XNAS:AAPL)</v>
    <v>2</v>
    <v>3</v>
    <v>Finance</v>
    <v>4</v>
    <v>288.62</v>
    <v>193.25</v>
    <v>1.0647</v>
    <v>9.4050999999999991</v>
    <v>3.4660000000000003E-2</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287.20999999999998</v>
    <v>Computers, Phones &amp; Household Electronics</v>
    <v>Stock</v>
    <v>46143.797312395312</v>
    <v>0</v>
    <v>278.37</v>
    <v>4121804928814</v>
    <v>APPLE INC.</v>
    <v>APPLE INC.</v>
    <v>279</v>
    <v>35.6691</v>
    <v>271.35000000000002</v>
    <v>280.75510000000003</v>
    <v>14681140000</v>
    <v>AAPL</v>
    <v>APPLE INC. (XNAS:AAPL)</v>
    <v>61771043</v>
    <v>43451177</v>
    <v>1977</v>
  </rv>
  <rv s="2">
    <v>1</v>
  </rv>
  <rv s="3">
    <fb>45293</fb>
    <v>5</v>
  </rv>
  <rv s="3">
    <fb>185.64</fb>
    <v>6</v>
  </rv>
  <rv s="3">
    <fb>184.4</fb>
    <v>6</v>
  </rv>
  <rv s="3">
    <fb>45294</fb>
    <v>5</v>
  </rv>
  <rv s="3">
    <fb>184.25</fb>
    <v>6</v>
  </rv>
  <rv s="3">
    <fb>180.75</fb>
    <v>6</v>
  </rv>
  <rv s="3">
    <fb>45295</fb>
    <v>5</v>
  </rv>
  <rv s="3">
    <fb>181.91</fb>
    <v>6</v>
  </rv>
  <rv s="3">
    <fb>171.48</fb>
    <v>6</v>
  </rv>
  <rv s="3">
    <fb>45296</fb>
    <v>5</v>
  </rv>
  <rv s="3">
    <fb>181.18</fb>
    <v>6</v>
  </rv>
  <rv s="3">
    <fb>170.33</fb>
    <v>6</v>
  </rv>
  <rv s="3">
    <fb>45299</fb>
    <v>5</v>
  </rv>
  <rv s="3">
    <fb>185.56</fb>
    <v>6</v>
  </rv>
  <rv s="3">
    <fb>192.25</fb>
    <v>6</v>
  </rv>
  <rv s="3">
    <fb>45300</fb>
    <v>5</v>
  </rv>
  <rv s="3">
    <fb>185.14</fb>
    <v>6</v>
  </rv>
  <rv s="3">
    <fb>210.62</fb>
    <v>6</v>
  </rv>
  <rv s="3">
    <fb>45301</fb>
    <v>5</v>
  </rv>
  <rv s="3">
    <fb>186.19</fb>
    <v>6</v>
  </rv>
  <rv s="3">
    <fb>222.08</fb>
    <v>6</v>
  </rv>
  <rv s="3">
    <fb>45302</fb>
    <v>5</v>
  </rv>
  <rv s="3">
    <fb>185.59</fb>
    <v>6</v>
  </rv>
  <rv s="3">
    <fb>229</fb>
    <v>6</v>
  </rv>
  <rv s="3">
    <fb>45303</fb>
    <v>5</v>
  </rv>
  <rv s="3">
    <fb>185.92</fb>
    <v>6</v>
  </rv>
  <rv s="3">
    <fb>233</fb>
    <v>6</v>
  </rv>
  <rv s="3">
    <fb>45307</fb>
    <v>5</v>
  </rv>
  <rv s="3">
    <fb>183.63</fb>
    <v>6</v>
  </rv>
  <rv s="3">
    <fb>225.91</fb>
    <v>6</v>
  </rv>
  <rv s="3">
    <fb>45308</fb>
    <v>5</v>
  </rv>
  <rv s="3">
    <fb>182.68</fb>
    <v>6</v>
  </rv>
  <rv s="3">
    <fb>237.33</fb>
    <v>6</v>
  </rv>
  <rv s="3">
    <fb>45309</fb>
    <v>5</v>
  </rv>
  <rv s="3">
    <fb>188.63</fb>
    <v>6</v>
  </rv>
  <rv s="3">
    <fb>250.42</fb>
    <v>6</v>
  </rv>
  <rv s="3">
    <fb>45310</fb>
    <v>5</v>
  </rv>
  <rv s="3">
    <fb>191.56</fb>
    <v>6</v>
  </rv>
  <rv s="3">
    <fb>45313</fb>
    <v>5</v>
  </rv>
  <rv s="3">
    <fb>193.89</fb>
    <v>6</v>
  </rv>
  <rv s="3">
    <fb>45314</fb>
    <v>5</v>
  </rv>
  <rv s="3">
    <fb>195.18</fb>
    <v>6</v>
  </rv>
  <rv s="3">
    <fb>45315</fb>
    <v>5</v>
  </rv>
  <rv s="3">
    <fb>194.5</fb>
    <v>6</v>
  </rv>
  <rv s="3">
    <fb>45316</fb>
    <v>5</v>
  </rv>
  <rv s="3">
    <fb>194.17</fb>
    <v>6</v>
  </rv>
  <rv s="3">
    <fb>45317</fb>
    <v>5</v>
  </rv>
  <rv s="3">
    <fb>192.42</fb>
    <v>6</v>
  </rv>
  <rv s="3">
    <fb>45320</fb>
    <v>5</v>
  </rv>
  <rv s="3">
    <fb>191.73</fb>
    <v>6</v>
  </rv>
  <rv s="3">
    <fb>45321</fb>
    <v>5</v>
  </rv>
  <rv s="3">
    <fb>188.04</fb>
    <v>6</v>
  </rv>
  <rv s="3">
    <fb>45322</fb>
    <v>5</v>
  </rv>
  <rv s="3">
    <fb>45323</fb>
    <v>5</v>
  </rv>
  <rv s="3">
    <fb>186.86</fb>
    <v>6</v>
  </rv>
  <rv s="3">
    <fb>45324</fb>
    <v>5</v>
  </rv>
  <rv s="3">
    <fb>185.85</fb>
    <v>6</v>
  </rv>
  <rv s="3">
    <fb>45327</fb>
    <v>5</v>
  </rv>
  <rv s="3">
    <fb>187.68</fb>
    <v>6</v>
  </rv>
  <rv s="3">
    <fb>45328</fb>
    <v>5</v>
  </rv>
  <rv s="3">
    <fb>189.3</fb>
    <v>6</v>
  </rv>
  <rv s="3">
    <fb>45329</fb>
    <v>5</v>
  </rv>
  <rv s="3">
    <fb>189.41</fb>
    <v>6</v>
  </rv>
  <rv s="3">
    <fb>45330</fb>
    <v>5</v>
  </rv>
  <rv s="3">
    <fb>188.32</fb>
    <v>6</v>
  </rv>
  <rv s="3">
    <fb>45331</fb>
    <v>5</v>
  </rv>
  <rv s="3">
    <fb>188.85</fb>
    <v>6</v>
  </rv>
  <rv s="3">
    <fb>45334</fb>
    <v>5</v>
  </rv>
  <rv s="3">
    <fb>187.15</fb>
    <v>6</v>
  </rv>
  <rv s="3">
    <fb>45335</fb>
    <v>5</v>
  </rv>
  <rv s="3">
    <fb>185.04</fb>
    <v>6</v>
  </rv>
  <rv s="3">
    <fb>45336</fb>
    <v>5</v>
  </rv>
  <rv s="3">
    <fb>184.15</fb>
    <v>6</v>
  </rv>
  <rv s="3">
    <fb>45337</fb>
    <v>5</v>
  </rv>
  <rv s="3">
    <fb>183.86</fb>
    <v>6</v>
  </rv>
  <rv s="3">
    <fb>45338</fb>
    <v>5</v>
  </rv>
  <rv s="3">
    <fb>182.31</fb>
    <v>6</v>
  </rv>
  <rv s="3">
    <fb>45342</fb>
    <v>5</v>
  </rv>
  <rv s="3">
    <fb>181.56</fb>
    <v>6</v>
  </rv>
  <rv s="3">
    <fb>45343</fb>
    <v>5</v>
  </rv>
  <rv s="3">
    <fb>182.32</fb>
    <v>6</v>
  </rv>
  <rv s="3">
    <fb>45344</fb>
    <v>5</v>
  </rv>
  <rv s="3">
    <fb>184.37</fb>
    <v>6</v>
  </rv>
  <rv s="3">
    <fb>45345</fb>
    <v>5</v>
  </rv>
  <rv s="3">
    <fb>182.52</fb>
    <v>6</v>
  </rv>
  <rv s="3">
    <fb>45348</fb>
    <v>5</v>
  </rv>
  <rv s="3">
    <fb>181.16</fb>
    <v>6</v>
  </rv>
  <rv s="3">
    <fb>45349</fb>
    <v>5</v>
  </rv>
  <rv s="3">
    <fb>182.63</fb>
    <v>6</v>
  </rv>
  <rv s="3">
    <fb>45350</fb>
    <v>5</v>
  </rv>
  <rv s="3">
    <fb>181.42</fb>
    <v>6</v>
  </rv>
  <rv s="3">
    <fb>45351</fb>
    <v>5</v>
  </rv>
  <rv s="3">
    <fb>45352</fb>
    <v>5</v>
  </rv>
  <rv s="3">
    <fb>179.66</fb>
    <v>6</v>
  </rv>
  <rv s="3">
    <fb>45355</fb>
    <v>5</v>
  </rv>
  <rv s="3">
    <fb>175.1</fb>
    <v>6</v>
  </rv>
  <rv s="3">
    <fb>45356</fb>
    <v>5</v>
  </rv>
  <rv s="3">
    <fb>170.12</fb>
    <v>6</v>
  </rv>
  <rv s="3">
    <fb>45357</fb>
    <v>5</v>
  </rv>
  <rv s="3">
    <fb>169.12</fb>
    <v>6</v>
  </rv>
  <rv s="3">
    <fb>45358</fb>
    <v>5</v>
  </rv>
  <rv s="3">
    <fb>169</fb>
    <v>6</v>
  </rv>
  <rv s="3">
    <fb>45359</fb>
    <v>5</v>
  </rv>
  <rv s="3">
    <fb>170.73</fb>
    <v>6</v>
  </rv>
  <rv s="3">
    <fb>45362</fb>
    <v>5</v>
  </rv>
  <rv s="3">
    <fb>172.75</fb>
    <v>6</v>
  </rv>
  <rv s="3">
    <fb>45363</fb>
    <v>5</v>
  </rv>
  <rv s="3">
    <fb>173.23</fb>
    <v>6</v>
  </rv>
  <rv s="3">
    <fb>45364</fb>
    <v>5</v>
  </rv>
  <rv s="3">
    <fb>171.13</fb>
    <v>6</v>
  </rv>
  <rv s="3">
    <fb>45365</fb>
    <v>5</v>
  </rv>
  <rv s="3">
    <fb>173</fb>
    <v>6</v>
  </rv>
  <rv s="3">
    <fb>45366</fb>
    <v>5</v>
  </rv>
  <rv s="3">
    <fb>172.62</fb>
    <v>6</v>
  </rv>
  <rv s="3">
    <fb>45369</fb>
    <v>5</v>
  </rv>
  <rv s="3">
    <fb>173.72</fb>
    <v>6</v>
  </rv>
  <rv s="3">
    <fb>45370</fb>
    <v>5</v>
  </rv>
  <rv s="3">
    <fb>176.08</fb>
    <v>6</v>
  </rv>
  <rv s="3">
    <fb>45371</fb>
    <v>5</v>
  </rv>
  <rv s="3">
    <fb>178.67</fb>
    <v>6</v>
  </rv>
  <rv s="3">
    <fb>45372</fb>
    <v>5</v>
  </rv>
  <rv s="3">
    <fb>171.37</fb>
    <v>6</v>
  </rv>
  <rv s="3">
    <fb>45373</fb>
    <v>5</v>
  </rv>
  <rv s="3">
    <fb>172.28</fb>
    <v>6</v>
  </rv>
  <rv s="3">
    <fb>45376</fb>
    <v>5</v>
  </rv>
  <rv s="3">
    <fb>170.85</fb>
    <v>6</v>
  </rv>
  <rv s="3">
    <fb>45377</fb>
    <v>5</v>
  </rv>
  <rv s="3">
    <fb>169.71</fb>
    <v>6</v>
  </rv>
  <rv s="3">
    <fb>45378</fb>
    <v>5</v>
  </rv>
  <rv s="3">
    <fb>173.31</fb>
    <v>6</v>
  </rv>
  <rv s="3">
    <fb>45379</fb>
    <v>5</v>
  </rv>
  <rv s="3">
    <fb>45383</fb>
    <v>5</v>
  </rv>
  <rv s="3">
    <fb>170.03</fb>
    <v>6</v>
  </rv>
  <rv s="3">
    <fb>45384</fb>
    <v>5</v>
  </rv>
  <rv s="3">
    <fb>168.84</fb>
    <v>6</v>
  </rv>
  <rv s="3">
    <fb>45385</fb>
    <v>5</v>
  </rv>
  <rv s="3">
    <fb>169.65</fb>
    <v>6</v>
  </rv>
  <rv s="3">
    <fb>45386</fb>
    <v>5</v>
  </rv>
  <rv s="3">
    <fb>168.82</fb>
    <v>6</v>
  </rv>
  <rv s="3">
    <fb>45387</fb>
    <v>5</v>
  </rv>
  <rv s="3">
    <fb>169.58</fb>
    <v>6</v>
  </rv>
  <rv s="3">
    <fb>45390</fb>
    <v>5</v>
  </rv>
  <rv s="3">
    <fb>168.45</fb>
    <v>6</v>
  </rv>
  <rv s="3">
    <fb>45391</fb>
    <v>5</v>
  </rv>
  <rv s="3">
    <fb>169.67</fb>
    <v>6</v>
  </rv>
  <rv s="3">
    <fb>45392</fb>
    <v>5</v>
  </rv>
  <rv s="3">
    <fb>167.78</fb>
    <v>6</v>
  </rv>
  <rv s="3">
    <fb>45393</fb>
    <v>5</v>
  </rv>
  <rv s="3">
    <fb>175.04</fb>
    <v>6</v>
  </rv>
  <rv s="3">
    <fb>45394</fb>
    <v>5</v>
  </rv>
  <rv s="3">
    <fb>176.55</fb>
    <v>6</v>
  </rv>
  <rv s="3">
    <fb>45397</fb>
    <v>5</v>
  </rv>
  <rv s="3">
    <fb>172.69</fb>
    <v>6</v>
  </rv>
  <rv s="3">
    <fb>45398</fb>
    <v>5</v>
  </rv>
  <rv s="3">
    <fb>169.38</fb>
    <v>6</v>
  </rv>
  <rv s="3">
    <fb>45399</fb>
    <v>5</v>
  </rv>
  <rv s="3">
    <fb>168</fb>
    <v>6</v>
  </rv>
  <rv s="3">
    <fb>45400</fb>
    <v>5</v>
  </rv>
  <rv s="3">
    <fb>167.04</fb>
    <v>6</v>
  </rv>
  <rv s="3">
    <fb>45401</fb>
    <v>5</v>
  </rv>
  <rv s="3">
    <fb>165</fb>
    <v>6</v>
  </rv>
  <rv s="3">
    <fb>45404</fb>
    <v>5</v>
  </rv>
  <rv s="3">
    <fb>165.84</fb>
    <v>6</v>
  </rv>
  <rv s="3">
    <fb>45405</fb>
    <v>5</v>
  </rv>
  <rv s="3">
    <fb>166.9</fb>
    <v>6</v>
  </rv>
  <rv s="3">
    <fb>45406</fb>
    <v>5</v>
  </rv>
  <rv s="3">
    <fb>169.02</fb>
    <v>6</v>
  </rv>
  <rv s="3">
    <fb>45407</fb>
    <v>5</v>
  </rv>
  <rv s="3">
    <fb>169.89</fb>
    <v>6</v>
  </rv>
  <rv s="3">
    <fb>45408</fb>
    <v>5</v>
  </rv>
  <rv s="3">
    <fb>169.3</fb>
    <v>6</v>
  </rv>
  <rv s="3">
    <fb>45411</fb>
    <v>5</v>
  </rv>
  <rv s="3">
    <fb>173.5</fb>
    <v>6</v>
  </rv>
  <rv s="3">
    <fb>45412</fb>
    <v>5</v>
  </rv>
  <rv s="3">
    <fb>45413</fb>
    <v>5</v>
  </rv>
  <rv s="3">
    <fb>45414</fb>
    <v>5</v>
  </rv>
  <rv s="3">
    <fb>173.03</fb>
    <v>6</v>
  </rv>
  <rv s="3">
    <fb>45415</fb>
    <v>5</v>
  </rv>
  <rv s="3">
    <fb>183.38</fb>
    <v>6</v>
  </rv>
  <rv s="3">
    <fb>45418</fb>
    <v>5</v>
  </rv>
  <rv s="3">
    <fb>181.71</fb>
    <v>6</v>
  </rv>
  <rv s="3">
    <fb>45419</fb>
    <v>5</v>
  </rv>
  <rv s="3">
    <fb>182.4</fb>
    <v>6</v>
  </rv>
  <rv s="3">
    <fb>45420</fb>
    <v>5</v>
  </rv>
  <rv s="3">
    <fb>182.74</fb>
    <v>6</v>
  </rv>
  <rv s="3">
    <fb>45421</fb>
    <v>5</v>
  </rv>
  <rv s="3">
    <fb>184.57</fb>
    <v>6</v>
  </rv>
  <rv s="3">
    <fb>45422</fb>
    <v>5</v>
  </rv>
  <rv s="3">
    <fb>183.05</fb>
    <v>6</v>
  </rv>
  <rv s="3">
    <fb>45425</fb>
    <v>5</v>
  </rv>
  <rv s="3">
    <fb>186.28</fb>
    <v>6</v>
  </rv>
  <rv s="3">
    <fb>45426</fb>
    <v>5</v>
  </rv>
  <rv s="3">
    <fb>187.43</fb>
    <v>6</v>
  </rv>
  <rv s="3">
    <fb>45427</fb>
    <v>5</v>
  </rv>
  <rv s="3">
    <fb>189.72</fb>
    <v>6</v>
  </rv>
  <rv s="3">
    <fb>45428</fb>
    <v>5</v>
  </rv>
  <rv s="3">
    <fb>189.84</fb>
    <v>6</v>
  </rv>
  <rv s="3">
    <fb>45429</fb>
    <v>5</v>
  </rv>
  <rv s="3">
    <fb>189.87</fb>
    <v>6</v>
  </rv>
  <rv s="3">
    <fb>45432</fb>
    <v>5</v>
  </rv>
  <rv s="3">
    <fb>191.04</fb>
    <v>6</v>
  </rv>
  <rv s="3">
    <fb>45433</fb>
    <v>5</v>
  </rv>
  <rv s="3">
    <fb>192.35</fb>
    <v>6</v>
  </rv>
  <rv s="3">
    <fb>45434</fb>
    <v>5</v>
  </rv>
  <rv s="3">
    <fb>190.9</fb>
    <v>6</v>
  </rv>
  <rv s="3">
    <fb>45435</fb>
    <v>5</v>
  </rv>
  <rv s="3">
    <fb>186.88</fb>
    <v>6</v>
  </rv>
  <rv s="3">
    <fb>45436</fb>
    <v>5</v>
  </rv>
  <rv s="3">
    <fb>189.98</fb>
    <v>6</v>
  </rv>
  <rv s="3">
    <fb>45440</fb>
    <v>5</v>
  </rv>
  <rv s="3">
    <fb>189.99</fb>
    <v>6</v>
  </rv>
  <rv s="3">
    <fb>45441</fb>
    <v>5</v>
  </rv>
  <rv s="3">
    <fb>190.29</fb>
    <v>6</v>
  </rv>
  <rv s="3">
    <fb>45442</fb>
    <v>5</v>
  </rv>
  <rv s="3">
    <fb>191.29</fb>
    <v>6</v>
  </rv>
  <rv s="3">
    <fb>45443</fb>
    <v>5</v>
  </rv>
  <rv s="3">
    <fb>45446</fb>
    <v>5</v>
  </rv>
  <rv s="3">
    <fb>194.03</fb>
    <v>6</v>
  </rv>
  <rv s="3">
    <fb>45447</fb>
    <v>5</v>
  </rv>
  <rv s="3">
    <fb>194.35</fb>
    <v>6</v>
  </rv>
  <rv s="3">
    <fb>45448</fb>
    <v>5</v>
  </rv>
  <rv s="3">
    <fb>195.87</fb>
    <v>6</v>
  </rv>
  <rv s="3">
    <fb>45449</fb>
    <v>5</v>
  </rv>
  <rv s="3">
    <fb>194.48</fb>
    <v>6</v>
  </rv>
  <rv s="3">
    <fb>45450</fb>
    <v>5</v>
  </rv>
  <rv s="3">
    <fb>196.89</fb>
    <v>6</v>
  </rv>
  <rv s="3">
    <fb>45453</fb>
    <v>5</v>
  </rv>
  <rv s="3">
    <fb>193.12</fb>
    <v>6</v>
  </rv>
  <rv s="3">
    <fb>45454</fb>
    <v>5</v>
  </rv>
  <rv s="3">
    <fb>207.15</fb>
    <v>6</v>
  </rv>
  <rv s="3">
    <fb>45455</fb>
    <v>5</v>
  </rv>
  <rv s="3">
    <fb>213.07</fb>
    <v>6</v>
  </rv>
  <rv s="3">
    <fb>45456</fb>
    <v>5</v>
  </rv>
  <rv s="3">
    <fb>214.24</fb>
    <v>6</v>
  </rv>
  <rv s="3">
    <fb>45457</fb>
    <v>5</v>
  </rv>
  <rv s="3">
    <fb>212.49</fb>
    <v>6</v>
  </rv>
  <rv s="3">
    <fb>45460</fb>
    <v>5</v>
  </rv>
  <rv s="3">
    <fb>216.67</fb>
    <v>6</v>
  </rv>
  <rv s="3">
    <fb>45461</fb>
    <v>5</v>
  </rv>
  <rv s="3">
    <fb>214.29</fb>
    <v>6</v>
  </rv>
  <rv s="3">
    <fb>45463</fb>
    <v>5</v>
  </rv>
  <rv s="3">
    <fb>209.68</fb>
    <v>6</v>
  </rv>
  <rv s="3">
    <fb>45464</fb>
    <v>5</v>
  </rv>
  <rv s="3">
    <fb>207.49</fb>
    <v>6</v>
  </rv>
  <rv s="3">
    <fb>45467</fb>
    <v>5</v>
  </rv>
  <rv s="3">
    <fb>208.14</fb>
    <v>6</v>
  </rv>
  <rv s="3">
    <fb>45468</fb>
    <v>5</v>
  </rv>
  <rv s="3">
    <fb>209.07</fb>
    <v>6</v>
  </rv>
  <rv s="3">
    <fb>45469</fb>
    <v>5</v>
  </rv>
  <rv s="3">
    <fb>213.25</fb>
    <v>6</v>
  </rv>
  <rv s="3">
    <fb>45470</fb>
    <v>5</v>
  </rv>
  <rv s="3">
    <fb>214.1</fb>
    <v>6</v>
  </rv>
  <rv s="3">
    <fb>45471</fb>
    <v>5</v>
  </rv>
  <rv s="3">
    <fb>45474</fb>
    <v>5</v>
  </rv>
  <rv s="3">
    <fb>216.75</fb>
    <v>6</v>
  </rv>
  <rv s="3">
    <fb>45475</fb>
    <v>5</v>
  </rv>
  <rv s="3">
    <fb>220.27</fb>
    <v>6</v>
  </rv>
  <rv s="3">
    <fb>45476</fb>
    <v>5</v>
  </rv>
  <rv s="3">
    <fb>221.55</fb>
    <v>6</v>
  </rv>
  <rv s="3">
    <fb>45478</fb>
    <v>5</v>
  </rv>
  <rv s="3">
    <fb>226.34</fb>
    <v>6</v>
  </rv>
  <rv s="3">
    <fb>45481</fb>
    <v>5</v>
  </rv>
  <rv s="3">
    <fb>227.82</fb>
    <v>6</v>
  </rv>
  <rv s="3">
    <fb>45482</fb>
    <v>5</v>
  </rv>
  <rv s="3">
    <fb>228.68</fb>
    <v>6</v>
  </rv>
  <rv s="3">
    <fb>45483</fb>
    <v>5</v>
  </rv>
  <rv s="3">
    <fb>232.98</fb>
    <v>6</v>
  </rv>
  <rv s="3">
    <fb>45484</fb>
    <v>5</v>
  </rv>
  <rv s="3">
    <fb>227.57</fb>
    <v>6</v>
  </rv>
  <rv s="3">
    <fb>45485</fb>
    <v>5</v>
  </rv>
  <rv s="3">
    <fb>230.54</fb>
    <v>6</v>
  </rv>
  <rv s="3">
    <fb>45488</fb>
    <v>5</v>
  </rv>
  <rv s="3">
    <fb>234.4</fb>
    <v>6</v>
  </rv>
  <rv s="3">
    <fb>45489</fb>
    <v>5</v>
  </rv>
  <rv s="3">
    <fb>234.82</fb>
    <v>6</v>
  </rv>
  <rv s="3">
    <fb>45490</fb>
    <v>5</v>
  </rv>
  <rv s="3">
    <fb>228.88</fb>
    <v>6</v>
  </rv>
  <rv s="3">
    <fb>45491</fb>
    <v>5</v>
  </rv>
  <rv s="3">
    <fb>224.18</fb>
    <v>6</v>
  </rv>
  <rv s="3">
    <fb>45492</fb>
    <v>5</v>
  </rv>
  <rv s="3">
    <fb>224.31</fb>
    <v>6</v>
  </rv>
  <rv s="3">
    <fb>45495</fb>
    <v>5</v>
  </rv>
  <rv s="3">
    <fb>223.96</fb>
    <v>6</v>
  </rv>
  <rv s="3">
    <fb>45496</fb>
    <v>5</v>
  </rv>
  <rv s="3">
    <fb>225.01</fb>
    <v>6</v>
  </rv>
  <rv s="3">
    <fb>45497</fb>
    <v>5</v>
  </rv>
  <rv s="3">
    <fb>218.54</fb>
    <v>6</v>
  </rv>
  <rv s="3">
    <fb>45498</fb>
    <v>5</v>
  </rv>
  <rv s="3">
    <fb>217.49</fb>
    <v>6</v>
  </rv>
  <rv s="3">
    <fb>45499</fb>
    <v>5</v>
  </rv>
  <rv s="3">
    <fb>217.96</fb>
    <v>6</v>
  </rv>
  <rv s="3">
    <fb>45502</fb>
    <v>5</v>
  </rv>
  <rv s="3">
    <fb>218.24</fb>
    <v>6</v>
  </rv>
  <rv s="3">
    <fb>45503</fb>
    <v>5</v>
  </rv>
  <rv s="3">
    <fb>218.8</fb>
    <v>6</v>
  </rv>
  <rv s="3">
    <fb>45504</fb>
    <v>5</v>
  </rv>
  <rv s="3">
    <fb>45505</fb>
    <v>5</v>
  </rv>
  <rv s="3">
    <fb>218.36</fb>
    <v>6</v>
  </rv>
  <rv s="3">
    <fb>45506</fb>
    <v>5</v>
  </rv>
  <rv s="3">
    <fb>219.86</fb>
    <v>6</v>
  </rv>
  <rv s="3">
    <fb>45509</fb>
    <v>5</v>
  </rv>
  <rv s="3">
    <fb>209.27</fb>
    <v>6</v>
  </rv>
  <rv s="3">
    <fb>45510</fb>
    <v>5</v>
  </rv>
  <rv s="3">
    <fb>207.23</fb>
    <v>6</v>
  </rv>
  <rv s="3">
    <fb>45511</fb>
    <v>5</v>
  </rv>
  <rv s="3">
    <fb>209.82</fb>
    <v>6</v>
  </rv>
  <rv s="3">
    <fb>45512</fb>
    <v>5</v>
  </rv>
  <rv s="3">
    <fb>213.31</fb>
    <v>6</v>
  </rv>
  <rv s="3">
    <fb>45513</fb>
    <v>5</v>
  </rv>
  <rv s="3">
    <fb>216.24</fb>
    <v>6</v>
  </rv>
  <rv s="3">
    <fb>45516</fb>
    <v>5</v>
  </rv>
  <rv s="3">
    <fb>217.53</fb>
    <v>6</v>
  </rv>
  <rv s="3">
    <fb>45517</fb>
    <v>5</v>
  </rv>
  <rv s="3">
    <fb>221.27</fb>
    <v>6</v>
  </rv>
  <rv s="3">
    <fb>45518</fb>
    <v>5</v>
  </rv>
  <rv s="3">
    <fb>221.72</fb>
    <v>6</v>
  </rv>
  <rv s="3">
    <fb>45519</fb>
    <v>5</v>
  </rv>
  <rv s="3">
    <fb>224.72</fb>
    <v>6</v>
  </rv>
  <rv s="3">
    <fb>45520</fb>
    <v>5</v>
  </rv>
  <rv s="3">
    <fb>226.05</fb>
    <v>6</v>
  </rv>
  <rv s="3">
    <fb>45523</fb>
    <v>5</v>
  </rv>
  <rv s="3">
    <fb>225.89</fb>
    <v>6</v>
  </rv>
  <rv s="3">
    <fb>45524</fb>
    <v>5</v>
  </rv>
  <rv s="3">
    <fb>226.51</fb>
    <v>6</v>
  </rv>
  <rv s="3">
    <fb>45525</fb>
    <v>5</v>
  </rv>
  <rv s="3">
    <fb>226.4</fb>
    <v>6</v>
  </rv>
  <rv s="3">
    <fb>45526</fb>
    <v>5</v>
  </rv>
  <rv s="3">
    <fb>224.53</fb>
    <v>6</v>
  </rv>
  <rv s="3">
    <fb>45527</fb>
    <v>5</v>
  </rv>
  <rv s="3">
    <fb>226.84</fb>
    <v>6</v>
  </rv>
  <rv s="3">
    <fb>45530</fb>
    <v>5</v>
  </rv>
  <rv s="3">
    <fb>227.18</fb>
    <v>6</v>
  </rv>
  <rv s="3">
    <fb>45531</fb>
    <v>5</v>
  </rv>
  <rv s="3">
    <fb>228.03</fb>
    <v>6</v>
  </rv>
  <rv s="3">
    <fb>45532</fb>
    <v>5</v>
  </rv>
  <rv s="3">
    <fb>226.49</fb>
    <v>6</v>
  </rv>
  <rv s="3">
    <fb>45533</fb>
    <v>5</v>
  </rv>
  <rv s="3">
    <fb>229.79</fb>
    <v>6</v>
  </rv>
  <rv s="3">
    <fb>45534</fb>
    <v>5</v>
  </rv>
  <rv s="3">
    <fb>45538</fb>
    <v>5</v>
  </rv>
  <rv s="3">
    <fb>222.77</fb>
    <v>6</v>
  </rv>
  <rv s="3">
    <fb>45539</fb>
    <v>5</v>
  </rv>
  <rv s="3">
    <fb>220.85</fb>
    <v>6</v>
  </rv>
  <rv s="3">
    <fb>45540</fb>
    <v>5</v>
  </rv>
  <rv s="3">
    <fb>222.38</fb>
    <v>6</v>
  </rv>
  <rv s="3">
    <fb>45541</fb>
    <v>5</v>
  </rv>
  <rv s="3">
    <fb>220.82</fb>
    <v>6</v>
  </rv>
  <rv s="3">
    <fb>45544</fb>
    <v>5</v>
  </rv>
  <rv s="3">
    <fb>220.91</fb>
    <v>6</v>
  </rv>
  <rv s="3">
    <fb>45545</fb>
    <v>5</v>
  </rv>
  <rv s="3">
    <fb>220.11</fb>
    <v>6</v>
  </rv>
  <rv s="3">
    <fb>45546</fb>
    <v>5</v>
  </rv>
  <rv s="3">
    <fb>222.66</fb>
    <v>6</v>
  </rv>
  <rv s="3">
    <fb>45547</fb>
    <v>5</v>
  </rv>
  <rv s="3">
    <fb>45548</fb>
    <v>5</v>
  </rv>
  <rv s="3">
    <fb>222.5</fb>
    <v>6</v>
  </rv>
  <rv s="3">
    <fb>45551</fb>
    <v>5</v>
  </rv>
  <rv s="3">
    <fb>216.32</fb>
    <v>6</v>
  </rv>
  <rv s="3">
    <fb>45552</fb>
    <v>5</v>
  </rv>
  <rv s="3">
    <fb>216.79</fb>
    <v>6</v>
  </rv>
  <rv s="3">
    <fb>45553</fb>
    <v>5</v>
  </rv>
  <rv s="3">
    <fb>220.69</fb>
    <v>6</v>
  </rv>
  <rv s="3">
    <fb>45554</fb>
    <v>5</v>
  </rv>
  <rv s="3">
    <fb>228.87</fb>
    <v>6</v>
  </rv>
  <rv s="3">
    <fb>45555</fb>
    <v>5</v>
  </rv>
  <rv s="3">
    <fb>228.2</fb>
    <v>6</v>
  </rv>
  <rv s="3">
    <fb>45558</fb>
    <v>5</v>
  </rv>
  <rv s="3">
    <fb>226.47</fb>
    <v>6</v>
  </rv>
  <rv s="3">
    <fb>45559</fb>
    <v>5</v>
  </rv>
  <rv s="3">
    <fb>227.37</fb>
    <v>6</v>
  </rv>
  <rv s="3">
    <fb>45560</fb>
    <v>5</v>
  </rv>
  <rv s="3">
    <fb>226.37</fb>
    <v>6</v>
  </rv>
  <rv s="3">
    <fb>45561</fb>
    <v>5</v>
  </rv>
  <rv s="3">
    <fb>227.52</fb>
    <v>6</v>
  </rv>
  <rv s="3">
    <fb>45562</fb>
    <v>5</v>
  </rv>
  <rv s="3">
    <fb>227.79</fb>
    <v>6</v>
  </rv>
  <rv s="3">
    <fb>45565</fb>
    <v>5</v>
  </rv>
  <rv s="3">
    <fb>45566</fb>
    <v>5</v>
  </rv>
  <rv s="3">
    <fb>226.21</fb>
    <v>6</v>
  </rv>
  <rv s="3">
    <fb>45567</fb>
    <v>5</v>
  </rv>
  <rv s="3">
    <fb>226.78</fb>
    <v>6</v>
  </rv>
  <rv s="3">
    <fb>45568</fb>
    <v>5</v>
  </rv>
  <rv s="3">
    <fb>225.67</fb>
    <v>6</v>
  </rv>
  <rv s="3">
    <fb>45569</fb>
    <v>5</v>
  </rv>
  <rv s="3">
    <fb>226.8</fb>
    <v>6</v>
  </rv>
  <rv s="3">
    <fb>45572</fb>
    <v>5</v>
  </rv>
  <rv s="3">
    <fb>221.69</fb>
    <v>6</v>
  </rv>
  <rv s="3">
    <fb>45573</fb>
    <v>5</v>
  </rv>
  <rv s="3">
    <fb>225.77</fb>
    <v>6</v>
  </rv>
  <rv s="3">
    <fb>45574</fb>
    <v>5</v>
  </rv>
  <rv s="3">
    <fb>229.54</fb>
    <v>6</v>
  </rv>
  <rv s="3">
    <fb>45575</fb>
    <v>5</v>
  </rv>
  <rv s="3">
    <fb>229.04</fb>
    <v>6</v>
  </rv>
  <rv s="3">
    <fb>45576</fb>
    <v>5</v>
  </rv>
  <rv s="3">
    <fb>227.55</fb>
    <v>6</v>
  </rv>
  <rv s="3">
    <fb>45579</fb>
    <v>5</v>
  </rv>
  <rv s="3">
    <fb>231.3</fb>
    <v>6</v>
  </rv>
  <rv s="3">
    <fb>45580</fb>
    <v>5</v>
  </rv>
  <rv s="3">
    <fb>233.85</fb>
    <v>6</v>
  </rv>
  <rv s="3">
    <fb>45581</fb>
    <v>5</v>
  </rv>
  <rv s="3">
    <fb>231.78</fb>
    <v>6</v>
  </rv>
  <rv s="3">
    <fb>45582</fb>
    <v>5</v>
  </rv>
  <rv s="3">
    <fb>232.15</fb>
    <v>6</v>
  </rv>
  <rv s="3">
    <fb>45583</fb>
    <v>5</v>
  </rv>
  <rv s="3">
    <fb>235</fb>
    <v>6</v>
  </rv>
  <rv s="3">
    <fb>45586</fb>
    <v>5</v>
  </rv>
  <rv s="3">
    <fb>236.48</fb>
    <v>6</v>
  </rv>
  <rv s="3">
    <fb>45587</fb>
    <v>5</v>
  </rv>
  <rv s="3">
    <fb>235.86</fb>
    <v>6</v>
  </rv>
  <rv s="3">
    <fb>45588</fb>
    <v>5</v>
  </rv>
  <rv s="3">
    <fb>230.76</fb>
    <v>6</v>
  </rv>
  <rv s="3">
    <fb>45589</fb>
    <v>5</v>
  </rv>
  <rv s="3">
    <fb>230.57</fb>
    <v>6</v>
  </rv>
  <rv s="3">
    <fb>45590</fb>
    <v>5</v>
  </rv>
  <rv s="3">
    <fb>231.41</fb>
    <v>6</v>
  </rv>
  <rv s="3">
    <fb>45593</fb>
    <v>5</v>
  </rv>
  <rv s="3">
    <fb>233.4</fb>
    <v>6</v>
  </rv>
  <rv s="3">
    <fb>45594</fb>
    <v>5</v>
  </rv>
  <rv s="3">
    <fb>233.67</fb>
    <v>6</v>
  </rv>
  <rv s="3">
    <fb>45595</fb>
    <v>5</v>
  </rv>
  <rv s="3">
    <fb>230.1</fb>
    <v>6</v>
  </rv>
  <rv s="3">
    <fb>45596</fb>
    <v>5</v>
  </rv>
  <rv s="3">
    <fb>45597</fb>
    <v>5</v>
  </rv>
  <rv s="3">
    <fb>222.91</fb>
    <v>6</v>
  </rv>
  <rv s="3">
    <fb>45600</fb>
    <v>5</v>
  </rv>
  <rv s="3">
    <fb>222.01</fb>
    <v>6</v>
  </rv>
  <rv s="3">
    <fb>45601</fb>
    <v>5</v>
  </rv>
  <rv s="3">
    <fb>223.45</fb>
    <v>6</v>
  </rv>
  <rv s="3">
    <fb>45602</fb>
    <v>5</v>
  </rv>
  <rv s="3">
    <fb>222.72</fb>
    <v>6</v>
  </rv>
  <rv s="3">
    <fb>45603</fb>
    <v>5</v>
  </rv>
  <rv s="3">
    <fb>227.48</fb>
    <v>6</v>
  </rv>
  <rv s="3">
    <fb>45604</fb>
    <v>5</v>
  </rv>
  <rv s="3">
    <fb>226.96</fb>
    <v>6</v>
  </rv>
  <rv s="3">
    <fb>45607</fb>
    <v>5</v>
  </rv>
  <rv s="3">
    <fb>224.23</fb>
    <v>6</v>
  </rv>
  <rv s="3">
    <fb>45608</fb>
    <v>5</v>
  </rv>
  <rv s="3">
    <fb>45609</fb>
    <v>5</v>
  </rv>
  <rv s="3">
    <fb>225.12</fb>
    <v>6</v>
  </rv>
  <rv s="3">
    <fb>45610</fb>
    <v>5</v>
  </rv>
  <rv s="3">
    <fb>228.22</fb>
    <v>6</v>
  </rv>
  <rv s="3">
    <fb>45611</fb>
    <v>5</v>
  </rv>
  <rv s="3">
    <fb>225</fb>
    <v>6</v>
  </rv>
  <rv s="3">
    <fb>45614</fb>
    <v>5</v>
  </rv>
  <rv s="3">
    <fb>228.02</fb>
    <v>6</v>
  </rv>
  <rv s="3">
    <fb>45615</fb>
    <v>5</v>
  </rv>
  <rv s="3">
    <fb>228.28</fb>
    <v>6</v>
  </rv>
  <rv s="3">
    <fb>45616</fb>
    <v>5</v>
  </rv>
  <rv s="3">
    <fb>45617</fb>
    <v>5</v>
  </rv>
  <rv s="3">
    <fb>228.52</fb>
    <v>6</v>
  </rv>
  <rv s="3">
    <fb>45618</fb>
    <v>5</v>
  </rv>
  <rv s="3">
    <fb>229.87</fb>
    <v>6</v>
  </rv>
  <rv s="3">
    <fb>45621</fb>
    <v>5</v>
  </rv>
  <rv s="3">
    <fb>232.87</fb>
    <v>6</v>
  </rv>
  <rv s="3">
    <fb>45622</fb>
    <v>5</v>
  </rv>
  <rv s="3">
    <fb>235.06</fb>
    <v>6</v>
  </rv>
  <rv s="3">
    <fb>45623</fb>
    <v>5</v>
  </rv>
  <rv s="3">
    <fb>234.93</fb>
    <v>6</v>
  </rv>
  <rv s="3">
    <fb>45625</fb>
    <v>5</v>
  </rv>
  <rv s="3">
    <fb>45628</fb>
    <v>5</v>
  </rv>
  <rv s="3">
    <fb>239.59</fb>
    <v>6</v>
  </rv>
  <rv s="3">
    <fb>45629</fb>
    <v>5</v>
  </rv>
  <rv s="3">
    <fb>242.65</fb>
    <v>6</v>
  </rv>
  <rv s="3">
    <fb>45630</fb>
    <v>5</v>
  </rv>
  <rv s="3">
    <fb>243.01</fb>
    <v>6</v>
  </rv>
  <rv s="3">
    <fb>45631</fb>
    <v>5</v>
  </rv>
  <rv s="3">
    <fb>243.04</fb>
    <v>6</v>
  </rv>
  <rv s="3">
    <fb>45632</fb>
    <v>5</v>
  </rv>
  <rv s="3">
    <fb>242.84</fb>
    <v>6</v>
  </rv>
  <rv s="3">
    <fb>45635</fb>
    <v>5</v>
  </rv>
  <rv s="3">
    <fb>246.75</fb>
    <v>6</v>
  </rv>
  <rv s="3">
    <fb>45636</fb>
    <v>5</v>
  </rv>
  <rv s="3">
    <fb>247.77</fb>
    <v>6</v>
  </rv>
  <rv s="3">
    <fb>45637</fb>
    <v>5</v>
  </rv>
  <rv s="3">
    <fb>246.49</fb>
    <v>6</v>
  </rv>
  <rv s="3">
    <fb>45638</fb>
    <v>5</v>
  </rv>
  <rv s="3">
    <fb>247.96</fb>
    <v>6</v>
  </rv>
  <rv s="3">
    <fb>45639</fb>
    <v>5</v>
  </rv>
  <rv s="3">
    <fb>248.13</fb>
    <v>6</v>
  </rv>
  <rv s="3">
    <fb>45642</fb>
    <v>5</v>
  </rv>
  <rv s="3">
    <fb>251.04</fb>
    <v>6</v>
  </rv>
  <rv s="3">
    <fb>45643</fb>
    <v>5</v>
  </rv>
  <rv s="3">
    <fb>253.48</fb>
    <v>6</v>
  </rv>
  <rv s="3">
    <fb>45644</fb>
    <v>5</v>
  </rv>
  <rv s="3">
    <fb>248.05</fb>
    <v>6</v>
  </rv>
  <rv s="3">
    <fb>45645</fb>
    <v>5</v>
  </rv>
  <rv s="3">
    <fb>249.79</fb>
    <v>6</v>
  </rv>
  <rv s="3">
    <fb>45646</fb>
    <v>5</v>
  </rv>
  <rv s="3">
    <fb>254.49</fb>
    <v>6</v>
  </rv>
  <rv s="3">
    <fb>45649</fb>
    <v>5</v>
  </rv>
  <rv s="3">
    <fb>255.27</fb>
    <v>6</v>
  </rv>
  <rv s="3">
    <fb>45650</fb>
    <v>5</v>
  </rv>
  <rv s="3">
    <fb>258.2</fb>
    <v>6</v>
  </rv>
  <rv s="3">
    <fb>45652</fb>
    <v>5</v>
  </rv>
  <rv s="3">
    <fb>259.02</fb>
    <v>6</v>
  </rv>
  <rv s="3">
    <fb>45653</fb>
    <v>5</v>
  </rv>
  <rv s="3">
    <fb>255.59</fb>
    <v>6</v>
  </rv>
  <rv s="3">
    <fb>45656</fb>
    <v>5</v>
  </rv>
  <rv s="3">
    <fb>252.2</fb>
    <v>6</v>
  </rv>
  <rv s="3">
    <fb>45657</fb>
    <v>5</v>
  </rv>
  <rv s="4">
    <v>7</v>
    <v>a1mou2</v>
    <v>Daily</v>
    <v>45292</v>
    <v>45657</v>
    <v>0</v>
    <v>1</v>
    <v>638712000000000000,638917547330184243,0</v>
    <v>0</v>
    <v>a1mou2</v>
    <v>XNAS:AAPL</v>
    <v>1</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spb>
    <spb s="5">
      <v>1</v>
    </spb>
    <spb s="6">
      <v>10</v>
      <v>1</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548A-DB0C-4CB2-82C4-D14FEB5BCAEF}">
  <sheetPr>
    <tabColor theme="5" tint="0.79998168889431442"/>
  </sheetPr>
  <dimension ref="B1:J262"/>
  <sheetViews>
    <sheetView showGridLines="0" tabSelected="1" workbookViewId="0">
      <selection activeCell="L12" sqref="L12"/>
    </sheetView>
  </sheetViews>
  <sheetFormatPr defaultRowHeight="15" x14ac:dyDescent="0.25"/>
  <cols>
    <col min="1" max="1" width="0.85546875" customWidth="1"/>
    <col min="2" max="2" width="31.5703125" customWidth="1"/>
    <col min="3" max="3" width="28.7109375" customWidth="1"/>
    <col min="4" max="4" width="2" customWidth="1"/>
    <col min="5" max="5" width="26.7109375" customWidth="1"/>
    <col min="6" max="6" width="19.28515625" customWidth="1"/>
    <col min="7" max="7" width="2.85546875" customWidth="1"/>
    <col min="8" max="8" width="16" customWidth="1"/>
    <col min="9" max="9" width="29.28515625" customWidth="1"/>
    <col min="10" max="10" width="20.7109375" customWidth="1"/>
    <col min="12" max="12" width="15.28515625" customWidth="1"/>
    <col min="13" max="13" width="29" customWidth="1"/>
  </cols>
  <sheetData>
    <row r="1" spans="2:10" ht="4.5" customHeight="1" thickBot="1" x14ac:dyDescent="0.3"/>
    <row r="2" spans="2:10" ht="15.75" thickBot="1" x14ac:dyDescent="0.3">
      <c r="B2" s="85" t="s">
        <v>53</v>
      </c>
      <c r="C2" s="86"/>
      <c r="D2" s="86"/>
      <c r="E2" s="86"/>
      <c r="F2" s="87"/>
    </row>
    <row r="3" spans="2:10" x14ac:dyDescent="0.25">
      <c r="B3" s="1" t="s">
        <v>6</v>
      </c>
      <c r="C3" s="3">
        <v>45292</v>
      </c>
      <c r="D3" s="2"/>
      <c r="E3" s="2" t="s">
        <v>7</v>
      </c>
      <c r="F3" s="11">
        <v>45657</v>
      </c>
    </row>
    <row r="4" spans="2:10" x14ac:dyDescent="0.25">
      <c r="B4" s="5" t="s">
        <v>8</v>
      </c>
      <c r="C4" s="6">
        <v>0.05</v>
      </c>
      <c r="E4" t="s">
        <v>9</v>
      </c>
      <c r="F4" s="63">
        <f>C4/12</f>
        <v>4.1666666666666666E-3</v>
      </c>
    </row>
    <row r="5" spans="2:10" x14ac:dyDescent="0.25">
      <c r="B5" s="5" t="s">
        <v>10</v>
      </c>
      <c r="C5" s="6">
        <v>4.4999999999999998E-2</v>
      </c>
      <c r="E5" t="s">
        <v>11</v>
      </c>
      <c r="F5" s="63">
        <f>C5/12</f>
        <v>3.7499999999999999E-3</v>
      </c>
    </row>
    <row r="6" spans="2:10" ht="15.75" thickBot="1" x14ac:dyDescent="0.3">
      <c r="B6" s="8" t="s">
        <v>12</v>
      </c>
      <c r="C6" s="14" t="e" vm="1">
        <v>#VALUE!</v>
      </c>
      <c r="D6" s="9"/>
      <c r="E6" s="9"/>
      <c r="F6" s="10"/>
    </row>
    <row r="8" spans="2:10" ht="15.75" thickBot="1" x14ac:dyDescent="0.3"/>
    <row r="9" spans="2:10" ht="15.75" thickBot="1" x14ac:dyDescent="0.3">
      <c r="B9" s="85" t="s">
        <v>13</v>
      </c>
      <c r="C9" s="86"/>
      <c r="D9" s="86"/>
      <c r="E9" s="86"/>
      <c r="F9" s="87"/>
      <c r="H9" s="85" t="s">
        <v>14</v>
      </c>
      <c r="I9" s="86"/>
      <c r="J9" s="87"/>
    </row>
    <row r="10" spans="2:10" ht="15.75" thickBot="1" x14ac:dyDescent="0.3">
      <c r="B10" s="16" t="s">
        <v>16</v>
      </c>
      <c r="C10" s="17" t="s">
        <v>17</v>
      </c>
      <c r="D10" s="17"/>
      <c r="E10" s="17" t="s">
        <v>18</v>
      </c>
      <c r="F10" s="18" t="s">
        <v>19</v>
      </c>
      <c r="H10" s="16" t="s">
        <v>3</v>
      </c>
      <c r="I10" s="17" t="s">
        <v>20</v>
      </c>
      <c r="J10" s="18" t="s">
        <v>19</v>
      </c>
    </row>
    <row r="11" spans="2:10" x14ac:dyDescent="0.25">
      <c r="B11" s="1" cm="1" vm="2">
        <f t="array" aca="1" ref="B11:C262" ca="1">_xlfn.STOCKHISTORY(C6,C3,F3,0,0,0,1)</f>
        <v>45293</v>
      </c>
      <c r="C11" s="2" vm="3">
        <f ca="1"/>
        <v>185.64</v>
      </c>
      <c r="D11" s="2"/>
      <c r="E11" s="2"/>
      <c r="F11" s="4"/>
      <c r="H11" s="19" t="s">
        <v>21</v>
      </c>
      <c r="I11" s="2" vm="4">
        <f ca="1">C31</f>
        <v>184.4</v>
      </c>
      <c r="J11" s="20">
        <f ca="1">I11/C11-1</f>
        <v>-6.6795949148888978E-3</v>
      </c>
    </row>
    <row r="12" spans="2:10" x14ac:dyDescent="0.25">
      <c r="B12" s="5" vm="5">
        <f ca="1"/>
        <v>45294</v>
      </c>
      <c r="C12" vm="6">
        <f ca="1"/>
        <v>184.25</v>
      </c>
      <c r="E12" s="13">
        <f ca="1">C12/C11-1</f>
        <v>-7.4876104287868728E-3</v>
      </c>
      <c r="F12" s="7">
        <f ca="1">C12/$C$11-1</f>
        <v>-7.4876104287868728E-3</v>
      </c>
      <c r="H12" s="21" t="s">
        <v>23</v>
      </c>
      <c r="I12" vm="7">
        <f ca="1">C51</f>
        <v>180.75</v>
      </c>
      <c r="J12" s="7">
        <f ca="1">I12/I11-1</f>
        <v>-1.9793926247288485E-2</v>
      </c>
    </row>
    <row r="13" spans="2:10" x14ac:dyDescent="0.25">
      <c r="B13" s="5" vm="8">
        <f ca="1"/>
        <v>45295</v>
      </c>
      <c r="C13" vm="9">
        <f ca="1"/>
        <v>181.91</v>
      </c>
      <c r="E13" s="13">
        <f t="shared" ref="E13:E76" ca="1" si="0">C13/C12-1</f>
        <v>-1.2700135685210334E-2</v>
      </c>
      <c r="F13" s="7">
        <f t="shared" ref="F13:F76" ca="1" si="1">C13/$C$11-1</f>
        <v>-2.0092652445593551E-2</v>
      </c>
      <c r="H13" s="21" t="s">
        <v>24</v>
      </c>
      <c r="I13" vm="10">
        <f ca="1">C71</f>
        <v>171.48</v>
      </c>
      <c r="J13" s="7">
        <f t="shared" ref="J13:J22" ca="1" si="2">I13/I12-1</f>
        <v>-5.1286307053941993E-2</v>
      </c>
    </row>
    <row r="14" spans="2:10" x14ac:dyDescent="0.25">
      <c r="B14" s="5" vm="11">
        <f ca="1"/>
        <v>45296</v>
      </c>
      <c r="C14" vm="12">
        <f ca="1"/>
        <v>181.18</v>
      </c>
      <c r="E14" s="13">
        <f t="shared" ca="1" si="0"/>
        <v>-4.0129734484084523E-3</v>
      </c>
      <c r="F14" s="7">
        <f t="shared" ca="1" si="1"/>
        <v>-2.4024994613229822E-2</v>
      </c>
      <c r="H14" s="21" t="s">
        <v>25</v>
      </c>
      <c r="I14" vm="13">
        <f ca="1">C93</f>
        <v>170.33</v>
      </c>
      <c r="J14" s="7">
        <f t="shared" ca="1" si="2"/>
        <v>-6.7063214369020852E-3</v>
      </c>
    </row>
    <row r="15" spans="2:10" x14ac:dyDescent="0.25">
      <c r="B15" s="5" vm="14">
        <f ca="1"/>
        <v>45299</v>
      </c>
      <c r="C15" vm="15">
        <f ca="1"/>
        <v>185.56</v>
      </c>
      <c r="E15" s="13">
        <f t="shared" ca="1" si="0"/>
        <v>2.4174853736615542E-2</v>
      </c>
      <c r="F15" s="7">
        <f t="shared" ca="1" si="1"/>
        <v>-4.3094160741208309E-4</v>
      </c>
      <c r="H15" s="21" t="s">
        <v>26</v>
      </c>
      <c r="I15" vm="16">
        <f ca="1">C115</f>
        <v>192.25</v>
      </c>
      <c r="J15" s="7">
        <f t="shared" ca="1" si="2"/>
        <v>0.12869136382316682</v>
      </c>
    </row>
    <row r="16" spans="2:10" x14ac:dyDescent="0.25">
      <c r="B16" s="5" vm="17">
        <f ca="1"/>
        <v>45300</v>
      </c>
      <c r="C16" vm="18">
        <f ca="1"/>
        <v>185.14</v>
      </c>
      <c r="E16" s="13">
        <f t="shared" ca="1" si="0"/>
        <v>-2.2634188402673727E-3</v>
      </c>
      <c r="F16" s="7">
        <f t="shared" ca="1" si="1"/>
        <v>-2.6933850463262132E-3</v>
      </c>
      <c r="H16" s="21" t="s">
        <v>27</v>
      </c>
      <c r="I16" vm="19">
        <f ca="1">C134</f>
        <v>210.62</v>
      </c>
      <c r="J16" s="7">
        <f t="shared" ca="1" si="2"/>
        <v>9.5552665799739867E-2</v>
      </c>
    </row>
    <row r="17" spans="2:10" x14ac:dyDescent="0.25">
      <c r="B17" s="5" vm="20">
        <f ca="1"/>
        <v>45301</v>
      </c>
      <c r="C17" vm="21">
        <f ca="1"/>
        <v>186.19</v>
      </c>
      <c r="E17" s="13">
        <f t="shared" ca="1" si="0"/>
        <v>5.6713838176516429E-3</v>
      </c>
      <c r="F17" s="7">
        <f t="shared" ca="1" si="1"/>
        <v>2.9627235509588346E-3</v>
      </c>
      <c r="H17" s="21" t="s">
        <v>28</v>
      </c>
      <c r="I17" vm="22">
        <f ca="1">C156</f>
        <v>222.08</v>
      </c>
      <c r="J17" s="7">
        <f t="shared" ca="1" si="2"/>
        <v>5.4410787199696165E-2</v>
      </c>
    </row>
    <row r="18" spans="2:10" x14ac:dyDescent="0.25">
      <c r="B18" s="5" vm="23">
        <f ca="1"/>
        <v>45302</v>
      </c>
      <c r="C18" vm="24">
        <f ca="1"/>
        <v>185.59</v>
      </c>
      <c r="E18" s="13">
        <f t="shared" ca="1" si="0"/>
        <v>-3.2225146355873147E-3</v>
      </c>
      <c r="F18" s="7">
        <f t="shared" ca="1" si="1"/>
        <v>-2.693385046325103E-4</v>
      </c>
      <c r="H18" s="21" t="s">
        <v>29</v>
      </c>
      <c r="I18" vm="25">
        <f ca="1">C178</f>
        <v>229</v>
      </c>
      <c r="J18" s="7">
        <f t="shared" ca="1" si="2"/>
        <v>3.115994236311237E-2</v>
      </c>
    </row>
    <row r="19" spans="2:10" x14ac:dyDescent="0.25">
      <c r="B19" s="5" vm="26">
        <f ca="1"/>
        <v>45303</v>
      </c>
      <c r="C19" vm="27">
        <f ca="1"/>
        <v>185.92</v>
      </c>
      <c r="E19" s="13">
        <f t="shared" ca="1" si="0"/>
        <v>1.7781130448837335E-3</v>
      </c>
      <c r="F19" s="7">
        <f t="shared" ca="1" si="1"/>
        <v>1.5082956259426794E-3</v>
      </c>
      <c r="H19" s="21" t="s">
        <v>30</v>
      </c>
      <c r="I19" vm="28">
        <f ca="1">C198</f>
        <v>233</v>
      </c>
      <c r="J19" s="7">
        <f t="shared" ca="1" si="2"/>
        <v>1.7467248908296984E-2</v>
      </c>
    </row>
    <row r="20" spans="2:10" x14ac:dyDescent="0.25">
      <c r="B20" s="5" vm="29">
        <f ca="1"/>
        <v>45307</v>
      </c>
      <c r="C20" vm="30">
        <f ca="1"/>
        <v>183.63</v>
      </c>
      <c r="E20" s="13">
        <f t="shared" ca="1" si="0"/>
        <v>-1.2317125645438853E-2</v>
      </c>
      <c r="F20" s="7">
        <f t="shared" ca="1" si="1"/>
        <v>-1.0827407886231377E-2</v>
      </c>
      <c r="H20" s="21" t="s">
        <v>31</v>
      </c>
      <c r="I20" vm="31">
        <f ca="1">C221</f>
        <v>225.91</v>
      </c>
      <c r="J20" s="7">
        <f t="shared" ca="1" si="2"/>
        <v>-3.0429184549356281E-2</v>
      </c>
    </row>
    <row r="21" spans="2:10" x14ac:dyDescent="0.25">
      <c r="B21" s="5" vm="32">
        <f ca="1"/>
        <v>45308</v>
      </c>
      <c r="C21" vm="33">
        <f ca="1"/>
        <v>182.68</v>
      </c>
      <c r="E21" s="13">
        <f t="shared" ca="1" si="0"/>
        <v>-5.1734466045852967E-3</v>
      </c>
      <c r="F21" s="7">
        <f t="shared" ca="1" si="1"/>
        <v>-1.5944839474251182E-2</v>
      </c>
      <c r="H21" s="21" t="s">
        <v>32</v>
      </c>
      <c r="I21" vm="34">
        <f ca="1">C241</f>
        <v>237.33</v>
      </c>
      <c r="J21" s="7">
        <f t="shared" ca="1" si="2"/>
        <v>5.0551104422114967E-2</v>
      </c>
    </row>
    <row r="22" spans="2:10" ht="15.75" thickBot="1" x14ac:dyDescent="0.3">
      <c r="B22" s="5" vm="35">
        <f ca="1"/>
        <v>45309</v>
      </c>
      <c r="C22" vm="36">
        <f ca="1"/>
        <v>188.63</v>
      </c>
      <c r="E22" s="13">
        <f t="shared" ca="1" si="0"/>
        <v>3.257061528355587E-2</v>
      </c>
      <c r="F22" s="7">
        <f t="shared" ca="1" si="1"/>
        <v>1.6106442577030755E-2</v>
      </c>
      <c r="H22" s="22" t="s">
        <v>33</v>
      </c>
      <c r="I22" s="9" vm="37">
        <f ca="1">C262</f>
        <v>250.42</v>
      </c>
      <c r="J22" s="12">
        <f t="shared" ca="1" si="2"/>
        <v>5.5155269034677268E-2</v>
      </c>
    </row>
    <row r="23" spans="2:10" ht="15.75" thickBot="1" x14ac:dyDescent="0.3">
      <c r="B23" s="5" vm="38">
        <f ca="1"/>
        <v>45310</v>
      </c>
      <c r="C23" vm="39">
        <f ca="1"/>
        <v>191.56</v>
      </c>
      <c r="E23" s="13">
        <f t="shared" ca="1" si="0"/>
        <v>1.5533054127127244E-2</v>
      </c>
      <c r="F23" s="7">
        <f t="shared" ca="1" si="1"/>
        <v>3.1889678948502587E-2</v>
      </c>
    </row>
    <row r="24" spans="2:10" ht="15.75" thickBot="1" x14ac:dyDescent="0.3">
      <c r="B24" s="5" vm="40">
        <f ca="1"/>
        <v>45313</v>
      </c>
      <c r="C24" vm="41">
        <f ca="1"/>
        <v>193.89</v>
      </c>
      <c r="E24" s="13">
        <f t="shared" ca="1" si="0"/>
        <v>1.2163290874921628E-2</v>
      </c>
      <c r="F24" s="7">
        <f t="shared" ca="1" si="1"/>
        <v>4.444085326438274E-2</v>
      </c>
      <c r="H24" s="85" t="s">
        <v>15</v>
      </c>
      <c r="I24" s="87"/>
    </row>
    <row r="25" spans="2:10" ht="15.75" thickBot="1" x14ac:dyDescent="0.3">
      <c r="B25" s="5" vm="42">
        <f ca="1"/>
        <v>45314</v>
      </c>
      <c r="C25" vm="43">
        <f ca="1"/>
        <v>195.18</v>
      </c>
      <c r="E25" s="13">
        <f t="shared" ca="1" si="0"/>
        <v>6.6532570013926318E-3</v>
      </c>
      <c r="F25" s="7">
        <f t="shared" ca="1" si="1"/>
        <v>5.138978668390437E-2</v>
      </c>
      <c r="H25" s="16" t="s">
        <v>3</v>
      </c>
      <c r="I25" s="18" t="s">
        <v>49</v>
      </c>
    </row>
    <row r="26" spans="2:10" x14ac:dyDescent="0.25">
      <c r="B26" s="5" vm="44">
        <f ca="1"/>
        <v>45315</v>
      </c>
      <c r="C26" vm="45">
        <f ca="1"/>
        <v>194.5</v>
      </c>
      <c r="E26" s="13">
        <f t="shared" ca="1" si="0"/>
        <v>-3.4839635208525621E-3</v>
      </c>
      <c r="F26" s="7">
        <f t="shared" ca="1" si="1"/>
        <v>4.772678302090072E-2</v>
      </c>
      <c r="H26" s="32" t="s">
        <v>22</v>
      </c>
      <c r="I26" s="33">
        <v>1.0892999999999999</v>
      </c>
    </row>
    <row r="27" spans="2:10" x14ac:dyDescent="0.25">
      <c r="B27" s="5" vm="46">
        <f ca="1"/>
        <v>45316</v>
      </c>
      <c r="C27" vm="47">
        <f ca="1"/>
        <v>194.17</v>
      </c>
      <c r="E27" s="13">
        <f t="shared" ca="1" si="0"/>
        <v>-1.6966580976864876E-3</v>
      </c>
      <c r="F27" s="7">
        <f t="shared" ca="1" si="1"/>
        <v>4.594914889032542E-2</v>
      </c>
      <c r="H27" s="21" t="s">
        <v>21</v>
      </c>
      <c r="I27" s="23">
        <v>1.1034999999999999</v>
      </c>
    </row>
    <row r="28" spans="2:10" x14ac:dyDescent="0.25">
      <c r="B28" s="5" vm="48">
        <f ca="1"/>
        <v>45317</v>
      </c>
      <c r="C28" vm="49">
        <f ca="1"/>
        <v>192.42</v>
      </c>
      <c r="E28" s="13">
        <f t="shared" ca="1" si="0"/>
        <v>-9.0127208116599355E-3</v>
      </c>
      <c r="F28" s="7">
        <f t="shared" ca="1" si="1"/>
        <v>3.6522301228183673E-2</v>
      </c>
      <c r="H28" s="21" t="s">
        <v>23</v>
      </c>
      <c r="I28" s="23">
        <v>1.0874999999999999</v>
      </c>
    </row>
    <row r="29" spans="2:10" x14ac:dyDescent="0.25">
      <c r="B29" s="5" vm="50">
        <f ca="1"/>
        <v>45320</v>
      </c>
      <c r="C29" vm="51">
        <f ca="1"/>
        <v>191.73</v>
      </c>
      <c r="E29" s="13">
        <f t="shared" ca="1" si="0"/>
        <v>-3.5859058309947178E-3</v>
      </c>
      <c r="F29" s="7">
        <f t="shared" ca="1" si="1"/>
        <v>3.2805429864253499E-2</v>
      </c>
      <c r="H29" s="21" t="s">
        <v>24</v>
      </c>
      <c r="I29" s="23">
        <v>1.0846</v>
      </c>
    </row>
    <row r="30" spans="2:10" x14ac:dyDescent="0.25">
      <c r="B30" s="5" vm="52">
        <f ca="1"/>
        <v>45321</v>
      </c>
      <c r="C30" vm="53">
        <f ca="1"/>
        <v>188.04</v>
      </c>
      <c r="E30" s="13">
        <f t="shared" ca="1" si="0"/>
        <v>-1.9245814426537278E-2</v>
      </c>
      <c r="F30" s="7">
        <f t="shared" ca="1" si="1"/>
        <v>1.2928248222365823E-2</v>
      </c>
      <c r="H30" s="21" t="s">
        <v>25</v>
      </c>
      <c r="I30" s="23">
        <v>1.0740000000000001</v>
      </c>
    </row>
    <row r="31" spans="2:10" x14ac:dyDescent="0.25">
      <c r="B31" s="5" vm="54">
        <f ca="1"/>
        <v>45322</v>
      </c>
      <c r="C31" vm="4">
        <f ca="1"/>
        <v>184.4</v>
      </c>
      <c r="E31" s="13">
        <f t="shared" ca="1" si="0"/>
        <v>-1.9357583492873753E-2</v>
      </c>
      <c r="F31" s="7">
        <f t="shared" ca="1" si="1"/>
        <v>-6.6795949148888978E-3</v>
      </c>
      <c r="H31" s="21" t="s">
        <v>26</v>
      </c>
      <c r="I31" s="23">
        <v>1.0716000000000001</v>
      </c>
    </row>
    <row r="32" spans="2:10" x14ac:dyDescent="0.25">
      <c r="B32" s="5" vm="55">
        <f ca="1"/>
        <v>45323</v>
      </c>
      <c r="C32" vm="56">
        <f ca="1"/>
        <v>186.86</v>
      </c>
      <c r="E32" s="13">
        <f t="shared" ca="1" si="0"/>
        <v>1.3340563991323329E-2</v>
      </c>
      <c r="F32" s="7">
        <f t="shared" ca="1" si="1"/>
        <v>6.5718595130361823E-3</v>
      </c>
      <c r="H32" s="21" t="s">
        <v>27</v>
      </c>
      <c r="I32" s="23">
        <v>1.0857000000000001</v>
      </c>
    </row>
    <row r="33" spans="2:9" x14ac:dyDescent="0.25">
      <c r="B33" s="5" vm="57">
        <f ca="1"/>
        <v>45324</v>
      </c>
      <c r="C33" vm="58">
        <f ca="1"/>
        <v>185.85</v>
      </c>
      <c r="E33" s="13">
        <f t="shared" ca="1" si="0"/>
        <v>-5.4051161297229422E-3</v>
      </c>
      <c r="F33" s="7">
        <f t="shared" ca="1" si="1"/>
        <v>1.1312217194570096E-3</v>
      </c>
      <c r="H33" s="21" t="s">
        <v>28</v>
      </c>
      <c r="I33" s="23">
        <v>1.0737000000000001</v>
      </c>
    </row>
    <row r="34" spans="2:9" x14ac:dyDescent="0.25">
      <c r="B34" s="5" vm="59">
        <f ca="1"/>
        <v>45327</v>
      </c>
      <c r="C34" vm="60">
        <f ca="1"/>
        <v>187.68</v>
      </c>
      <c r="E34" s="13">
        <f t="shared" ca="1" si="0"/>
        <v>9.8466505246166403E-3</v>
      </c>
      <c r="F34" s="7">
        <f t="shared" ca="1" si="1"/>
        <v>1.0989010989011172E-2</v>
      </c>
      <c r="H34" s="21" t="s">
        <v>29</v>
      </c>
      <c r="I34" s="23">
        <v>1.0789</v>
      </c>
    </row>
    <row r="35" spans="2:9" x14ac:dyDescent="0.25">
      <c r="B35" s="5" vm="61">
        <f ca="1"/>
        <v>45328</v>
      </c>
      <c r="C35" vm="62">
        <f ca="1"/>
        <v>189.3</v>
      </c>
      <c r="E35" s="13">
        <f t="shared" ca="1" si="0"/>
        <v>8.6317135549871526E-3</v>
      </c>
      <c r="F35" s="7">
        <f t="shared" ca="1" si="1"/>
        <v>1.9715578539108103E-2</v>
      </c>
      <c r="H35" s="21" t="s">
        <v>30</v>
      </c>
      <c r="I35" s="23">
        <v>1.1049</v>
      </c>
    </row>
    <row r="36" spans="2:9" x14ac:dyDescent="0.25">
      <c r="B36" s="5" vm="63">
        <f ca="1"/>
        <v>45329</v>
      </c>
      <c r="C36" vm="64">
        <f ca="1"/>
        <v>189.41</v>
      </c>
      <c r="E36" s="13">
        <f t="shared" ca="1" si="0"/>
        <v>5.8108821975699776E-4</v>
      </c>
      <c r="F36" s="7">
        <f t="shared" ca="1" si="1"/>
        <v>2.030812324929987E-2</v>
      </c>
      <c r="H36" s="21" t="s">
        <v>31</v>
      </c>
      <c r="I36" s="23">
        <v>1.1068</v>
      </c>
    </row>
    <row r="37" spans="2:9" x14ac:dyDescent="0.25">
      <c r="B37" s="5" vm="65">
        <f ca="1"/>
        <v>45330</v>
      </c>
      <c r="C37" vm="66">
        <f ca="1"/>
        <v>188.32</v>
      </c>
      <c r="E37" s="13">
        <f t="shared" ca="1" si="0"/>
        <v>-5.754712000422435E-3</v>
      </c>
      <c r="F37" s="7">
        <f t="shared" ca="1" si="1"/>
        <v>1.4436543848308503E-2</v>
      </c>
      <c r="H37" s="21" t="s">
        <v>32</v>
      </c>
      <c r="I37" s="23">
        <v>1.087</v>
      </c>
    </row>
    <row r="38" spans="2:9" x14ac:dyDescent="0.25">
      <c r="B38" s="5" vm="67">
        <f ca="1"/>
        <v>45331</v>
      </c>
      <c r="C38" vm="68">
        <f ca="1"/>
        <v>188.85</v>
      </c>
      <c r="E38" s="13">
        <f t="shared" ca="1" si="0"/>
        <v>2.8143585386575243E-3</v>
      </c>
      <c r="F38" s="7">
        <f t="shared" ca="1" si="1"/>
        <v>1.7291531997414289E-2</v>
      </c>
      <c r="H38" s="21" t="s">
        <v>33</v>
      </c>
      <c r="I38" s="23">
        <v>1.0543</v>
      </c>
    </row>
    <row r="39" spans="2:9" ht="15.75" thickBot="1" x14ac:dyDescent="0.3">
      <c r="B39" s="5" vm="69">
        <f ca="1"/>
        <v>45334</v>
      </c>
      <c r="C39" vm="70">
        <f ca="1"/>
        <v>187.15</v>
      </c>
      <c r="E39" s="13">
        <f t="shared" ca="1" si="0"/>
        <v>-9.0018533227428366E-3</v>
      </c>
      <c r="F39" s="7">
        <f t="shared" ca="1" si="1"/>
        <v>8.134022839905386E-3</v>
      </c>
      <c r="H39" s="35" t="s">
        <v>34</v>
      </c>
      <c r="I39" s="34">
        <v>1.0349999999999999</v>
      </c>
    </row>
    <row r="40" spans="2:9" x14ac:dyDescent="0.25">
      <c r="B40" s="5" vm="71">
        <f ca="1"/>
        <v>45335</v>
      </c>
      <c r="C40" vm="72">
        <f ca="1"/>
        <v>185.04</v>
      </c>
      <c r="E40" s="13">
        <f t="shared" ca="1" si="0"/>
        <v>-1.1274378840502308E-2</v>
      </c>
      <c r="F40" s="7">
        <f t="shared" ca="1" si="1"/>
        <v>-3.2320620555914559E-3</v>
      </c>
    </row>
    <row r="41" spans="2:9" x14ac:dyDescent="0.25">
      <c r="B41" s="5" vm="73">
        <f ca="1"/>
        <v>45336</v>
      </c>
      <c r="C41" vm="74">
        <f ca="1"/>
        <v>184.15</v>
      </c>
      <c r="E41" s="13">
        <f t="shared" ca="1" si="0"/>
        <v>-4.8097708603543898E-3</v>
      </c>
      <c r="F41" s="7">
        <f t="shared" ca="1" si="1"/>
        <v>-8.0262874380520044E-3</v>
      </c>
    </row>
    <row r="42" spans="2:9" x14ac:dyDescent="0.25">
      <c r="B42" s="5" vm="75">
        <f ca="1"/>
        <v>45337</v>
      </c>
      <c r="C42" vm="76">
        <f ca="1"/>
        <v>183.86</v>
      </c>
      <c r="E42" s="13">
        <f t="shared" ca="1" si="0"/>
        <v>-1.5748031496062298E-3</v>
      </c>
      <c r="F42" s="7">
        <f t="shared" ca="1" si="1"/>
        <v>-9.5884507649212081E-3</v>
      </c>
    </row>
    <row r="43" spans="2:9" x14ac:dyDescent="0.25">
      <c r="B43" s="5" vm="77">
        <f ca="1"/>
        <v>45338</v>
      </c>
      <c r="C43" vm="78">
        <f ca="1"/>
        <v>182.31</v>
      </c>
      <c r="E43" s="13">
        <f t="shared" ca="1" si="0"/>
        <v>-8.4303274230392855E-3</v>
      </c>
      <c r="F43" s="7">
        <f t="shared" ca="1" si="1"/>
        <v>-1.793794440853258E-2</v>
      </c>
    </row>
    <row r="44" spans="2:9" x14ac:dyDescent="0.25">
      <c r="B44" s="5" vm="79">
        <f ca="1"/>
        <v>45342</v>
      </c>
      <c r="C44" vm="80">
        <f ca="1"/>
        <v>181.56</v>
      </c>
      <c r="E44" s="13">
        <f t="shared" ca="1" si="0"/>
        <v>-4.1138719763040843E-3</v>
      </c>
      <c r="F44" s="7">
        <f t="shared" ca="1" si="1"/>
        <v>-2.19780219780219E-2</v>
      </c>
    </row>
    <row r="45" spans="2:9" x14ac:dyDescent="0.25">
      <c r="B45" s="5" vm="81">
        <f ca="1"/>
        <v>45343</v>
      </c>
      <c r="C45" vm="82">
        <f ca="1"/>
        <v>182.32</v>
      </c>
      <c r="E45" s="13">
        <f t="shared" ca="1" si="0"/>
        <v>4.1859440405374038E-3</v>
      </c>
      <c r="F45" s="7">
        <f t="shared" ca="1" si="1"/>
        <v>-1.7884076707606056E-2</v>
      </c>
    </row>
    <row r="46" spans="2:9" x14ac:dyDescent="0.25">
      <c r="B46" s="5" vm="83">
        <f ca="1"/>
        <v>45344</v>
      </c>
      <c r="C46" vm="84">
        <f ca="1"/>
        <v>184.37</v>
      </c>
      <c r="E46" s="13">
        <f t="shared" ca="1" si="0"/>
        <v>1.1243966652040527E-2</v>
      </c>
      <c r="F46" s="7">
        <f t="shared" ca="1" si="1"/>
        <v>-6.8411980176684706E-3</v>
      </c>
    </row>
    <row r="47" spans="2:9" x14ac:dyDescent="0.25">
      <c r="B47" s="5" vm="85">
        <f ca="1"/>
        <v>45345</v>
      </c>
      <c r="C47" vm="86">
        <f ca="1"/>
        <v>182.52</v>
      </c>
      <c r="E47" s="13">
        <f t="shared" ca="1" si="0"/>
        <v>-1.0034170418180777E-2</v>
      </c>
      <c r="F47" s="7">
        <f t="shared" ca="1" si="1"/>
        <v>-1.680672268907546E-2</v>
      </c>
    </row>
    <row r="48" spans="2:9" x14ac:dyDescent="0.25">
      <c r="B48" s="5" vm="87">
        <f ca="1"/>
        <v>45348</v>
      </c>
      <c r="C48" vm="88">
        <f ca="1"/>
        <v>181.16</v>
      </c>
      <c r="E48" s="13">
        <f t="shared" ca="1" si="0"/>
        <v>-7.4512382204691141E-3</v>
      </c>
      <c r="F48" s="7">
        <f t="shared" ca="1" si="1"/>
        <v>-2.4132730015082871E-2</v>
      </c>
    </row>
    <row r="49" spans="2:6" x14ac:dyDescent="0.25">
      <c r="B49" s="5" vm="89">
        <f ca="1"/>
        <v>45349</v>
      </c>
      <c r="C49" vm="90">
        <f ca="1"/>
        <v>182.63</v>
      </c>
      <c r="E49" s="13">
        <f t="shared" ca="1" si="0"/>
        <v>8.1143740340030579E-3</v>
      </c>
      <c r="F49" s="7">
        <f t="shared" ca="1" si="1"/>
        <v>-1.6214177978883804E-2</v>
      </c>
    </row>
    <row r="50" spans="2:6" x14ac:dyDescent="0.25">
      <c r="B50" s="5" vm="91">
        <f ca="1"/>
        <v>45350</v>
      </c>
      <c r="C50" vm="92">
        <f ca="1"/>
        <v>181.42</v>
      </c>
      <c r="E50" s="13">
        <f t="shared" ca="1" si="0"/>
        <v>-6.6254175108142466E-3</v>
      </c>
      <c r="F50" s="7">
        <f t="shared" ca="1" si="1"/>
        <v>-2.2732169790993351E-2</v>
      </c>
    </row>
    <row r="51" spans="2:6" x14ac:dyDescent="0.25">
      <c r="B51" s="5" vm="93">
        <f ca="1"/>
        <v>45351</v>
      </c>
      <c r="C51" vm="7">
        <f ca="1"/>
        <v>180.75</v>
      </c>
      <c r="E51" s="13">
        <f t="shared" ca="1" si="0"/>
        <v>-3.6930878624186203E-3</v>
      </c>
      <c r="F51" s="7">
        <f t="shared" ca="1" si="1"/>
        <v>-2.6341305753070365E-2</v>
      </c>
    </row>
    <row r="52" spans="2:6" x14ac:dyDescent="0.25">
      <c r="B52" s="5" vm="94">
        <f ca="1"/>
        <v>45352</v>
      </c>
      <c r="C52" vm="95">
        <f ca="1"/>
        <v>179.66</v>
      </c>
      <c r="E52" s="13">
        <f t="shared" ca="1" si="0"/>
        <v>-6.030428769018048E-3</v>
      </c>
      <c r="F52" s="7">
        <f t="shared" ca="1" si="1"/>
        <v>-3.2212885154061621E-2</v>
      </c>
    </row>
    <row r="53" spans="2:6" x14ac:dyDescent="0.25">
      <c r="B53" s="5" vm="96">
        <f ca="1"/>
        <v>45355</v>
      </c>
      <c r="C53" vm="97">
        <f ca="1"/>
        <v>175.1</v>
      </c>
      <c r="E53" s="13">
        <f t="shared" ca="1" si="0"/>
        <v>-2.5381275743070253E-2</v>
      </c>
      <c r="F53" s="7">
        <f t="shared" ca="1" si="1"/>
        <v>-5.6776556776556686E-2</v>
      </c>
    </row>
    <row r="54" spans="2:6" x14ac:dyDescent="0.25">
      <c r="B54" s="5" vm="98">
        <f ca="1"/>
        <v>45356</v>
      </c>
      <c r="C54" vm="99">
        <f ca="1"/>
        <v>170.12</v>
      </c>
      <c r="E54" s="13">
        <f t="shared" ca="1" si="0"/>
        <v>-2.8440890919474549E-2</v>
      </c>
      <c r="F54" s="7">
        <f t="shared" ca="1" si="1"/>
        <v>-8.3602671837965881E-2</v>
      </c>
    </row>
    <row r="55" spans="2:6" x14ac:dyDescent="0.25">
      <c r="B55" s="5" vm="100">
        <f ca="1"/>
        <v>45357</v>
      </c>
      <c r="C55" vm="101">
        <f ca="1"/>
        <v>169.12</v>
      </c>
      <c r="E55" s="13">
        <f t="shared" ca="1" si="0"/>
        <v>-5.8782036209734656E-3</v>
      </c>
      <c r="F55" s="7">
        <f t="shared" ca="1" si="1"/>
        <v>-8.8989441930618307E-2</v>
      </c>
    </row>
    <row r="56" spans="2:6" x14ac:dyDescent="0.25">
      <c r="B56" s="5" vm="102">
        <f ca="1"/>
        <v>45358</v>
      </c>
      <c r="C56" vm="103">
        <f ca="1"/>
        <v>169</v>
      </c>
      <c r="E56" s="13">
        <f t="shared" ca="1" si="0"/>
        <v>-7.0955534531691455E-4</v>
      </c>
      <c r="F56" s="7">
        <f t="shared" ca="1" si="1"/>
        <v>-8.9635854341736598E-2</v>
      </c>
    </row>
    <row r="57" spans="2:6" x14ac:dyDescent="0.25">
      <c r="B57" s="5" vm="104">
        <f ca="1"/>
        <v>45359</v>
      </c>
      <c r="C57" vm="105">
        <f ca="1"/>
        <v>170.73</v>
      </c>
      <c r="E57" s="13">
        <f t="shared" ca="1" si="0"/>
        <v>1.0236686390532546E-2</v>
      </c>
      <c r="F57" s="7">
        <f t="shared" ca="1" si="1"/>
        <v>-8.0316742081447901E-2</v>
      </c>
    </row>
    <row r="58" spans="2:6" x14ac:dyDescent="0.25">
      <c r="B58" s="5" vm="106">
        <f ca="1"/>
        <v>45362</v>
      </c>
      <c r="C58" vm="107">
        <f ca="1"/>
        <v>172.75</v>
      </c>
      <c r="E58" s="13">
        <f t="shared" ca="1" si="0"/>
        <v>1.183154688689747E-2</v>
      </c>
      <c r="F58" s="7">
        <f t="shared" ca="1" si="1"/>
        <v>-6.9435466494289999E-2</v>
      </c>
    </row>
    <row r="59" spans="2:6" x14ac:dyDescent="0.25">
      <c r="B59" s="5" vm="108">
        <f ca="1"/>
        <v>45363</v>
      </c>
      <c r="C59" vm="109">
        <f ca="1"/>
        <v>173.23</v>
      </c>
      <c r="E59" s="13">
        <f t="shared" ca="1" si="0"/>
        <v>2.7785817655570089E-3</v>
      </c>
      <c r="F59" s="7">
        <f t="shared" ca="1" si="1"/>
        <v>-6.6849816849816834E-2</v>
      </c>
    </row>
    <row r="60" spans="2:6" x14ac:dyDescent="0.25">
      <c r="B60" s="5" vm="110">
        <f ca="1"/>
        <v>45364</v>
      </c>
      <c r="C60" vm="111">
        <f ca="1"/>
        <v>171.13</v>
      </c>
      <c r="E60" s="13">
        <f t="shared" ca="1" si="0"/>
        <v>-1.2122611556889651E-2</v>
      </c>
      <c r="F60" s="7">
        <f t="shared" ca="1" si="1"/>
        <v>-7.816203404438693E-2</v>
      </c>
    </row>
    <row r="61" spans="2:6" x14ac:dyDescent="0.25">
      <c r="B61" s="5" vm="112">
        <f ca="1"/>
        <v>45365</v>
      </c>
      <c r="C61" vm="113">
        <f ca="1"/>
        <v>173</v>
      </c>
      <c r="E61" s="13">
        <f t="shared" ca="1" si="0"/>
        <v>1.0927365160988689E-2</v>
      </c>
      <c r="F61" s="7">
        <f t="shared" ca="1" si="1"/>
        <v>-6.8088773971126892E-2</v>
      </c>
    </row>
    <row r="62" spans="2:6" x14ac:dyDescent="0.25">
      <c r="B62" s="5" vm="114">
        <f ca="1"/>
        <v>45366</v>
      </c>
      <c r="C62" vm="115">
        <f ca="1"/>
        <v>172.62</v>
      </c>
      <c r="E62" s="13">
        <f t="shared" ca="1" si="0"/>
        <v>-2.1965317919074856E-3</v>
      </c>
      <c r="F62" s="7">
        <f t="shared" ca="1" si="1"/>
        <v>-7.0135746606334703E-2</v>
      </c>
    </row>
    <row r="63" spans="2:6" x14ac:dyDescent="0.25">
      <c r="B63" s="5" vm="116">
        <f ca="1"/>
        <v>45369</v>
      </c>
      <c r="C63" vm="117">
        <f ca="1"/>
        <v>173.72</v>
      </c>
      <c r="E63" s="13">
        <f t="shared" ca="1" si="0"/>
        <v>6.372378635152387E-3</v>
      </c>
      <c r="F63" s="7">
        <f t="shared" ca="1" si="1"/>
        <v>-6.4210299504417034E-2</v>
      </c>
    </row>
    <row r="64" spans="2:6" x14ac:dyDescent="0.25">
      <c r="B64" s="5" vm="118">
        <f ca="1"/>
        <v>45370</v>
      </c>
      <c r="C64" vm="119">
        <f ca="1"/>
        <v>176.08</v>
      </c>
      <c r="E64" s="13">
        <f t="shared" ca="1" si="0"/>
        <v>1.3585079438176439E-2</v>
      </c>
      <c r="F64" s="7">
        <f t="shared" ca="1" si="1"/>
        <v>-5.1497522085757197E-2</v>
      </c>
    </row>
    <row r="65" spans="2:6" x14ac:dyDescent="0.25">
      <c r="B65" s="5" vm="120">
        <f ca="1"/>
        <v>45371</v>
      </c>
      <c r="C65" vm="121">
        <f ca="1"/>
        <v>178.67</v>
      </c>
      <c r="E65" s="13">
        <f t="shared" ca="1" si="0"/>
        <v>1.4709223080417777E-2</v>
      </c>
      <c r="F65" s="7">
        <f t="shared" ca="1" si="1"/>
        <v>-3.7545787545787523E-2</v>
      </c>
    </row>
    <row r="66" spans="2:6" x14ac:dyDescent="0.25">
      <c r="B66" s="5" vm="122">
        <f ca="1"/>
        <v>45372</v>
      </c>
      <c r="C66" vm="123">
        <f ca="1"/>
        <v>171.37</v>
      </c>
      <c r="E66" s="13">
        <f t="shared" ca="1" si="0"/>
        <v>-4.0857446689427368E-2</v>
      </c>
      <c r="F66" s="7">
        <f t="shared" ca="1" si="1"/>
        <v>-7.6869209222150348E-2</v>
      </c>
    </row>
    <row r="67" spans="2:6" x14ac:dyDescent="0.25">
      <c r="B67" s="5" vm="124">
        <f ca="1"/>
        <v>45373</v>
      </c>
      <c r="C67" vm="125">
        <f ca="1"/>
        <v>172.28</v>
      </c>
      <c r="E67" s="13">
        <f t="shared" ca="1" si="0"/>
        <v>5.3101476337749087E-3</v>
      </c>
      <c r="F67" s="7">
        <f t="shared" ca="1" si="1"/>
        <v>-7.1967248437836639E-2</v>
      </c>
    </row>
    <row r="68" spans="2:6" x14ac:dyDescent="0.25">
      <c r="B68" s="5" vm="126">
        <f ca="1"/>
        <v>45376</v>
      </c>
      <c r="C68" vm="127">
        <f ca="1"/>
        <v>170.85</v>
      </c>
      <c r="E68" s="13">
        <f t="shared" ca="1" si="0"/>
        <v>-8.3004411423265312E-3</v>
      </c>
      <c r="F68" s="7">
        <f t="shared" ca="1" si="1"/>
        <v>-7.9670329670329609E-2</v>
      </c>
    </row>
    <row r="69" spans="2:6" x14ac:dyDescent="0.25">
      <c r="B69" s="5" vm="128">
        <f ca="1"/>
        <v>45377</v>
      </c>
      <c r="C69" vm="129">
        <f ca="1"/>
        <v>169.71</v>
      </c>
      <c r="E69" s="13">
        <f t="shared" ca="1" si="0"/>
        <v>-6.6725197541702697E-3</v>
      </c>
      <c r="F69" s="7">
        <f t="shared" ca="1" si="1"/>
        <v>-8.5811247575953375E-2</v>
      </c>
    </row>
    <row r="70" spans="2:6" x14ac:dyDescent="0.25">
      <c r="B70" s="5" vm="130">
        <f ca="1"/>
        <v>45378</v>
      </c>
      <c r="C70" vm="131">
        <f ca="1"/>
        <v>173.31</v>
      </c>
      <c r="E70" s="13">
        <f t="shared" ca="1" si="0"/>
        <v>2.121265688527485E-2</v>
      </c>
      <c r="F70" s="7">
        <f t="shared" ca="1" si="1"/>
        <v>-6.6418875242404529E-2</v>
      </c>
    </row>
    <row r="71" spans="2:6" x14ac:dyDescent="0.25">
      <c r="B71" s="5" vm="132">
        <f ca="1"/>
        <v>45379</v>
      </c>
      <c r="C71" vm="10">
        <f ca="1"/>
        <v>171.48</v>
      </c>
      <c r="E71" s="13">
        <f t="shared" ca="1" si="0"/>
        <v>-1.0559113726847924E-2</v>
      </c>
      <c r="F71" s="7">
        <f t="shared" ca="1" si="1"/>
        <v>-7.6276664511958581E-2</v>
      </c>
    </row>
    <row r="72" spans="2:6" x14ac:dyDescent="0.25">
      <c r="B72" s="5" vm="133">
        <f ca="1"/>
        <v>45383</v>
      </c>
      <c r="C72" vm="134">
        <f ca="1"/>
        <v>170.03</v>
      </c>
      <c r="E72" s="13">
        <f t="shared" ca="1" si="0"/>
        <v>-8.455796594354914E-3</v>
      </c>
      <c r="F72" s="7">
        <f t="shared" ca="1" si="1"/>
        <v>-8.4087481146304599E-2</v>
      </c>
    </row>
    <row r="73" spans="2:6" x14ac:dyDescent="0.25">
      <c r="B73" s="5" vm="135">
        <f ca="1"/>
        <v>45384</v>
      </c>
      <c r="C73" vm="136">
        <f ca="1"/>
        <v>168.84</v>
      </c>
      <c r="E73" s="13">
        <f t="shared" ca="1" si="0"/>
        <v>-6.9987649238369976E-3</v>
      </c>
      <c r="F73" s="7">
        <f t="shared" ca="1" si="1"/>
        <v>-9.0497737556560987E-2</v>
      </c>
    </row>
    <row r="74" spans="2:6" x14ac:dyDescent="0.25">
      <c r="B74" s="5" vm="137">
        <f ca="1"/>
        <v>45385</v>
      </c>
      <c r="C74" vm="138">
        <f ca="1"/>
        <v>169.65</v>
      </c>
      <c r="E74" s="13">
        <f t="shared" ca="1" si="0"/>
        <v>4.7974413646054703E-3</v>
      </c>
      <c r="F74" s="7">
        <f t="shared" ca="1" si="1"/>
        <v>-8.6134453781512521E-2</v>
      </c>
    </row>
    <row r="75" spans="2:6" x14ac:dyDescent="0.25">
      <c r="B75" s="5" vm="139">
        <f ca="1"/>
        <v>45386</v>
      </c>
      <c r="C75" vm="140">
        <f ca="1"/>
        <v>168.82</v>
      </c>
      <c r="E75" s="13">
        <f t="shared" ca="1" si="0"/>
        <v>-4.892425582080806E-3</v>
      </c>
      <c r="F75" s="7">
        <f t="shared" ca="1" si="1"/>
        <v>-9.0605472958414146E-2</v>
      </c>
    </row>
    <row r="76" spans="2:6" x14ac:dyDescent="0.25">
      <c r="B76" s="5" vm="141">
        <f ca="1"/>
        <v>45387</v>
      </c>
      <c r="C76" vm="142">
        <f ca="1"/>
        <v>169.58</v>
      </c>
      <c r="E76" s="13">
        <f t="shared" ca="1" si="0"/>
        <v>4.5018362753228569E-3</v>
      </c>
      <c r="F76" s="7">
        <f t="shared" ca="1" si="1"/>
        <v>-8.6511527687998191E-2</v>
      </c>
    </row>
    <row r="77" spans="2:6" x14ac:dyDescent="0.25">
      <c r="B77" s="5" vm="143">
        <f ca="1"/>
        <v>45390</v>
      </c>
      <c r="C77" vm="144">
        <f ca="1"/>
        <v>168.45</v>
      </c>
      <c r="E77" s="13">
        <f t="shared" ref="E77:E140" ca="1" si="3">C77/C76-1</f>
        <v>-6.6635216417031407E-3</v>
      </c>
      <c r="F77" s="7">
        <f t="shared" ref="F77:F140" ca="1" si="4">C77/$C$11-1</f>
        <v>-9.2598577892695544E-2</v>
      </c>
    </row>
    <row r="78" spans="2:6" x14ac:dyDescent="0.25">
      <c r="B78" s="5" vm="145">
        <f ca="1"/>
        <v>45391</v>
      </c>
      <c r="C78" vm="146">
        <f ca="1"/>
        <v>169.67</v>
      </c>
      <c r="E78" s="13">
        <f t="shared" ca="1" si="3"/>
        <v>7.2425051944196017E-3</v>
      </c>
      <c r="F78" s="7">
        <f t="shared" ca="1" si="4"/>
        <v>-8.6026718379659584E-2</v>
      </c>
    </row>
    <row r="79" spans="2:6" x14ac:dyDescent="0.25">
      <c r="B79" s="5" vm="147">
        <f ca="1"/>
        <v>45392</v>
      </c>
      <c r="C79" vm="148">
        <f ca="1"/>
        <v>167.78</v>
      </c>
      <c r="E79" s="13">
        <f t="shared" ca="1" si="3"/>
        <v>-1.1139270348323183E-2</v>
      </c>
      <c r="F79" s="7">
        <f t="shared" ca="1" si="4"/>
        <v>-9.6207713854772559E-2</v>
      </c>
    </row>
    <row r="80" spans="2:6" x14ac:dyDescent="0.25">
      <c r="B80" s="5" vm="149">
        <f ca="1"/>
        <v>45393</v>
      </c>
      <c r="C80" vm="150">
        <f ca="1"/>
        <v>175.04</v>
      </c>
      <c r="E80" s="13">
        <f t="shared" ca="1" si="3"/>
        <v>4.3270950053641677E-2</v>
      </c>
      <c r="F80" s="7">
        <f t="shared" ca="1" si="4"/>
        <v>-5.7099762982115942E-2</v>
      </c>
    </row>
    <row r="81" spans="2:6" x14ac:dyDescent="0.25">
      <c r="B81" s="5" vm="151">
        <f ca="1"/>
        <v>45394</v>
      </c>
      <c r="C81" vm="152">
        <f ca="1"/>
        <v>176.55</v>
      </c>
      <c r="E81" s="13">
        <f t="shared" ca="1" si="3"/>
        <v>8.6265996343692919E-3</v>
      </c>
      <c r="F81" s="7">
        <f t="shared" ca="1" si="4"/>
        <v>-4.8965740142210556E-2</v>
      </c>
    </row>
    <row r="82" spans="2:6" x14ac:dyDescent="0.25">
      <c r="B82" s="5" vm="153">
        <f ca="1"/>
        <v>45397</v>
      </c>
      <c r="C82" vm="154">
        <f ca="1"/>
        <v>172.69</v>
      </c>
      <c r="E82" s="13">
        <f t="shared" ca="1" si="3"/>
        <v>-2.1863494760691049E-2</v>
      </c>
      <c r="F82" s="7">
        <f t="shared" ca="1" si="4"/>
        <v>-6.9758672699849145E-2</v>
      </c>
    </row>
    <row r="83" spans="2:6" x14ac:dyDescent="0.25">
      <c r="B83" s="5" vm="155">
        <f ca="1"/>
        <v>45398</v>
      </c>
      <c r="C83" vm="156">
        <f ca="1"/>
        <v>169.38</v>
      </c>
      <c r="E83" s="13">
        <f t="shared" ca="1" si="3"/>
        <v>-1.916729399502004E-2</v>
      </c>
      <c r="F83" s="7">
        <f t="shared" ca="1" si="4"/>
        <v>-8.7588881706528676E-2</v>
      </c>
    </row>
    <row r="84" spans="2:6" x14ac:dyDescent="0.25">
      <c r="B84" s="5" vm="157">
        <f ca="1"/>
        <v>45399</v>
      </c>
      <c r="C84" vm="158">
        <f ca="1"/>
        <v>168</v>
      </c>
      <c r="E84" s="13">
        <f t="shared" ca="1" si="3"/>
        <v>-8.1473609635139832E-3</v>
      </c>
      <c r="F84" s="7">
        <f t="shared" ca="1" si="4"/>
        <v>-9.5022624434389025E-2</v>
      </c>
    </row>
    <row r="85" spans="2:6" x14ac:dyDescent="0.25">
      <c r="B85" s="5" vm="159">
        <f ca="1"/>
        <v>45400</v>
      </c>
      <c r="C85" vm="160">
        <f ca="1"/>
        <v>167.04</v>
      </c>
      <c r="E85" s="13">
        <f t="shared" ca="1" si="3"/>
        <v>-5.7142857142857828E-3</v>
      </c>
      <c r="F85" s="7">
        <f t="shared" ca="1" si="4"/>
        <v>-0.10019392372333547</v>
      </c>
    </row>
    <row r="86" spans="2:6" x14ac:dyDescent="0.25">
      <c r="B86" s="5" vm="161">
        <f ca="1"/>
        <v>45401</v>
      </c>
      <c r="C86" vm="162">
        <f ca="1"/>
        <v>165</v>
      </c>
      <c r="E86" s="13">
        <f t="shared" ca="1" si="3"/>
        <v>-1.2212643678160884E-2</v>
      </c>
      <c r="F86" s="7">
        <f t="shared" ca="1" si="4"/>
        <v>-0.11118293471234642</v>
      </c>
    </row>
    <row r="87" spans="2:6" x14ac:dyDescent="0.25">
      <c r="B87" s="5" vm="163">
        <f ca="1"/>
        <v>45404</v>
      </c>
      <c r="C87" vm="164">
        <f ca="1"/>
        <v>165.84</v>
      </c>
      <c r="E87" s="13">
        <f t="shared" ca="1" si="3"/>
        <v>5.0909090909090349E-3</v>
      </c>
      <c r="F87" s="7">
        <f t="shared" ca="1" si="4"/>
        <v>-0.10665804783451838</v>
      </c>
    </row>
    <row r="88" spans="2:6" x14ac:dyDescent="0.25">
      <c r="B88" s="5" vm="165">
        <f ca="1"/>
        <v>45405</v>
      </c>
      <c r="C88" vm="166">
        <f ca="1"/>
        <v>166.9</v>
      </c>
      <c r="E88" s="13">
        <f t="shared" ca="1" si="3"/>
        <v>6.3917028461166758E-3</v>
      </c>
      <c r="F88" s="7">
        <f t="shared" ca="1" si="4"/>
        <v>-0.10094807153630669</v>
      </c>
    </row>
    <row r="89" spans="2:6" x14ac:dyDescent="0.25">
      <c r="B89" s="5" vm="167">
        <f ca="1"/>
        <v>45406</v>
      </c>
      <c r="C89" vm="168">
        <f ca="1"/>
        <v>169.02</v>
      </c>
      <c r="E89" s="13">
        <f t="shared" ca="1" si="3"/>
        <v>1.2702216896345098E-2</v>
      </c>
      <c r="F89" s="7">
        <f t="shared" ca="1" si="4"/>
        <v>-8.952811893988355E-2</v>
      </c>
    </row>
    <row r="90" spans="2:6" x14ac:dyDescent="0.25">
      <c r="B90" s="5" vm="169">
        <f ca="1"/>
        <v>45407</v>
      </c>
      <c r="C90" vm="170">
        <f ca="1"/>
        <v>169.89</v>
      </c>
      <c r="E90" s="13">
        <f t="shared" ca="1" si="3"/>
        <v>5.1473198438052314E-3</v>
      </c>
      <c r="F90" s="7">
        <f t="shared" ca="1" si="4"/>
        <v>-8.484162895927605E-2</v>
      </c>
    </row>
    <row r="91" spans="2:6" x14ac:dyDescent="0.25">
      <c r="B91" s="5" vm="171">
        <f ca="1"/>
        <v>45408</v>
      </c>
      <c r="C91" vm="172">
        <f ca="1"/>
        <v>169.3</v>
      </c>
      <c r="E91" s="13">
        <f t="shared" ca="1" si="3"/>
        <v>-3.4728353640589571E-3</v>
      </c>
      <c r="F91" s="7">
        <f t="shared" ca="1" si="4"/>
        <v>-8.801982331394087E-2</v>
      </c>
    </row>
    <row r="92" spans="2:6" x14ac:dyDescent="0.25">
      <c r="B92" s="5" vm="173">
        <f ca="1"/>
        <v>45411</v>
      </c>
      <c r="C92" vm="174">
        <f ca="1"/>
        <v>173.5</v>
      </c>
      <c r="E92" s="13">
        <f t="shared" ca="1" si="3"/>
        <v>2.4808033077377445E-2</v>
      </c>
      <c r="F92" s="7">
        <f t="shared" ca="1" si="4"/>
        <v>-6.5395388924800568E-2</v>
      </c>
    </row>
    <row r="93" spans="2:6" x14ac:dyDescent="0.25">
      <c r="B93" s="5" vm="175">
        <f ca="1"/>
        <v>45412</v>
      </c>
      <c r="C93" vm="13">
        <f ca="1"/>
        <v>170.33</v>
      </c>
      <c r="E93" s="13">
        <f t="shared" ca="1" si="3"/>
        <v>-1.8270893371757801E-2</v>
      </c>
      <c r="F93" s="7">
        <f t="shared" ca="1" si="4"/>
        <v>-8.247145011850876E-2</v>
      </c>
    </row>
    <row r="94" spans="2:6" x14ac:dyDescent="0.25">
      <c r="B94" s="5" vm="176">
        <f ca="1"/>
        <v>45413</v>
      </c>
      <c r="C94" vm="172">
        <f ca="1"/>
        <v>169.3</v>
      </c>
      <c r="E94" s="13">
        <f t="shared" ca="1" si="3"/>
        <v>-6.0470850701579426E-3</v>
      </c>
      <c r="F94" s="7">
        <f t="shared" ca="1" si="4"/>
        <v>-8.801982331394087E-2</v>
      </c>
    </row>
    <row r="95" spans="2:6" x14ac:dyDescent="0.25">
      <c r="B95" s="5" vm="177">
        <f ca="1"/>
        <v>45414</v>
      </c>
      <c r="C95" vm="178">
        <f ca="1"/>
        <v>173.03</v>
      </c>
      <c r="E95" s="13">
        <f t="shared" ca="1" si="3"/>
        <v>2.2031896042528087E-2</v>
      </c>
      <c r="F95" s="7">
        <f t="shared" ca="1" si="4"/>
        <v>-6.792717086834732E-2</v>
      </c>
    </row>
    <row r="96" spans="2:6" x14ac:dyDescent="0.25">
      <c r="B96" s="5" vm="179">
        <f ca="1"/>
        <v>45415</v>
      </c>
      <c r="C96" vm="180">
        <f ca="1"/>
        <v>183.38</v>
      </c>
      <c r="E96" s="13">
        <f t="shared" ca="1" si="3"/>
        <v>5.9816216841010128E-2</v>
      </c>
      <c r="F96" s="7">
        <f t="shared" ca="1" si="4"/>
        <v>-1.2174100409394484E-2</v>
      </c>
    </row>
    <row r="97" spans="2:6" x14ac:dyDescent="0.25">
      <c r="B97" s="5" vm="181">
        <f ca="1"/>
        <v>45418</v>
      </c>
      <c r="C97" vm="182">
        <f ca="1"/>
        <v>181.71</v>
      </c>
      <c r="E97" s="13">
        <f t="shared" ca="1" si="3"/>
        <v>-9.1067728214635491E-3</v>
      </c>
      <c r="F97" s="7">
        <f t="shared" ca="1" si="4"/>
        <v>-2.1170006464124036E-2</v>
      </c>
    </row>
    <row r="98" spans="2:6" x14ac:dyDescent="0.25">
      <c r="B98" s="5" vm="183">
        <f ca="1"/>
        <v>45419</v>
      </c>
      <c r="C98" vm="184">
        <f ca="1"/>
        <v>182.4</v>
      </c>
      <c r="E98" s="13">
        <f t="shared" ca="1" si="3"/>
        <v>3.7972593693247347E-3</v>
      </c>
      <c r="F98" s="7">
        <f t="shared" ca="1" si="4"/>
        <v>-1.7453135100193862E-2</v>
      </c>
    </row>
    <row r="99" spans="2:6" x14ac:dyDescent="0.25">
      <c r="B99" s="5" vm="185">
        <f ca="1"/>
        <v>45420</v>
      </c>
      <c r="C99" vm="186">
        <f ca="1"/>
        <v>182.74</v>
      </c>
      <c r="E99" s="13">
        <f t="shared" ca="1" si="3"/>
        <v>1.8640350877192624E-3</v>
      </c>
      <c r="F99" s="7">
        <f t="shared" ca="1" si="4"/>
        <v>-1.5621633268691926E-2</v>
      </c>
    </row>
    <row r="100" spans="2:6" x14ac:dyDescent="0.25">
      <c r="B100" s="5" vm="187">
        <f ca="1"/>
        <v>45421</v>
      </c>
      <c r="C100" vm="188">
        <f ca="1"/>
        <v>184.57</v>
      </c>
      <c r="E100" s="13">
        <f t="shared" ca="1" si="3"/>
        <v>1.0014227864725722E-2</v>
      </c>
      <c r="F100" s="7">
        <f t="shared" ca="1" si="4"/>
        <v>-5.7638439991380963E-3</v>
      </c>
    </row>
    <row r="101" spans="2:6" x14ac:dyDescent="0.25">
      <c r="B101" s="5" vm="189">
        <f ca="1"/>
        <v>45422</v>
      </c>
      <c r="C101" vm="190">
        <f ca="1"/>
        <v>183.05</v>
      </c>
      <c r="E101" s="13">
        <f t="shared" ca="1" si="3"/>
        <v>-8.2353578588069132E-3</v>
      </c>
      <c r="F101" s="7">
        <f t="shared" ca="1" si="4"/>
        <v>-1.3951734539969673E-2</v>
      </c>
    </row>
    <row r="102" spans="2:6" x14ac:dyDescent="0.25">
      <c r="B102" s="5" vm="191">
        <f ca="1"/>
        <v>45425</v>
      </c>
      <c r="C102" vm="192">
        <f ca="1"/>
        <v>186.28</v>
      </c>
      <c r="E102" s="13">
        <f t="shared" ca="1" si="3"/>
        <v>1.7645452062277966E-2</v>
      </c>
      <c r="F102" s="7">
        <f t="shared" ca="1" si="4"/>
        <v>3.4475328592975529E-3</v>
      </c>
    </row>
    <row r="103" spans="2:6" x14ac:dyDescent="0.25">
      <c r="B103" s="5" vm="193">
        <f ca="1"/>
        <v>45426</v>
      </c>
      <c r="C103" vm="194">
        <f ca="1"/>
        <v>187.43</v>
      </c>
      <c r="E103" s="13">
        <f t="shared" ca="1" si="3"/>
        <v>6.1735022546705043E-3</v>
      </c>
      <c r="F103" s="7">
        <f t="shared" ca="1" si="4"/>
        <v>9.6423184658480654E-3</v>
      </c>
    </row>
    <row r="104" spans="2:6" x14ac:dyDescent="0.25">
      <c r="B104" s="5" vm="195">
        <f ca="1"/>
        <v>45427</v>
      </c>
      <c r="C104" vm="196">
        <f ca="1"/>
        <v>189.72</v>
      </c>
      <c r="E104" s="13">
        <f t="shared" ca="1" si="3"/>
        <v>1.2217894680680796E-2</v>
      </c>
      <c r="F104" s="7">
        <f t="shared" ca="1" si="4"/>
        <v>2.1978021978022122E-2</v>
      </c>
    </row>
    <row r="105" spans="2:6" x14ac:dyDescent="0.25">
      <c r="B105" s="5" vm="197">
        <f ca="1"/>
        <v>45428</v>
      </c>
      <c r="C105" vm="198">
        <f ca="1"/>
        <v>189.84</v>
      </c>
      <c r="E105" s="13">
        <f t="shared" ca="1" si="3"/>
        <v>6.3251106894379738E-4</v>
      </c>
      <c r="F105" s="7">
        <f t="shared" ca="1" si="4"/>
        <v>2.2624434389140413E-2</v>
      </c>
    </row>
    <row r="106" spans="2:6" x14ac:dyDescent="0.25">
      <c r="B106" s="5" vm="199">
        <f ca="1"/>
        <v>45429</v>
      </c>
      <c r="C106" vm="200">
        <f ca="1"/>
        <v>189.87</v>
      </c>
      <c r="E106" s="13">
        <f t="shared" ca="1" si="3"/>
        <v>1.5802781289497858E-4</v>
      </c>
      <c r="F106" s="7">
        <f t="shared" ca="1" si="4"/>
        <v>2.2786037491919986E-2</v>
      </c>
    </row>
    <row r="107" spans="2:6" x14ac:dyDescent="0.25">
      <c r="B107" s="5" vm="201">
        <f ca="1"/>
        <v>45432</v>
      </c>
      <c r="C107" vm="202">
        <f ca="1"/>
        <v>191.04</v>
      </c>
      <c r="E107" s="13">
        <f t="shared" ca="1" si="3"/>
        <v>6.1621109179965661E-3</v>
      </c>
      <c r="F107" s="7">
        <f t="shared" ca="1" si="4"/>
        <v>2.9088558500323325E-2</v>
      </c>
    </row>
    <row r="108" spans="2:6" x14ac:dyDescent="0.25">
      <c r="B108" s="5" vm="203">
        <f ca="1"/>
        <v>45433</v>
      </c>
      <c r="C108" vm="204">
        <f ca="1"/>
        <v>192.35</v>
      </c>
      <c r="E108" s="13">
        <f t="shared" ca="1" si="3"/>
        <v>6.8572026800670649E-3</v>
      </c>
      <c r="F108" s="7">
        <f t="shared" ca="1" si="4"/>
        <v>3.6145227321698004E-2</v>
      </c>
    </row>
    <row r="109" spans="2:6" x14ac:dyDescent="0.25">
      <c r="B109" s="5" vm="205">
        <f ca="1"/>
        <v>45434</v>
      </c>
      <c r="C109" vm="206">
        <f ca="1"/>
        <v>190.9</v>
      </c>
      <c r="E109" s="13">
        <f t="shared" ca="1" si="3"/>
        <v>-7.5383415648556662E-3</v>
      </c>
      <c r="F109" s="7">
        <f t="shared" ca="1" si="4"/>
        <v>2.8334410687351985E-2</v>
      </c>
    </row>
    <row r="110" spans="2:6" x14ac:dyDescent="0.25">
      <c r="B110" s="5" vm="207">
        <f ca="1"/>
        <v>45435</v>
      </c>
      <c r="C110" vm="208">
        <f ca="1"/>
        <v>186.88</v>
      </c>
      <c r="E110" s="13">
        <f t="shared" ca="1" si="3"/>
        <v>-2.1058145625982294E-2</v>
      </c>
      <c r="F110" s="7">
        <f t="shared" ca="1" si="4"/>
        <v>6.6795949148890088E-3</v>
      </c>
    </row>
    <row r="111" spans="2:6" x14ac:dyDescent="0.25">
      <c r="B111" s="5" vm="209">
        <f ca="1"/>
        <v>45436</v>
      </c>
      <c r="C111" vm="210">
        <f ca="1"/>
        <v>189.98</v>
      </c>
      <c r="E111" s="13">
        <f t="shared" ca="1" si="3"/>
        <v>1.6588184931506822E-2</v>
      </c>
      <c r="F111" s="7">
        <f t="shared" ca="1" si="4"/>
        <v>2.3378582202111531E-2</v>
      </c>
    </row>
    <row r="112" spans="2:6" x14ac:dyDescent="0.25">
      <c r="B112" s="5" vm="211">
        <f ca="1"/>
        <v>45440</v>
      </c>
      <c r="C112" vm="212">
        <f ca="1"/>
        <v>189.99</v>
      </c>
      <c r="E112" s="13">
        <f t="shared" ca="1" si="3"/>
        <v>5.263711969694107E-5</v>
      </c>
      <c r="F112" s="7">
        <f t="shared" ca="1" si="4"/>
        <v>2.3432449903038277E-2</v>
      </c>
    </row>
    <row r="113" spans="2:6" x14ac:dyDescent="0.25">
      <c r="B113" s="5" vm="213">
        <f ca="1"/>
        <v>45441</v>
      </c>
      <c r="C113" vm="214">
        <f ca="1"/>
        <v>190.29</v>
      </c>
      <c r="E113" s="13">
        <f t="shared" ca="1" si="3"/>
        <v>1.5790304752880679E-3</v>
      </c>
      <c r="F113" s="7">
        <f t="shared" ca="1" si="4"/>
        <v>2.5048480930834005E-2</v>
      </c>
    </row>
    <row r="114" spans="2:6" x14ac:dyDescent="0.25">
      <c r="B114" s="5" vm="215">
        <f ca="1"/>
        <v>45442</v>
      </c>
      <c r="C114" vm="216">
        <f ca="1"/>
        <v>191.29</v>
      </c>
      <c r="E114" s="13">
        <f t="shared" ca="1" si="3"/>
        <v>5.2551368963160705E-3</v>
      </c>
      <c r="F114" s="7">
        <f t="shared" ca="1" si="4"/>
        <v>3.0435251023486432E-2</v>
      </c>
    </row>
    <row r="115" spans="2:6" x14ac:dyDescent="0.25">
      <c r="B115" s="5" vm="217">
        <f ca="1"/>
        <v>45443</v>
      </c>
      <c r="C115" vm="16">
        <f ca="1"/>
        <v>192.25</v>
      </c>
      <c r="E115" s="13">
        <f t="shared" ca="1" si="3"/>
        <v>5.0185582100477077E-3</v>
      </c>
      <c r="F115" s="7">
        <f t="shared" ca="1" si="4"/>
        <v>3.5606550312432761E-2</v>
      </c>
    </row>
    <row r="116" spans="2:6" x14ac:dyDescent="0.25">
      <c r="B116" s="5" vm="218">
        <f ca="1"/>
        <v>45446</v>
      </c>
      <c r="C116" vm="219">
        <f ca="1"/>
        <v>194.03</v>
      </c>
      <c r="E116" s="13">
        <f t="shared" ca="1" si="3"/>
        <v>9.2587776332899718E-3</v>
      </c>
      <c r="F116" s="7">
        <f t="shared" ca="1" si="4"/>
        <v>4.519500107735408E-2</v>
      </c>
    </row>
    <row r="117" spans="2:6" x14ac:dyDescent="0.25">
      <c r="B117" s="5" vm="220">
        <f ca="1"/>
        <v>45447</v>
      </c>
      <c r="C117" vm="221">
        <f ca="1"/>
        <v>194.35</v>
      </c>
      <c r="E117" s="13">
        <f t="shared" ca="1" si="3"/>
        <v>1.6492295005927637E-3</v>
      </c>
      <c r="F117" s="7">
        <f t="shared" ca="1" si="4"/>
        <v>4.6918767507002856E-2</v>
      </c>
    </row>
    <row r="118" spans="2:6" x14ac:dyDescent="0.25">
      <c r="B118" s="5" vm="222">
        <f ca="1"/>
        <v>45448</v>
      </c>
      <c r="C118" vm="223">
        <f ca="1"/>
        <v>195.87</v>
      </c>
      <c r="E118" s="13">
        <f t="shared" ca="1" si="3"/>
        <v>7.8209416002059662E-3</v>
      </c>
      <c r="F118" s="7">
        <f t="shared" ca="1" si="4"/>
        <v>5.5106658047834545E-2</v>
      </c>
    </row>
    <row r="119" spans="2:6" x14ac:dyDescent="0.25">
      <c r="B119" s="5" vm="224">
        <f ca="1"/>
        <v>45449</v>
      </c>
      <c r="C119" vm="225">
        <f ca="1"/>
        <v>194.48</v>
      </c>
      <c r="E119" s="13">
        <f t="shared" ca="1" si="3"/>
        <v>-7.0965436258744186E-3</v>
      </c>
      <c r="F119" s="7">
        <f t="shared" ca="1" si="4"/>
        <v>4.7619047619047672E-2</v>
      </c>
    </row>
    <row r="120" spans="2:6" x14ac:dyDescent="0.25">
      <c r="B120" s="5" vm="226">
        <f ca="1"/>
        <v>45450</v>
      </c>
      <c r="C120" vm="227">
        <f ca="1"/>
        <v>196.89</v>
      </c>
      <c r="E120" s="13">
        <f t="shared" ca="1" si="3"/>
        <v>1.2392019744960958E-2</v>
      </c>
      <c r="F120" s="7">
        <f t="shared" ca="1" si="4"/>
        <v>6.060116354234002E-2</v>
      </c>
    </row>
    <row r="121" spans="2:6" x14ac:dyDescent="0.25">
      <c r="B121" s="5" vm="228">
        <f ca="1"/>
        <v>45453</v>
      </c>
      <c r="C121" vm="229">
        <f ca="1"/>
        <v>193.12</v>
      </c>
      <c r="E121" s="13">
        <f t="shared" ca="1" si="3"/>
        <v>-1.9147747473208354E-2</v>
      </c>
      <c r="F121" s="7">
        <f t="shared" ca="1" si="4"/>
        <v>4.0293040293040372E-2</v>
      </c>
    </row>
    <row r="122" spans="2:6" x14ac:dyDescent="0.25">
      <c r="B122" s="5" vm="230">
        <f ca="1"/>
        <v>45454</v>
      </c>
      <c r="C122" vm="231">
        <f ca="1"/>
        <v>207.15</v>
      </c>
      <c r="E122" s="13">
        <f t="shared" ca="1" si="3"/>
        <v>7.2649130074565083E-2</v>
      </c>
      <c r="F122" s="7">
        <f t="shared" ca="1" si="4"/>
        <v>0.11586942469295414</v>
      </c>
    </row>
    <row r="123" spans="2:6" x14ac:dyDescent="0.25">
      <c r="B123" s="5" vm="232">
        <f ca="1"/>
        <v>45455</v>
      </c>
      <c r="C123" vm="233">
        <f ca="1"/>
        <v>213.07</v>
      </c>
      <c r="E123" s="13">
        <f t="shared" ca="1" si="3"/>
        <v>2.8578324885348616E-2</v>
      </c>
      <c r="F123" s="7">
        <f t="shared" ca="1" si="4"/>
        <v>0.14775910364145672</v>
      </c>
    </row>
    <row r="124" spans="2:6" x14ac:dyDescent="0.25">
      <c r="B124" s="5" vm="234">
        <f ca="1"/>
        <v>45456</v>
      </c>
      <c r="C124" vm="235">
        <f ca="1"/>
        <v>214.24</v>
      </c>
      <c r="E124" s="13">
        <f t="shared" ca="1" si="3"/>
        <v>5.4911531421599769E-3</v>
      </c>
      <c r="F124" s="7">
        <f t="shared" ca="1" si="4"/>
        <v>0.15406162464986006</v>
      </c>
    </row>
    <row r="125" spans="2:6" x14ac:dyDescent="0.25">
      <c r="B125" s="5" vm="236">
        <f ca="1"/>
        <v>45457</v>
      </c>
      <c r="C125" vm="237">
        <f ca="1"/>
        <v>212.49</v>
      </c>
      <c r="E125" s="13">
        <f t="shared" ca="1" si="3"/>
        <v>-8.1684092606422176E-3</v>
      </c>
      <c r="F125" s="7">
        <f t="shared" ca="1" si="4"/>
        <v>0.14463477698771832</v>
      </c>
    </row>
    <row r="126" spans="2:6" x14ac:dyDescent="0.25">
      <c r="B126" s="5" vm="238">
        <f ca="1"/>
        <v>45460</v>
      </c>
      <c r="C126" vm="239">
        <f ca="1"/>
        <v>216.67</v>
      </c>
      <c r="E126" s="13">
        <f t="shared" ca="1" si="3"/>
        <v>1.9671513953597675E-2</v>
      </c>
      <c r="F126" s="7">
        <f t="shared" ca="1" si="4"/>
        <v>0.16715147597500546</v>
      </c>
    </row>
    <row r="127" spans="2:6" x14ac:dyDescent="0.25">
      <c r="B127" s="5" vm="240">
        <f ca="1"/>
        <v>45461</v>
      </c>
      <c r="C127" vm="241">
        <f ca="1"/>
        <v>214.29</v>
      </c>
      <c r="E127" s="13">
        <f t="shared" ca="1" si="3"/>
        <v>-1.0984446393132341E-2</v>
      </c>
      <c r="F127" s="7">
        <f t="shared" ca="1" si="4"/>
        <v>0.15433096315449268</v>
      </c>
    </row>
    <row r="128" spans="2:6" x14ac:dyDescent="0.25">
      <c r="B128" s="5" vm="242">
        <f ca="1"/>
        <v>45463</v>
      </c>
      <c r="C128" vm="243">
        <f ca="1"/>
        <v>209.68</v>
      </c>
      <c r="E128" s="13">
        <f t="shared" ca="1" si="3"/>
        <v>-2.1512903075271761E-2</v>
      </c>
      <c r="F128" s="7">
        <f t="shared" ca="1" si="4"/>
        <v>0.129497953027365</v>
      </c>
    </row>
    <row r="129" spans="2:6" x14ac:dyDescent="0.25">
      <c r="B129" s="5" vm="244">
        <f ca="1"/>
        <v>45464</v>
      </c>
      <c r="C129" vm="245">
        <f ca="1"/>
        <v>207.49</v>
      </c>
      <c r="E129" s="13">
        <f t="shared" ca="1" si="3"/>
        <v>-1.0444486837085099E-2</v>
      </c>
      <c r="F129" s="7">
        <f t="shared" ca="1" si="4"/>
        <v>0.11770092652445596</v>
      </c>
    </row>
    <row r="130" spans="2:6" x14ac:dyDescent="0.25">
      <c r="B130" s="5" vm="246">
        <f ca="1"/>
        <v>45467</v>
      </c>
      <c r="C130" vm="247">
        <f ca="1"/>
        <v>208.14</v>
      </c>
      <c r="E130" s="13">
        <f t="shared" ca="1" si="3"/>
        <v>3.1326810930645266E-3</v>
      </c>
      <c r="F130" s="7">
        <f t="shared" ca="1" si="4"/>
        <v>0.12120232708468004</v>
      </c>
    </row>
    <row r="131" spans="2:6" x14ac:dyDescent="0.25">
      <c r="B131" s="5" vm="248">
        <f ca="1"/>
        <v>45468</v>
      </c>
      <c r="C131" vm="249">
        <f ca="1"/>
        <v>209.07</v>
      </c>
      <c r="E131" s="13">
        <f t="shared" ca="1" si="3"/>
        <v>4.4681464398963477E-3</v>
      </c>
      <c r="F131" s="7">
        <f t="shared" ca="1" si="4"/>
        <v>0.1262120232708468</v>
      </c>
    </row>
    <row r="132" spans="2:6" x14ac:dyDescent="0.25">
      <c r="B132" s="5" vm="250">
        <f ca="1"/>
        <v>45469</v>
      </c>
      <c r="C132" vm="251">
        <f ca="1"/>
        <v>213.25</v>
      </c>
      <c r="E132" s="13">
        <f t="shared" ca="1" si="3"/>
        <v>1.9993303678193852E-2</v>
      </c>
      <c r="F132" s="7">
        <f t="shared" ca="1" si="4"/>
        <v>0.14872872225813416</v>
      </c>
    </row>
    <row r="133" spans="2:6" x14ac:dyDescent="0.25">
      <c r="B133" s="5" vm="252">
        <f ca="1"/>
        <v>45470</v>
      </c>
      <c r="C133" vm="253">
        <f ca="1"/>
        <v>214.1</v>
      </c>
      <c r="E133" s="13">
        <f t="shared" ca="1" si="3"/>
        <v>3.9859320046893298E-3</v>
      </c>
      <c r="F133" s="7">
        <f t="shared" ca="1" si="4"/>
        <v>0.15330747683688872</v>
      </c>
    </row>
    <row r="134" spans="2:6" x14ac:dyDescent="0.25">
      <c r="B134" s="5" vm="254">
        <f ca="1"/>
        <v>45471</v>
      </c>
      <c r="C134" vm="19">
        <f ca="1"/>
        <v>210.62</v>
      </c>
      <c r="E134" s="13">
        <f t="shared" ca="1" si="3"/>
        <v>-1.625408687529184E-2</v>
      </c>
      <c r="F134" s="7">
        <f t="shared" ca="1" si="4"/>
        <v>0.13456151691445828</v>
      </c>
    </row>
    <row r="135" spans="2:6" x14ac:dyDescent="0.25">
      <c r="B135" s="5" vm="255">
        <f ca="1"/>
        <v>45474</v>
      </c>
      <c r="C135" vm="256">
        <f ca="1"/>
        <v>216.75</v>
      </c>
      <c r="E135" s="13">
        <f t="shared" ca="1" si="3"/>
        <v>2.9104548475928249E-2</v>
      </c>
      <c r="F135" s="7">
        <f t="shared" ca="1" si="4"/>
        <v>0.16758241758241765</v>
      </c>
    </row>
    <row r="136" spans="2:6" x14ac:dyDescent="0.25">
      <c r="B136" s="5" vm="257">
        <f ca="1"/>
        <v>45475</v>
      </c>
      <c r="C136" vm="258">
        <f ca="1"/>
        <v>220.27</v>
      </c>
      <c r="E136" s="13">
        <f t="shared" ca="1" si="3"/>
        <v>1.6239907727797043E-2</v>
      </c>
      <c r="F136" s="7">
        <f t="shared" ca="1" si="4"/>
        <v>0.18654384830855442</v>
      </c>
    </row>
    <row r="137" spans="2:6" x14ac:dyDescent="0.25">
      <c r="B137" s="5" vm="259">
        <f ca="1"/>
        <v>45476</v>
      </c>
      <c r="C137" vm="260">
        <f ca="1"/>
        <v>221.55</v>
      </c>
      <c r="E137" s="13">
        <f t="shared" ca="1" si="3"/>
        <v>5.8110500749080085E-3</v>
      </c>
      <c r="F137" s="7">
        <f t="shared" ca="1" si="4"/>
        <v>0.19343891402714952</v>
      </c>
    </row>
    <row r="138" spans="2:6" x14ac:dyDescent="0.25">
      <c r="B138" s="5" vm="261">
        <f ca="1"/>
        <v>45478</v>
      </c>
      <c r="C138" vm="262">
        <f ca="1"/>
        <v>226.34</v>
      </c>
      <c r="E138" s="13">
        <f t="shared" ca="1" si="3"/>
        <v>2.162040171518842E-2</v>
      </c>
      <c r="F138" s="7">
        <f t="shared" ca="1" si="4"/>
        <v>0.21924154277095464</v>
      </c>
    </row>
    <row r="139" spans="2:6" x14ac:dyDescent="0.25">
      <c r="B139" s="5" vm="263">
        <f ca="1"/>
        <v>45481</v>
      </c>
      <c r="C139" vm="264">
        <f ca="1"/>
        <v>227.82</v>
      </c>
      <c r="E139" s="13">
        <f t="shared" ca="1" si="3"/>
        <v>6.5388353804012311E-3</v>
      </c>
      <c r="F139" s="7">
        <f t="shared" ca="1" si="4"/>
        <v>0.22721396250808024</v>
      </c>
    </row>
    <row r="140" spans="2:6" x14ac:dyDescent="0.25">
      <c r="B140" s="5" vm="265">
        <f ca="1"/>
        <v>45482</v>
      </c>
      <c r="C140" vm="266">
        <f ca="1"/>
        <v>228.68</v>
      </c>
      <c r="E140" s="13">
        <f t="shared" ca="1" si="3"/>
        <v>3.7749100166799554E-3</v>
      </c>
      <c r="F140" s="7">
        <f t="shared" ca="1" si="4"/>
        <v>0.23184658478776132</v>
      </c>
    </row>
    <row r="141" spans="2:6" x14ac:dyDescent="0.25">
      <c r="B141" s="5" vm="267">
        <f ca="1"/>
        <v>45483</v>
      </c>
      <c r="C141" vm="268">
        <f ca="1"/>
        <v>232.98</v>
      </c>
      <c r="E141" s="13">
        <f t="shared" ref="E141:E204" ca="1" si="5">C141/C140-1</f>
        <v>1.8803568305054918E-2</v>
      </c>
      <c r="F141" s="7">
        <f t="shared" ref="F141:F204" ca="1" si="6">C141/$C$11-1</f>
        <v>0.25500969618616676</v>
      </c>
    </row>
    <row r="142" spans="2:6" x14ac:dyDescent="0.25">
      <c r="B142" s="5" vm="269">
        <f ca="1"/>
        <v>45484</v>
      </c>
      <c r="C142" vm="270">
        <f ca="1"/>
        <v>227.57</v>
      </c>
      <c r="E142" s="13">
        <f t="shared" ca="1" si="5"/>
        <v>-2.3220877328526068E-2</v>
      </c>
      <c r="F142" s="7">
        <f t="shared" ca="1" si="6"/>
        <v>0.22586726998491713</v>
      </c>
    </row>
    <row r="143" spans="2:6" x14ac:dyDescent="0.25">
      <c r="B143" s="5" vm="271">
        <f ca="1"/>
        <v>45485</v>
      </c>
      <c r="C143" vm="272">
        <f ca="1"/>
        <v>230.54</v>
      </c>
      <c r="E143" s="13">
        <f t="shared" ca="1" si="5"/>
        <v>1.3050929384365251E-2</v>
      </c>
      <c r="F143" s="7">
        <f t="shared" ca="1" si="6"/>
        <v>0.24186597716009484</v>
      </c>
    </row>
    <row r="144" spans="2:6" x14ac:dyDescent="0.25">
      <c r="B144" s="5" vm="273">
        <f ca="1"/>
        <v>45488</v>
      </c>
      <c r="C144" vm="274">
        <f ca="1"/>
        <v>234.4</v>
      </c>
      <c r="E144" s="13">
        <f t="shared" ca="1" si="5"/>
        <v>1.6743298343020685E-2</v>
      </c>
      <c r="F144" s="7">
        <f t="shared" ca="1" si="6"/>
        <v>0.26265890971773342</v>
      </c>
    </row>
    <row r="145" spans="2:6" x14ac:dyDescent="0.25">
      <c r="B145" s="5" vm="275">
        <f ca="1"/>
        <v>45489</v>
      </c>
      <c r="C145" vm="276">
        <f ca="1"/>
        <v>234.82</v>
      </c>
      <c r="E145" s="13">
        <f t="shared" ca="1" si="5"/>
        <v>1.7918088737201021E-3</v>
      </c>
      <c r="F145" s="7">
        <f t="shared" ca="1" si="6"/>
        <v>0.26492135315664722</v>
      </c>
    </row>
    <row r="146" spans="2:6" x14ac:dyDescent="0.25">
      <c r="B146" s="5" vm="277">
        <f ca="1"/>
        <v>45490</v>
      </c>
      <c r="C146" vm="278">
        <f ca="1"/>
        <v>228.88</v>
      </c>
      <c r="E146" s="13">
        <f t="shared" ca="1" si="5"/>
        <v>-2.5295971382335414E-2</v>
      </c>
      <c r="F146" s="7">
        <f t="shared" ca="1" si="6"/>
        <v>0.23292393880629181</v>
      </c>
    </row>
    <row r="147" spans="2:6" x14ac:dyDescent="0.25">
      <c r="B147" s="5" vm="279">
        <f ca="1"/>
        <v>45491</v>
      </c>
      <c r="C147" vm="280">
        <f ca="1"/>
        <v>224.18</v>
      </c>
      <c r="E147" s="13">
        <f t="shared" ca="1" si="5"/>
        <v>-2.0534778049632996E-2</v>
      </c>
      <c r="F147" s="7">
        <f t="shared" ca="1" si="6"/>
        <v>0.2076061193708254</v>
      </c>
    </row>
    <row r="148" spans="2:6" x14ac:dyDescent="0.25">
      <c r="B148" s="5" vm="281">
        <f ca="1"/>
        <v>45492</v>
      </c>
      <c r="C148" vm="282">
        <f ca="1"/>
        <v>224.31</v>
      </c>
      <c r="E148" s="13">
        <f t="shared" ca="1" si="5"/>
        <v>5.7989115889012233E-4</v>
      </c>
      <c r="F148" s="7">
        <f t="shared" ca="1" si="6"/>
        <v>0.20830639948287022</v>
      </c>
    </row>
    <row r="149" spans="2:6" x14ac:dyDescent="0.25">
      <c r="B149" s="5" vm="283">
        <f ca="1"/>
        <v>45495</v>
      </c>
      <c r="C149" vm="284">
        <f ca="1"/>
        <v>223.96</v>
      </c>
      <c r="E149" s="13">
        <f t="shared" ca="1" si="5"/>
        <v>-1.5603406000623821E-3</v>
      </c>
      <c r="F149" s="7">
        <f t="shared" ca="1" si="6"/>
        <v>0.20642102995044187</v>
      </c>
    </row>
    <row r="150" spans="2:6" x14ac:dyDescent="0.25">
      <c r="B150" s="5" vm="285">
        <f ca="1"/>
        <v>45496</v>
      </c>
      <c r="C150" vm="286">
        <f ca="1"/>
        <v>225.01</v>
      </c>
      <c r="E150" s="13">
        <f t="shared" ca="1" si="5"/>
        <v>4.688337203071935E-3</v>
      </c>
      <c r="F150" s="7">
        <f t="shared" ca="1" si="6"/>
        <v>0.21207713854772692</v>
      </c>
    </row>
    <row r="151" spans="2:6" x14ac:dyDescent="0.25">
      <c r="B151" s="5" vm="287">
        <f ca="1"/>
        <v>45497</v>
      </c>
      <c r="C151" vm="288">
        <f ca="1"/>
        <v>218.54</v>
      </c>
      <c r="E151" s="13">
        <f t="shared" ca="1" si="5"/>
        <v>-2.8754277587662802E-2</v>
      </c>
      <c r="F151" s="7">
        <f t="shared" ca="1" si="6"/>
        <v>0.1772247360482655</v>
      </c>
    </row>
    <row r="152" spans="2:6" x14ac:dyDescent="0.25">
      <c r="B152" s="5" vm="289">
        <f ca="1"/>
        <v>45498</v>
      </c>
      <c r="C152" vm="290">
        <f ca="1"/>
        <v>217.49</v>
      </c>
      <c r="E152" s="13">
        <f t="shared" ca="1" si="5"/>
        <v>-4.8046124279307323E-3</v>
      </c>
      <c r="F152" s="7">
        <f t="shared" ca="1" si="6"/>
        <v>0.17156862745098045</v>
      </c>
    </row>
    <row r="153" spans="2:6" x14ac:dyDescent="0.25">
      <c r="B153" s="5" vm="291">
        <f ca="1"/>
        <v>45499</v>
      </c>
      <c r="C153" vm="292">
        <f ca="1"/>
        <v>217.96</v>
      </c>
      <c r="E153" s="13">
        <f t="shared" ca="1" si="5"/>
        <v>2.1610188974205968E-3</v>
      </c>
      <c r="F153" s="7">
        <f t="shared" ca="1" si="6"/>
        <v>0.17410040939452709</v>
      </c>
    </row>
    <row r="154" spans="2:6" x14ac:dyDescent="0.25">
      <c r="B154" s="5" vm="293">
        <f ca="1"/>
        <v>45502</v>
      </c>
      <c r="C154" vm="294">
        <f ca="1"/>
        <v>218.24</v>
      </c>
      <c r="E154" s="13">
        <f t="shared" ca="1" si="5"/>
        <v>1.2846393833731984E-3</v>
      </c>
      <c r="F154" s="7">
        <f t="shared" ca="1" si="6"/>
        <v>0.17560870502046977</v>
      </c>
    </row>
    <row r="155" spans="2:6" x14ac:dyDescent="0.25">
      <c r="B155" s="5" vm="295">
        <f ca="1"/>
        <v>45503</v>
      </c>
      <c r="C155" vm="296">
        <f ca="1"/>
        <v>218.8</v>
      </c>
      <c r="E155" s="13">
        <f t="shared" ca="1" si="5"/>
        <v>2.5659824046921909E-3</v>
      </c>
      <c r="F155" s="7">
        <f t="shared" ca="1" si="6"/>
        <v>0.17862529627235535</v>
      </c>
    </row>
    <row r="156" spans="2:6" x14ac:dyDescent="0.25">
      <c r="B156" s="5" vm="297">
        <f ca="1"/>
        <v>45504</v>
      </c>
      <c r="C156" vm="22">
        <f ca="1"/>
        <v>222.08</v>
      </c>
      <c r="E156" s="13">
        <f t="shared" ca="1" si="5"/>
        <v>1.4990859232175469E-2</v>
      </c>
      <c r="F156" s="7">
        <f t="shared" ca="1" si="6"/>
        <v>0.19629390217625531</v>
      </c>
    </row>
    <row r="157" spans="2:6" x14ac:dyDescent="0.25">
      <c r="B157" s="5" vm="298">
        <f ca="1"/>
        <v>45505</v>
      </c>
      <c r="C157" vm="299">
        <f ca="1"/>
        <v>218.36</v>
      </c>
      <c r="E157" s="13">
        <f t="shared" ca="1" si="5"/>
        <v>-1.6750720461095048E-2</v>
      </c>
      <c r="F157" s="7">
        <f t="shared" ca="1" si="6"/>
        <v>0.17625511743158828</v>
      </c>
    </row>
    <row r="158" spans="2:6" x14ac:dyDescent="0.25">
      <c r="B158" s="5" vm="300">
        <f ca="1"/>
        <v>45506</v>
      </c>
      <c r="C158" vm="301">
        <f ca="1"/>
        <v>219.86</v>
      </c>
      <c r="E158" s="13">
        <f t="shared" ca="1" si="5"/>
        <v>6.8693899981682183E-3</v>
      </c>
      <c r="F158" s="7">
        <f t="shared" ca="1" si="6"/>
        <v>0.18433527257056692</v>
      </c>
    </row>
    <row r="159" spans="2:6" x14ac:dyDescent="0.25">
      <c r="B159" s="5" vm="302">
        <f ca="1"/>
        <v>45509</v>
      </c>
      <c r="C159" vm="303">
        <f ca="1"/>
        <v>209.27</v>
      </c>
      <c r="E159" s="13">
        <f t="shared" ca="1" si="5"/>
        <v>-4.8167015373419497E-2</v>
      </c>
      <c r="F159" s="7">
        <f t="shared" ca="1" si="6"/>
        <v>0.1272893772893775</v>
      </c>
    </row>
    <row r="160" spans="2:6" x14ac:dyDescent="0.25">
      <c r="B160" s="5" vm="304">
        <f ca="1"/>
        <v>45510</v>
      </c>
      <c r="C160" vm="305">
        <f ca="1"/>
        <v>207.23</v>
      </c>
      <c r="E160" s="13">
        <f t="shared" ca="1" si="5"/>
        <v>-9.7481722177092944E-3</v>
      </c>
      <c r="F160" s="7">
        <f t="shared" ca="1" si="6"/>
        <v>0.11630036630036633</v>
      </c>
    </row>
    <row r="161" spans="2:6" x14ac:dyDescent="0.25">
      <c r="B161" s="5" vm="306">
        <f ca="1"/>
        <v>45511</v>
      </c>
      <c r="C161" vm="307">
        <f ca="1"/>
        <v>209.82</v>
      </c>
      <c r="E161" s="13">
        <f t="shared" ca="1" si="5"/>
        <v>1.249819041644562E-2</v>
      </c>
      <c r="F161" s="7">
        <f t="shared" ca="1" si="6"/>
        <v>0.13025210084033612</v>
      </c>
    </row>
    <row r="162" spans="2:6" x14ac:dyDescent="0.25">
      <c r="B162" s="5" vm="308">
        <f ca="1"/>
        <v>45512</v>
      </c>
      <c r="C162" vm="309">
        <f ca="1"/>
        <v>213.31</v>
      </c>
      <c r="E162" s="13">
        <f t="shared" ca="1" si="5"/>
        <v>1.6633304737394106E-2</v>
      </c>
      <c r="F162" s="7">
        <f t="shared" ca="1" si="6"/>
        <v>0.14905192846369331</v>
      </c>
    </row>
    <row r="163" spans="2:6" x14ac:dyDescent="0.25">
      <c r="B163" s="5" vm="310">
        <f ca="1"/>
        <v>45513</v>
      </c>
      <c r="C163" vm="311">
        <f ca="1"/>
        <v>216.24</v>
      </c>
      <c r="E163" s="13">
        <f t="shared" ca="1" si="5"/>
        <v>1.3735877361586546E-2</v>
      </c>
      <c r="F163" s="7">
        <f t="shared" ca="1" si="6"/>
        <v>0.16483516483516492</v>
      </c>
    </row>
    <row r="164" spans="2:6" x14ac:dyDescent="0.25">
      <c r="B164" s="5" vm="312">
        <f ca="1"/>
        <v>45516</v>
      </c>
      <c r="C164" vm="313">
        <f ca="1"/>
        <v>217.53</v>
      </c>
      <c r="E164" s="13">
        <f t="shared" ca="1" si="5"/>
        <v>5.9655937846836427E-3</v>
      </c>
      <c r="F164" s="7">
        <f t="shared" ca="1" si="6"/>
        <v>0.17178409825468655</v>
      </c>
    </row>
    <row r="165" spans="2:6" x14ac:dyDescent="0.25">
      <c r="B165" s="5" vm="314">
        <f ca="1"/>
        <v>45517</v>
      </c>
      <c r="C165" vm="315">
        <f ca="1"/>
        <v>221.27</v>
      </c>
      <c r="E165" s="13">
        <f t="shared" ca="1" si="5"/>
        <v>1.7193030846320179E-2</v>
      </c>
      <c r="F165" s="7">
        <f t="shared" ca="1" si="6"/>
        <v>0.19193061840120684</v>
      </c>
    </row>
    <row r="166" spans="2:6" x14ac:dyDescent="0.25">
      <c r="B166" s="5" vm="316">
        <f ca="1"/>
        <v>45518</v>
      </c>
      <c r="C166" vm="317">
        <f ca="1"/>
        <v>221.72</v>
      </c>
      <c r="E166" s="13">
        <f t="shared" ca="1" si="5"/>
        <v>2.0337144664888118E-3</v>
      </c>
      <c r="F166" s="7">
        <f t="shared" ca="1" si="6"/>
        <v>0.19435466494290021</v>
      </c>
    </row>
    <row r="167" spans="2:6" x14ac:dyDescent="0.25">
      <c r="B167" s="5" vm="318">
        <f ca="1"/>
        <v>45519</v>
      </c>
      <c r="C167" vm="319">
        <f ca="1"/>
        <v>224.72</v>
      </c>
      <c r="E167" s="13">
        <f t="shared" ca="1" si="5"/>
        <v>1.3530579108785856E-2</v>
      </c>
      <c r="F167" s="7">
        <f t="shared" ca="1" si="6"/>
        <v>0.21051497522085771</v>
      </c>
    </row>
    <row r="168" spans="2:6" x14ac:dyDescent="0.25">
      <c r="B168" s="5" vm="320">
        <f ca="1"/>
        <v>45520</v>
      </c>
      <c r="C168" vm="321">
        <f ca="1"/>
        <v>226.05</v>
      </c>
      <c r="E168" s="13">
        <f t="shared" ca="1" si="5"/>
        <v>5.9184763260946571E-3</v>
      </c>
      <c r="F168" s="7">
        <f t="shared" ca="1" si="6"/>
        <v>0.21767937944408544</v>
      </c>
    </row>
    <row r="169" spans="2:6" x14ac:dyDescent="0.25">
      <c r="B169" s="5" vm="322">
        <f ca="1"/>
        <v>45523</v>
      </c>
      <c r="C169" vm="323">
        <f ca="1"/>
        <v>225.89</v>
      </c>
      <c r="E169" s="13">
        <f t="shared" ca="1" si="5"/>
        <v>-7.0780800707814784E-4</v>
      </c>
      <c r="F169" s="7">
        <f t="shared" ca="1" si="6"/>
        <v>0.21681749622926105</v>
      </c>
    </row>
    <row r="170" spans="2:6" x14ac:dyDescent="0.25">
      <c r="B170" s="5" vm="324">
        <f ca="1"/>
        <v>45524</v>
      </c>
      <c r="C170" vm="325">
        <f ca="1"/>
        <v>226.51</v>
      </c>
      <c r="E170" s="13">
        <f t="shared" ca="1" si="5"/>
        <v>2.744698747177754E-3</v>
      </c>
      <c r="F170" s="7">
        <f t="shared" ca="1" si="6"/>
        <v>0.22015729368670556</v>
      </c>
    </row>
    <row r="171" spans="2:6" x14ac:dyDescent="0.25">
      <c r="B171" s="5" vm="326">
        <f ca="1"/>
        <v>45525</v>
      </c>
      <c r="C171" vm="327">
        <f ca="1"/>
        <v>226.4</v>
      </c>
      <c r="E171" s="13">
        <f t="shared" ca="1" si="5"/>
        <v>-4.8562977351984671E-4</v>
      </c>
      <c r="F171" s="7">
        <f t="shared" ca="1" si="6"/>
        <v>0.21956474897651379</v>
      </c>
    </row>
    <row r="172" spans="2:6" x14ac:dyDescent="0.25">
      <c r="B172" s="5" vm="328">
        <f ca="1"/>
        <v>45526</v>
      </c>
      <c r="C172" vm="329">
        <f ca="1"/>
        <v>224.53</v>
      </c>
      <c r="E172" s="13">
        <f t="shared" ca="1" si="5"/>
        <v>-8.2597173144876024E-3</v>
      </c>
      <c r="F172" s="7">
        <f t="shared" ca="1" si="6"/>
        <v>0.20949148890325375</v>
      </c>
    </row>
    <row r="173" spans="2:6" x14ac:dyDescent="0.25">
      <c r="B173" s="5" vm="330">
        <f ca="1"/>
        <v>45527</v>
      </c>
      <c r="C173" vm="331">
        <f ca="1"/>
        <v>226.84</v>
      </c>
      <c r="E173" s="13">
        <f t="shared" ca="1" si="5"/>
        <v>1.0288157484523275E-2</v>
      </c>
      <c r="F173" s="7">
        <f t="shared" ca="1" si="6"/>
        <v>0.22193492781728086</v>
      </c>
    </row>
    <row r="174" spans="2:6" x14ac:dyDescent="0.25">
      <c r="B174" s="5" vm="332">
        <f ca="1"/>
        <v>45530</v>
      </c>
      <c r="C174" vm="333">
        <f ca="1"/>
        <v>227.18</v>
      </c>
      <c r="E174" s="13">
        <f t="shared" ca="1" si="5"/>
        <v>1.4988538176687882E-3</v>
      </c>
      <c r="F174" s="7">
        <f t="shared" ca="1" si="6"/>
        <v>0.22376642964878268</v>
      </c>
    </row>
    <row r="175" spans="2:6" x14ac:dyDescent="0.25">
      <c r="B175" s="5" vm="334">
        <f ca="1"/>
        <v>45531</v>
      </c>
      <c r="C175" vm="335">
        <f ca="1"/>
        <v>228.03</v>
      </c>
      <c r="E175" s="13">
        <f t="shared" ca="1" si="5"/>
        <v>3.7415265428295541E-3</v>
      </c>
      <c r="F175" s="7">
        <f t="shared" ca="1" si="6"/>
        <v>0.22834518422753725</v>
      </c>
    </row>
    <row r="176" spans="2:6" x14ac:dyDescent="0.25">
      <c r="B176" s="5" vm="336">
        <f ca="1"/>
        <v>45532</v>
      </c>
      <c r="C176" vm="337">
        <f ca="1"/>
        <v>226.49</v>
      </c>
      <c r="E176" s="13">
        <f t="shared" ca="1" si="5"/>
        <v>-6.7534973468402759E-3</v>
      </c>
      <c r="F176" s="7">
        <f t="shared" ca="1" si="6"/>
        <v>0.22004955828485251</v>
      </c>
    </row>
    <row r="177" spans="2:6" x14ac:dyDescent="0.25">
      <c r="B177" s="5" vm="338">
        <f ca="1"/>
        <v>45533</v>
      </c>
      <c r="C177" vm="339">
        <f ca="1"/>
        <v>229.79</v>
      </c>
      <c r="E177" s="13">
        <f t="shared" ca="1" si="5"/>
        <v>1.4570179698882857E-2</v>
      </c>
      <c r="F177" s="7">
        <f t="shared" ca="1" si="6"/>
        <v>0.23782589959060552</v>
      </c>
    </row>
    <row r="178" spans="2:6" x14ac:dyDescent="0.25">
      <c r="B178" s="5" vm="340">
        <f ca="1"/>
        <v>45534</v>
      </c>
      <c r="C178" vm="25">
        <f ca="1"/>
        <v>229</v>
      </c>
      <c r="E178" s="13">
        <f t="shared" ca="1" si="5"/>
        <v>-3.4379215805735441E-3</v>
      </c>
      <c r="F178" s="7">
        <f t="shared" ca="1" si="6"/>
        <v>0.2335703512174101</v>
      </c>
    </row>
    <row r="179" spans="2:6" x14ac:dyDescent="0.25">
      <c r="B179" s="5" vm="341">
        <f ca="1"/>
        <v>45538</v>
      </c>
      <c r="C179" vm="342">
        <f ca="1"/>
        <v>222.77</v>
      </c>
      <c r="E179" s="13">
        <f t="shared" ca="1" si="5"/>
        <v>-2.7205240174672407E-2</v>
      </c>
      <c r="F179" s="7">
        <f t="shared" ca="1" si="6"/>
        <v>0.20001077354018548</v>
      </c>
    </row>
    <row r="180" spans="2:6" x14ac:dyDescent="0.25">
      <c r="B180" s="5" vm="343">
        <f ca="1"/>
        <v>45539</v>
      </c>
      <c r="C180" vm="344">
        <f ca="1"/>
        <v>220.85</v>
      </c>
      <c r="E180" s="13">
        <f t="shared" ca="1" si="5"/>
        <v>-8.6187547694932531E-3</v>
      </c>
      <c r="F180" s="7">
        <f t="shared" ca="1" si="6"/>
        <v>0.1896681749622926</v>
      </c>
    </row>
    <row r="181" spans="2:6" x14ac:dyDescent="0.25">
      <c r="B181" s="5" vm="345">
        <f ca="1"/>
        <v>45540</v>
      </c>
      <c r="C181" vm="346">
        <f ca="1"/>
        <v>222.38</v>
      </c>
      <c r="E181" s="13">
        <f t="shared" ca="1" si="5"/>
        <v>6.9277790355444235E-3</v>
      </c>
      <c r="F181" s="7">
        <f t="shared" ca="1" si="6"/>
        <v>0.19790993320405081</v>
      </c>
    </row>
    <row r="182" spans="2:6" x14ac:dyDescent="0.25">
      <c r="B182" s="5" vm="347">
        <f ca="1"/>
        <v>45541</v>
      </c>
      <c r="C182" vm="348">
        <f ca="1"/>
        <v>220.82</v>
      </c>
      <c r="E182" s="13">
        <f t="shared" ca="1" si="5"/>
        <v>-7.0150193362712443E-3</v>
      </c>
      <c r="F182" s="7">
        <f t="shared" ca="1" si="6"/>
        <v>0.18950657185951303</v>
      </c>
    </row>
    <row r="183" spans="2:6" x14ac:dyDescent="0.25">
      <c r="B183" s="5" vm="349">
        <f ca="1"/>
        <v>45544</v>
      </c>
      <c r="C183" vm="350">
        <f ca="1"/>
        <v>220.91</v>
      </c>
      <c r="E183" s="13">
        <f t="shared" ca="1" si="5"/>
        <v>4.0757177791861388E-4</v>
      </c>
      <c r="F183" s="7">
        <f t="shared" ca="1" si="6"/>
        <v>0.18999138116785175</v>
      </c>
    </row>
    <row r="184" spans="2:6" x14ac:dyDescent="0.25">
      <c r="B184" s="5" vm="351">
        <f ca="1"/>
        <v>45545</v>
      </c>
      <c r="C184" vm="352">
        <f ca="1"/>
        <v>220.11</v>
      </c>
      <c r="E184" s="13">
        <f t="shared" ca="1" si="5"/>
        <v>-3.621384274138717E-3</v>
      </c>
      <c r="F184" s="7">
        <f t="shared" ca="1" si="6"/>
        <v>0.18568196509373003</v>
      </c>
    </row>
    <row r="185" spans="2:6" x14ac:dyDescent="0.25">
      <c r="B185" s="5" vm="353">
        <f ca="1"/>
        <v>45546</v>
      </c>
      <c r="C185" vm="354">
        <f ca="1"/>
        <v>222.66</v>
      </c>
      <c r="E185" s="13">
        <f t="shared" ca="1" si="5"/>
        <v>1.1585116532642603E-2</v>
      </c>
      <c r="F185" s="7">
        <f t="shared" ca="1" si="6"/>
        <v>0.19941822882999372</v>
      </c>
    </row>
    <row r="186" spans="2:6" x14ac:dyDescent="0.25">
      <c r="B186" s="5" vm="355">
        <f ca="1"/>
        <v>45547</v>
      </c>
      <c r="C186" vm="342">
        <f ca="1"/>
        <v>222.77</v>
      </c>
      <c r="E186" s="13">
        <f t="shared" ca="1" si="5"/>
        <v>4.9402676726861827E-4</v>
      </c>
      <c r="F186" s="7">
        <f t="shared" ca="1" si="6"/>
        <v>0.20001077354018548</v>
      </c>
    </row>
    <row r="187" spans="2:6" x14ac:dyDescent="0.25">
      <c r="B187" s="5" vm="356">
        <f ca="1"/>
        <v>45548</v>
      </c>
      <c r="C187" vm="357">
        <f ca="1"/>
        <v>222.5</v>
      </c>
      <c r="E187" s="13">
        <f t="shared" ca="1" si="5"/>
        <v>-1.2120123894600043E-3</v>
      </c>
      <c r="F187" s="7">
        <f t="shared" ca="1" si="6"/>
        <v>0.19855634561516933</v>
      </c>
    </row>
    <row r="188" spans="2:6" x14ac:dyDescent="0.25">
      <c r="B188" s="5" vm="358">
        <f ca="1"/>
        <v>45551</v>
      </c>
      <c r="C188" vm="359">
        <f ca="1"/>
        <v>216.32</v>
      </c>
      <c r="E188" s="13">
        <f t="shared" ca="1" si="5"/>
        <v>-2.7775280898876487E-2</v>
      </c>
      <c r="F188" s="7">
        <f t="shared" ca="1" si="6"/>
        <v>0.16526610644257711</v>
      </c>
    </row>
    <row r="189" spans="2:6" x14ac:dyDescent="0.25">
      <c r="B189" s="5" vm="360">
        <f ca="1"/>
        <v>45552</v>
      </c>
      <c r="C189" vm="361">
        <f ca="1"/>
        <v>216.79</v>
      </c>
      <c r="E189" s="13">
        <f t="shared" ca="1" si="5"/>
        <v>2.1727071005916976E-3</v>
      </c>
      <c r="F189" s="7">
        <f t="shared" ca="1" si="6"/>
        <v>0.16779788838612375</v>
      </c>
    </row>
    <row r="190" spans="2:6" x14ac:dyDescent="0.25">
      <c r="B190" s="5" vm="362">
        <f ca="1"/>
        <v>45553</v>
      </c>
      <c r="C190" vm="363">
        <f ca="1"/>
        <v>220.69</v>
      </c>
      <c r="E190" s="13">
        <f t="shared" ca="1" si="5"/>
        <v>1.798975967526184E-2</v>
      </c>
      <c r="F190" s="7">
        <f t="shared" ca="1" si="6"/>
        <v>0.18880629174746821</v>
      </c>
    </row>
    <row r="191" spans="2:6" x14ac:dyDescent="0.25">
      <c r="B191" s="5" vm="364">
        <f ca="1"/>
        <v>45554</v>
      </c>
      <c r="C191" vm="365">
        <f ca="1"/>
        <v>228.87</v>
      </c>
      <c r="E191" s="13">
        <f t="shared" ca="1" si="5"/>
        <v>3.7065567085051487E-2</v>
      </c>
      <c r="F191" s="7">
        <f t="shared" ca="1" si="6"/>
        <v>0.23287007110536528</v>
      </c>
    </row>
    <row r="192" spans="2:6" x14ac:dyDescent="0.25">
      <c r="B192" s="5" vm="366">
        <f ca="1"/>
        <v>45555</v>
      </c>
      <c r="C192" vm="367">
        <f ca="1"/>
        <v>228.2</v>
      </c>
      <c r="E192" s="13">
        <f t="shared" ca="1" si="5"/>
        <v>-2.9274260497226257E-3</v>
      </c>
      <c r="F192" s="7">
        <f t="shared" ca="1" si="6"/>
        <v>0.22926093514328816</v>
      </c>
    </row>
    <row r="193" spans="2:6" x14ac:dyDescent="0.25">
      <c r="B193" s="5" vm="368">
        <f ca="1"/>
        <v>45558</v>
      </c>
      <c r="C193" vm="369">
        <f ca="1"/>
        <v>226.47</v>
      </c>
      <c r="E193" s="13">
        <f t="shared" ca="1" si="5"/>
        <v>-7.5810692375108957E-3</v>
      </c>
      <c r="F193" s="7">
        <f t="shared" ca="1" si="6"/>
        <v>0.21994182288299946</v>
      </c>
    </row>
    <row r="194" spans="2:6" x14ac:dyDescent="0.25">
      <c r="B194" s="5" vm="370">
        <f ca="1"/>
        <v>45559</v>
      </c>
      <c r="C194" vm="371">
        <f ca="1"/>
        <v>227.37</v>
      </c>
      <c r="E194" s="13">
        <f t="shared" ca="1" si="5"/>
        <v>3.9740362961981912E-3</v>
      </c>
      <c r="F194" s="7">
        <f t="shared" ca="1" si="6"/>
        <v>0.22478991596638664</v>
      </c>
    </row>
    <row r="195" spans="2:6" x14ac:dyDescent="0.25">
      <c r="B195" s="5" vm="372">
        <f ca="1"/>
        <v>45560</v>
      </c>
      <c r="C195" vm="373">
        <f ca="1"/>
        <v>226.37</v>
      </c>
      <c r="E195" s="13">
        <f t="shared" ca="1" si="5"/>
        <v>-4.3981176056647753E-3</v>
      </c>
      <c r="F195" s="7">
        <f t="shared" ca="1" si="6"/>
        <v>0.21940314587373422</v>
      </c>
    </row>
    <row r="196" spans="2:6" x14ac:dyDescent="0.25">
      <c r="B196" s="5" vm="374">
        <f ca="1"/>
        <v>45561</v>
      </c>
      <c r="C196" vm="375">
        <f ca="1"/>
        <v>227.52</v>
      </c>
      <c r="E196" s="13">
        <f t="shared" ca="1" si="5"/>
        <v>5.0801784688783158E-3</v>
      </c>
      <c r="F196" s="7">
        <f t="shared" ca="1" si="6"/>
        <v>0.22559793148028451</v>
      </c>
    </row>
    <row r="197" spans="2:6" x14ac:dyDescent="0.25">
      <c r="B197" s="5" vm="376">
        <f ca="1"/>
        <v>45562</v>
      </c>
      <c r="C197" vm="377">
        <f ca="1"/>
        <v>227.79</v>
      </c>
      <c r="E197" s="13">
        <f t="shared" ca="1" si="5"/>
        <v>1.1867088607593335E-3</v>
      </c>
      <c r="F197" s="7">
        <f t="shared" ca="1" si="6"/>
        <v>0.22705235940530066</v>
      </c>
    </row>
    <row r="198" spans="2:6" x14ac:dyDescent="0.25">
      <c r="B198" s="5" vm="378">
        <f ca="1"/>
        <v>45565</v>
      </c>
      <c r="C198" vm="28">
        <f ca="1"/>
        <v>233</v>
      </c>
      <c r="E198" s="13">
        <f t="shared" ca="1" si="5"/>
        <v>2.2871943456692634E-2</v>
      </c>
      <c r="F198" s="7">
        <f t="shared" ca="1" si="6"/>
        <v>0.25511743158801981</v>
      </c>
    </row>
    <row r="199" spans="2:6" x14ac:dyDescent="0.25">
      <c r="B199" s="5" vm="379">
        <f ca="1"/>
        <v>45566</v>
      </c>
      <c r="C199" vm="380">
        <f ca="1"/>
        <v>226.21</v>
      </c>
      <c r="E199" s="13">
        <f t="shared" ca="1" si="5"/>
        <v>-2.9141630901287519E-2</v>
      </c>
      <c r="F199" s="7">
        <f t="shared" ca="1" si="6"/>
        <v>0.21854126265890983</v>
      </c>
    </row>
    <row r="200" spans="2:6" x14ac:dyDescent="0.25">
      <c r="B200" s="5" vm="381">
        <f ca="1"/>
        <v>45567</v>
      </c>
      <c r="C200" vm="382">
        <f ca="1"/>
        <v>226.78</v>
      </c>
      <c r="E200" s="13">
        <f t="shared" ca="1" si="5"/>
        <v>2.5197825029839027E-3</v>
      </c>
      <c r="F200" s="7">
        <f t="shared" ca="1" si="6"/>
        <v>0.22161172161172171</v>
      </c>
    </row>
    <row r="201" spans="2:6" x14ac:dyDescent="0.25">
      <c r="B201" s="5" vm="383">
        <f ca="1"/>
        <v>45568</v>
      </c>
      <c r="C201" vm="384">
        <f ca="1"/>
        <v>225.67</v>
      </c>
      <c r="E201" s="13">
        <f t="shared" ca="1" si="5"/>
        <v>-4.8946115177705973E-3</v>
      </c>
      <c r="F201" s="7">
        <f t="shared" ca="1" si="6"/>
        <v>0.21563240680887752</v>
      </c>
    </row>
    <row r="202" spans="2:6" x14ac:dyDescent="0.25">
      <c r="B202" s="5" vm="385">
        <f ca="1"/>
        <v>45569</v>
      </c>
      <c r="C202" vm="386">
        <f ca="1"/>
        <v>226.8</v>
      </c>
      <c r="E202" s="13">
        <f t="shared" ca="1" si="5"/>
        <v>5.0073115611291019E-3</v>
      </c>
      <c r="F202" s="7">
        <f t="shared" ca="1" si="6"/>
        <v>0.22171945701357476</v>
      </c>
    </row>
    <row r="203" spans="2:6" x14ac:dyDescent="0.25">
      <c r="B203" s="5" vm="387">
        <f ca="1"/>
        <v>45572</v>
      </c>
      <c r="C203" vm="388">
        <f ca="1"/>
        <v>221.69</v>
      </c>
      <c r="E203" s="13">
        <f t="shared" ca="1" si="5"/>
        <v>-2.253086419753092E-2</v>
      </c>
      <c r="F203" s="7">
        <f t="shared" ca="1" si="6"/>
        <v>0.19419306184012064</v>
      </c>
    </row>
    <row r="204" spans="2:6" x14ac:dyDescent="0.25">
      <c r="B204" s="5" vm="389">
        <f ca="1"/>
        <v>45573</v>
      </c>
      <c r="C204" vm="390">
        <f ca="1"/>
        <v>225.77</v>
      </c>
      <c r="E204" s="13">
        <f t="shared" ca="1" si="5"/>
        <v>1.8404077766250193E-2</v>
      </c>
      <c r="F204" s="7">
        <f t="shared" ca="1" si="6"/>
        <v>0.21617108381814276</v>
      </c>
    </row>
    <row r="205" spans="2:6" x14ac:dyDescent="0.25">
      <c r="B205" s="5" vm="391">
        <f ca="1"/>
        <v>45574</v>
      </c>
      <c r="C205" vm="392">
        <f ca="1"/>
        <v>229.54</v>
      </c>
      <c r="E205" s="13">
        <f t="shared" ref="E205:E262" ca="1" si="7">C205/C204-1</f>
        <v>1.6698409886167331E-2</v>
      </c>
      <c r="F205" s="7">
        <f t="shared" ref="F205:F262" ca="1" si="8">C205/$C$11-1</f>
        <v>0.23647920706744241</v>
      </c>
    </row>
    <row r="206" spans="2:6" x14ac:dyDescent="0.25">
      <c r="B206" s="5" vm="393">
        <f ca="1"/>
        <v>45575</v>
      </c>
      <c r="C206" vm="394">
        <f ca="1"/>
        <v>229.04</v>
      </c>
      <c r="E206" s="13">
        <f t="shared" ca="1" si="7"/>
        <v>-2.178269582643555E-3</v>
      </c>
      <c r="F206" s="7">
        <f t="shared" ca="1" si="8"/>
        <v>0.2337858220211162</v>
      </c>
    </row>
    <row r="207" spans="2:6" x14ac:dyDescent="0.25">
      <c r="B207" s="5" vm="395">
        <f ca="1"/>
        <v>45576</v>
      </c>
      <c r="C207" vm="396">
        <f ca="1"/>
        <v>227.55</v>
      </c>
      <c r="E207" s="13">
        <f t="shared" ca="1" si="7"/>
        <v>-6.5054139015018331E-3</v>
      </c>
      <c r="F207" s="7">
        <f t="shared" ca="1" si="8"/>
        <v>0.22575953458306408</v>
      </c>
    </row>
    <row r="208" spans="2:6" x14ac:dyDescent="0.25">
      <c r="B208" s="5" vm="397">
        <f ca="1"/>
        <v>45579</v>
      </c>
      <c r="C208" vm="398">
        <f ca="1"/>
        <v>231.3</v>
      </c>
      <c r="E208" s="13">
        <f t="shared" ca="1" si="7"/>
        <v>1.6479894528675043E-2</v>
      </c>
      <c r="F208" s="7">
        <f t="shared" ca="1" si="8"/>
        <v>0.2459599224305109</v>
      </c>
    </row>
    <row r="209" spans="2:6" x14ac:dyDescent="0.25">
      <c r="B209" s="5" vm="399">
        <f ca="1"/>
        <v>45580</v>
      </c>
      <c r="C209" vm="400">
        <f ca="1"/>
        <v>233.85</v>
      </c>
      <c r="E209" s="13">
        <f t="shared" ca="1" si="7"/>
        <v>1.1024643320363126E-2</v>
      </c>
      <c r="F209" s="7">
        <f t="shared" ca="1" si="8"/>
        <v>0.25969618616677437</v>
      </c>
    </row>
    <row r="210" spans="2:6" x14ac:dyDescent="0.25">
      <c r="B210" s="5" vm="401">
        <f ca="1"/>
        <v>45581</v>
      </c>
      <c r="C210" vm="402">
        <f ca="1"/>
        <v>231.78</v>
      </c>
      <c r="E210" s="13">
        <f t="shared" ca="1" si="7"/>
        <v>-8.8518280949325678E-3</v>
      </c>
      <c r="F210" s="7">
        <f t="shared" ca="1" si="8"/>
        <v>0.24854557207498384</v>
      </c>
    </row>
    <row r="211" spans="2:6" x14ac:dyDescent="0.25">
      <c r="B211" s="5" vm="403">
        <f ca="1"/>
        <v>45582</v>
      </c>
      <c r="C211" vm="404">
        <f ca="1"/>
        <v>232.15</v>
      </c>
      <c r="E211" s="13">
        <f t="shared" ca="1" si="7"/>
        <v>1.5963413581845387E-3</v>
      </c>
      <c r="F211" s="7">
        <f t="shared" ca="1" si="8"/>
        <v>0.25053867700926546</v>
      </c>
    </row>
    <row r="212" spans="2:6" x14ac:dyDescent="0.25">
      <c r="B212" s="5" vm="405">
        <f ca="1"/>
        <v>45583</v>
      </c>
      <c r="C212" vm="406">
        <f ca="1"/>
        <v>235</v>
      </c>
      <c r="E212" s="13">
        <f t="shared" ca="1" si="7"/>
        <v>1.2276545337066569E-2</v>
      </c>
      <c r="F212" s="7">
        <f t="shared" ca="1" si="8"/>
        <v>0.26589097177332488</v>
      </c>
    </row>
    <row r="213" spans="2:6" x14ac:dyDescent="0.25">
      <c r="B213" s="5" vm="407">
        <f ca="1"/>
        <v>45586</v>
      </c>
      <c r="C213" vm="408">
        <f ca="1"/>
        <v>236.48</v>
      </c>
      <c r="E213" s="13">
        <f t="shared" ca="1" si="7"/>
        <v>6.2978723404254477E-3</v>
      </c>
      <c r="F213" s="7">
        <f t="shared" ca="1" si="8"/>
        <v>0.27386339151045047</v>
      </c>
    </row>
    <row r="214" spans="2:6" x14ac:dyDescent="0.25">
      <c r="B214" s="5" vm="409">
        <f ca="1"/>
        <v>45587</v>
      </c>
      <c r="C214" vm="410">
        <f ca="1"/>
        <v>235.86</v>
      </c>
      <c r="E214" s="13">
        <f t="shared" ca="1" si="7"/>
        <v>-2.6217861975641465E-3</v>
      </c>
      <c r="F214" s="7">
        <f t="shared" ca="1" si="8"/>
        <v>0.27052359405300597</v>
      </c>
    </row>
    <row r="215" spans="2:6" x14ac:dyDescent="0.25">
      <c r="B215" s="5" vm="411">
        <f ca="1"/>
        <v>45588</v>
      </c>
      <c r="C215" vm="412">
        <f ca="1"/>
        <v>230.76</v>
      </c>
      <c r="E215" s="13">
        <f t="shared" ca="1" si="7"/>
        <v>-2.1622996692953533E-2</v>
      </c>
      <c r="F215" s="7">
        <f t="shared" ca="1" si="8"/>
        <v>0.24305106658047837</v>
      </c>
    </row>
    <row r="216" spans="2:6" x14ac:dyDescent="0.25">
      <c r="B216" s="5" vm="413">
        <f ca="1"/>
        <v>45589</v>
      </c>
      <c r="C216" vm="414">
        <f ca="1"/>
        <v>230.57</v>
      </c>
      <c r="E216" s="13">
        <f t="shared" ca="1" si="7"/>
        <v>-8.2336626798407142E-4</v>
      </c>
      <c r="F216" s="7">
        <f t="shared" ca="1" si="8"/>
        <v>0.24202758026287441</v>
      </c>
    </row>
    <row r="217" spans="2:6" x14ac:dyDescent="0.25">
      <c r="B217" s="5" vm="415">
        <f ca="1"/>
        <v>45590</v>
      </c>
      <c r="C217" vm="416">
        <f ca="1"/>
        <v>231.41</v>
      </c>
      <c r="E217" s="13">
        <f t="shared" ca="1" si="7"/>
        <v>3.6431452487313276E-3</v>
      </c>
      <c r="F217" s="7">
        <f t="shared" ca="1" si="8"/>
        <v>0.24655246714070245</v>
      </c>
    </row>
    <row r="218" spans="2:6" x14ac:dyDescent="0.25">
      <c r="B218" s="5" vm="417">
        <f ca="1"/>
        <v>45593</v>
      </c>
      <c r="C218" vm="418">
        <f ca="1"/>
        <v>233.4</v>
      </c>
      <c r="E218" s="13">
        <f t="shared" ca="1" si="7"/>
        <v>8.5994555118620308E-3</v>
      </c>
      <c r="F218" s="7">
        <f t="shared" ca="1" si="8"/>
        <v>0.257272139625081</v>
      </c>
    </row>
    <row r="219" spans="2:6" x14ac:dyDescent="0.25">
      <c r="B219" s="5" vm="419">
        <f ca="1"/>
        <v>45594</v>
      </c>
      <c r="C219" vm="420">
        <f ca="1"/>
        <v>233.67</v>
      </c>
      <c r="E219" s="13">
        <f t="shared" ca="1" si="7"/>
        <v>1.1568123393315144E-3</v>
      </c>
      <c r="F219" s="7">
        <f t="shared" ca="1" si="8"/>
        <v>0.25872656755009693</v>
      </c>
    </row>
    <row r="220" spans="2:6" x14ac:dyDescent="0.25">
      <c r="B220" s="5" vm="421">
        <f ca="1"/>
        <v>45595</v>
      </c>
      <c r="C220" vm="422">
        <f ca="1"/>
        <v>230.1</v>
      </c>
      <c r="E220" s="13">
        <f t="shared" ca="1" si="7"/>
        <v>-1.5277956091924505E-2</v>
      </c>
      <c r="F220" s="7">
        <f t="shared" ca="1" si="8"/>
        <v>0.23949579831932777</v>
      </c>
    </row>
    <row r="221" spans="2:6" x14ac:dyDescent="0.25">
      <c r="B221" s="5" vm="423">
        <f ca="1"/>
        <v>45596</v>
      </c>
      <c r="C221" vm="31">
        <f ca="1"/>
        <v>225.91</v>
      </c>
      <c r="E221" s="13">
        <f t="shared" ca="1" si="7"/>
        <v>-1.8209474141677506E-2</v>
      </c>
      <c r="F221" s="7">
        <f t="shared" ca="1" si="8"/>
        <v>0.2169252316311141</v>
      </c>
    </row>
    <row r="222" spans="2:6" x14ac:dyDescent="0.25">
      <c r="B222" s="5" vm="424">
        <f ca="1"/>
        <v>45597</v>
      </c>
      <c r="C222" vm="425">
        <f ca="1"/>
        <v>222.91</v>
      </c>
      <c r="E222" s="13">
        <f t="shared" ca="1" si="7"/>
        <v>-1.327962462927712E-2</v>
      </c>
      <c r="F222" s="7">
        <f t="shared" ca="1" si="8"/>
        <v>0.20076492135315682</v>
      </c>
    </row>
    <row r="223" spans="2:6" x14ac:dyDescent="0.25">
      <c r="B223" s="5" vm="426">
        <f ca="1"/>
        <v>45600</v>
      </c>
      <c r="C223" vm="427">
        <f ca="1"/>
        <v>222.01</v>
      </c>
      <c r="E223" s="13">
        <f t="shared" ca="1" si="7"/>
        <v>-4.0375039253510714E-3</v>
      </c>
      <c r="F223" s="7">
        <f t="shared" ca="1" si="8"/>
        <v>0.19591682826976942</v>
      </c>
    </row>
    <row r="224" spans="2:6" x14ac:dyDescent="0.25">
      <c r="B224" s="5" vm="428">
        <f ca="1"/>
        <v>45601</v>
      </c>
      <c r="C224" vm="429">
        <f ca="1"/>
        <v>223.45</v>
      </c>
      <c r="E224" s="13">
        <f t="shared" ca="1" si="7"/>
        <v>6.486194315571403E-3</v>
      </c>
      <c r="F224" s="7">
        <f t="shared" ca="1" si="8"/>
        <v>0.20367377720318891</v>
      </c>
    </row>
    <row r="225" spans="2:6" x14ac:dyDescent="0.25">
      <c r="B225" s="5" vm="430">
        <f ca="1"/>
        <v>45602</v>
      </c>
      <c r="C225" vm="431">
        <f ca="1"/>
        <v>222.72</v>
      </c>
      <c r="E225" s="13">
        <f t="shared" ca="1" si="7"/>
        <v>-3.2669501006936663E-3</v>
      </c>
      <c r="F225" s="7">
        <f t="shared" ca="1" si="8"/>
        <v>0.19974143503555286</v>
      </c>
    </row>
    <row r="226" spans="2:6" x14ac:dyDescent="0.25">
      <c r="B226" s="5" vm="432">
        <f ca="1"/>
        <v>45603</v>
      </c>
      <c r="C226" vm="433">
        <f ca="1"/>
        <v>227.48</v>
      </c>
      <c r="E226" s="13">
        <f t="shared" ca="1" si="7"/>
        <v>2.1372126436781658E-2</v>
      </c>
      <c r="F226" s="7">
        <f t="shared" ca="1" si="8"/>
        <v>0.22538246067657841</v>
      </c>
    </row>
    <row r="227" spans="2:6" x14ac:dyDescent="0.25">
      <c r="B227" s="5" vm="434">
        <f ca="1"/>
        <v>45604</v>
      </c>
      <c r="C227" vm="435">
        <f ca="1"/>
        <v>226.96</v>
      </c>
      <c r="E227" s="13">
        <f t="shared" ca="1" si="7"/>
        <v>-2.2859152452961995E-3</v>
      </c>
      <c r="F227" s="7">
        <f t="shared" ca="1" si="8"/>
        <v>0.22258134022839915</v>
      </c>
    </row>
    <row r="228" spans="2:6" x14ac:dyDescent="0.25">
      <c r="B228" s="5" vm="436">
        <f ca="1"/>
        <v>45607</v>
      </c>
      <c r="C228" vm="437">
        <f ca="1"/>
        <v>224.23</v>
      </c>
      <c r="E228" s="13">
        <f t="shared" ca="1" si="7"/>
        <v>-1.2028551286570432E-2</v>
      </c>
      <c r="F228" s="7">
        <f t="shared" ca="1" si="8"/>
        <v>0.2078754578754578</v>
      </c>
    </row>
    <row r="229" spans="2:6" x14ac:dyDescent="0.25">
      <c r="B229" s="5" vm="438">
        <f ca="1"/>
        <v>45608</v>
      </c>
      <c r="C229" vm="437">
        <f ca="1"/>
        <v>224.23</v>
      </c>
      <c r="E229" s="13">
        <f t="shared" ca="1" si="7"/>
        <v>0</v>
      </c>
      <c r="F229" s="7">
        <f t="shared" ca="1" si="8"/>
        <v>0.2078754578754578</v>
      </c>
    </row>
    <row r="230" spans="2:6" x14ac:dyDescent="0.25">
      <c r="B230" s="5" vm="439">
        <f ca="1"/>
        <v>45609</v>
      </c>
      <c r="C230" vm="440">
        <f ca="1"/>
        <v>225.12</v>
      </c>
      <c r="E230" s="13">
        <f t="shared" ca="1" si="7"/>
        <v>3.9691388306650754E-3</v>
      </c>
      <c r="F230" s="7">
        <f t="shared" ca="1" si="8"/>
        <v>0.21266968325791868</v>
      </c>
    </row>
    <row r="231" spans="2:6" x14ac:dyDescent="0.25">
      <c r="B231" s="5" vm="441">
        <f ca="1"/>
        <v>45610</v>
      </c>
      <c r="C231" vm="442">
        <f ca="1"/>
        <v>228.22</v>
      </c>
      <c r="E231" s="13">
        <f t="shared" ca="1" si="7"/>
        <v>1.377043354655294E-2</v>
      </c>
      <c r="F231" s="7">
        <f t="shared" ca="1" si="8"/>
        <v>0.22936867054514121</v>
      </c>
    </row>
    <row r="232" spans="2:6" x14ac:dyDescent="0.25">
      <c r="B232" s="5" vm="443">
        <f ca="1"/>
        <v>45611</v>
      </c>
      <c r="C232" vm="444">
        <f ca="1"/>
        <v>225</v>
      </c>
      <c r="E232" s="13">
        <f t="shared" ca="1" si="7"/>
        <v>-1.4109192884059207E-2</v>
      </c>
      <c r="F232" s="7">
        <f t="shared" ca="1" si="8"/>
        <v>0.21202327084680039</v>
      </c>
    </row>
    <row r="233" spans="2:6" x14ac:dyDescent="0.25">
      <c r="B233" s="5" vm="445">
        <f ca="1"/>
        <v>45614</v>
      </c>
      <c r="C233" vm="446">
        <f ca="1"/>
        <v>228.02</v>
      </c>
      <c r="E233" s="13">
        <f t="shared" ca="1" si="7"/>
        <v>1.3422222222222224E-2</v>
      </c>
      <c r="F233" s="7">
        <f t="shared" ca="1" si="8"/>
        <v>0.22829131652661072</v>
      </c>
    </row>
    <row r="234" spans="2:6" x14ac:dyDescent="0.25">
      <c r="B234" s="5" vm="447">
        <f ca="1"/>
        <v>45615</v>
      </c>
      <c r="C234" vm="448">
        <f ca="1"/>
        <v>228.28</v>
      </c>
      <c r="E234" s="13">
        <f t="shared" ca="1" si="7"/>
        <v>1.1402508551880963E-3</v>
      </c>
      <c r="F234" s="7">
        <f t="shared" ca="1" si="8"/>
        <v>0.22969187675070035</v>
      </c>
    </row>
    <row r="235" spans="2:6" x14ac:dyDescent="0.25">
      <c r="B235" s="5" vm="449">
        <f ca="1"/>
        <v>45616</v>
      </c>
      <c r="C235" vm="25">
        <f ca="1"/>
        <v>229</v>
      </c>
      <c r="E235" s="13">
        <f t="shared" ca="1" si="7"/>
        <v>3.1540213772560666E-3</v>
      </c>
      <c r="F235" s="7">
        <f t="shared" ca="1" si="8"/>
        <v>0.2335703512174101</v>
      </c>
    </row>
    <row r="236" spans="2:6" x14ac:dyDescent="0.25">
      <c r="B236" s="5" vm="450">
        <f ca="1"/>
        <v>45617</v>
      </c>
      <c r="C236" vm="451">
        <f ca="1"/>
        <v>228.52</v>
      </c>
      <c r="E236" s="13">
        <f t="shared" ca="1" si="7"/>
        <v>-2.0960698689955759E-3</v>
      </c>
      <c r="F236" s="7">
        <f t="shared" ca="1" si="8"/>
        <v>0.23098470157293693</v>
      </c>
    </row>
    <row r="237" spans="2:6" x14ac:dyDescent="0.25">
      <c r="B237" s="5" vm="452">
        <f ca="1"/>
        <v>45618</v>
      </c>
      <c r="C237" vm="453">
        <f ca="1"/>
        <v>229.87</v>
      </c>
      <c r="E237" s="13">
        <f t="shared" ca="1" si="7"/>
        <v>5.9075792053211451E-3</v>
      </c>
      <c r="F237" s="7">
        <f t="shared" ca="1" si="8"/>
        <v>0.23825684119801771</v>
      </c>
    </row>
    <row r="238" spans="2:6" x14ac:dyDescent="0.25">
      <c r="B238" s="5" vm="454">
        <f ca="1"/>
        <v>45621</v>
      </c>
      <c r="C238" vm="455">
        <f ca="1"/>
        <v>232.87</v>
      </c>
      <c r="E238" s="13">
        <f t="shared" ca="1" si="7"/>
        <v>1.3050854830991332E-2</v>
      </c>
      <c r="F238" s="7">
        <f t="shared" ca="1" si="8"/>
        <v>0.25441715147597521</v>
      </c>
    </row>
    <row r="239" spans="2:6" x14ac:dyDescent="0.25">
      <c r="B239" s="5" vm="456">
        <f ca="1"/>
        <v>45622</v>
      </c>
      <c r="C239" vm="457">
        <f ca="1"/>
        <v>235.06</v>
      </c>
      <c r="E239" s="13">
        <f t="shared" ca="1" si="7"/>
        <v>9.4043887147334804E-3</v>
      </c>
      <c r="F239" s="7">
        <f t="shared" ca="1" si="8"/>
        <v>0.26621417797888403</v>
      </c>
    </row>
    <row r="240" spans="2:6" x14ac:dyDescent="0.25">
      <c r="B240" s="5" vm="458">
        <f ca="1"/>
        <v>45623</v>
      </c>
      <c r="C240" vm="459">
        <f ca="1"/>
        <v>234.93</v>
      </c>
      <c r="E240" s="13">
        <f t="shared" ca="1" si="7"/>
        <v>-5.530502850336072E-4</v>
      </c>
      <c r="F240" s="7">
        <f t="shared" ca="1" si="8"/>
        <v>0.26551389786683921</v>
      </c>
    </row>
    <row r="241" spans="2:6" x14ac:dyDescent="0.25">
      <c r="B241" s="5" vm="460">
        <f ca="1"/>
        <v>45625</v>
      </c>
      <c r="C241" vm="34">
        <f ca="1"/>
        <v>237.33</v>
      </c>
      <c r="E241" s="13">
        <f t="shared" ca="1" si="7"/>
        <v>1.0215808964372464E-2</v>
      </c>
      <c r="F241" s="7">
        <f t="shared" ca="1" si="8"/>
        <v>0.27844214608920503</v>
      </c>
    </row>
    <row r="242" spans="2:6" x14ac:dyDescent="0.25">
      <c r="B242" s="5" vm="461">
        <f ca="1"/>
        <v>45628</v>
      </c>
      <c r="C242" vm="462">
        <f ca="1"/>
        <v>239.59</v>
      </c>
      <c r="E242" s="13">
        <f t="shared" ca="1" si="7"/>
        <v>9.5226056545738569E-3</v>
      </c>
      <c r="F242" s="7">
        <f t="shared" ca="1" si="8"/>
        <v>0.29061624649859952</v>
      </c>
    </row>
    <row r="243" spans="2:6" x14ac:dyDescent="0.25">
      <c r="B243" s="5" vm="463">
        <f ca="1"/>
        <v>45629</v>
      </c>
      <c r="C243" vm="464">
        <f ca="1"/>
        <v>242.65</v>
      </c>
      <c r="E243" s="13">
        <f t="shared" ca="1" si="7"/>
        <v>1.2771818523310774E-2</v>
      </c>
      <c r="F243" s="7">
        <f t="shared" ca="1" si="8"/>
        <v>0.30709976298211594</v>
      </c>
    </row>
    <row r="244" spans="2:6" x14ac:dyDescent="0.25">
      <c r="B244" s="5" vm="465">
        <f ca="1"/>
        <v>45630</v>
      </c>
      <c r="C244" vm="466">
        <f ca="1"/>
        <v>243.01</v>
      </c>
      <c r="E244" s="13">
        <f t="shared" ca="1" si="7"/>
        <v>1.4836183803832448E-3</v>
      </c>
      <c r="F244" s="7">
        <f t="shared" ca="1" si="8"/>
        <v>0.30903900021547082</v>
      </c>
    </row>
    <row r="245" spans="2:6" x14ac:dyDescent="0.25">
      <c r="B245" s="5" vm="467">
        <f ca="1"/>
        <v>45631</v>
      </c>
      <c r="C245" vm="468">
        <f ca="1"/>
        <v>243.04</v>
      </c>
      <c r="E245" s="13">
        <f t="shared" ca="1" si="7"/>
        <v>1.2345170980609943E-4</v>
      </c>
      <c r="F245" s="7">
        <f t="shared" ca="1" si="8"/>
        <v>0.30920060331825039</v>
      </c>
    </row>
    <row r="246" spans="2:6" x14ac:dyDescent="0.25">
      <c r="B246" s="5" vm="469">
        <f ca="1"/>
        <v>45632</v>
      </c>
      <c r="C246" vm="470">
        <f ca="1"/>
        <v>242.84</v>
      </c>
      <c r="E246" s="13">
        <f t="shared" ca="1" si="7"/>
        <v>-8.2290980908483746E-4</v>
      </c>
      <c r="F246" s="7">
        <f t="shared" ca="1" si="8"/>
        <v>0.3081232492997199</v>
      </c>
    </row>
    <row r="247" spans="2:6" x14ac:dyDescent="0.25">
      <c r="B247" s="5" vm="471">
        <f ca="1"/>
        <v>45635</v>
      </c>
      <c r="C247" vm="472">
        <f ca="1"/>
        <v>246.75</v>
      </c>
      <c r="E247" s="13">
        <f t="shared" ca="1" si="7"/>
        <v>1.6101136550815243E-2</v>
      </c>
      <c r="F247" s="7">
        <f t="shared" ca="1" si="8"/>
        <v>0.32918552036199111</v>
      </c>
    </row>
    <row r="248" spans="2:6" x14ac:dyDescent="0.25">
      <c r="B248" s="5" vm="473">
        <f ca="1"/>
        <v>45636</v>
      </c>
      <c r="C248" vm="474">
        <f ca="1"/>
        <v>247.77</v>
      </c>
      <c r="E248" s="13">
        <f t="shared" ca="1" si="7"/>
        <v>4.1337386018236444E-3</v>
      </c>
      <c r="F248" s="7">
        <f t="shared" ca="1" si="8"/>
        <v>0.33468002585649659</v>
      </c>
    </row>
    <row r="249" spans="2:6" x14ac:dyDescent="0.25">
      <c r="B249" s="5" vm="475">
        <f ca="1"/>
        <v>45637</v>
      </c>
      <c r="C249" vm="476">
        <f ca="1"/>
        <v>246.49</v>
      </c>
      <c r="E249" s="13">
        <f t="shared" ca="1" si="7"/>
        <v>-5.1660814465027682E-3</v>
      </c>
      <c r="F249" s="7">
        <f t="shared" ca="1" si="8"/>
        <v>0.32778496013790148</v>
      </c>
    </row>
    <row r="250" spans="2:6" x14ac:dyDescent="0.25">
      <c r="B250" s="5" vm="477">
        <f ca="1"/>
        <v>45638</v>
      </c>
      <c r="C250" vm="478">
        <f ca="1"/>
        <v>247.96</v>
      </c>
      <c r="E250" s="13">
        <f t="shared" ca="1" si="7"/>
        <v>5.9637307801534423E-3</v>
      </c>
      <c r="F250" s="7">
        <f t="shared" ca="1" si="8"/>
        <v>0.33570351217410055</v>
      </c>
    </row>
    <row r="251" spans="2:6" x14ac:dyDescent="0.25">
      <c r="B251" s="5" vm="479">
        <f ca="1"/>
        <v>45639</v>
      </c>
      <c r="C251" vm="480">
        <f ca="1"/>
        <v>248.13</v>
      </c>
      <c r="E251" s="13">
        <f t="shared" ca="1" si="7"/>
        <v>6.85594450717808E-4</v>
      </c>
      <c r="F251" s="7">
        <f t="shared" ca="1" si="8"/>
        <v>0.33661926308985146</v>
      </c>
    </row>
    <row r="252" spans="2:6" x14ac:dyDescent="0.25">
      <c r="B252" s="5" vm="481">
        <f ca="1"/>
        <v>45642</v>
      </c>
      <c r="C252" vm="482">
        <f ca="1"/>
        <v>251.04</v>
      </c>
      <c r="E252" s="13">
        <f t="shared" ca="1" si="7"/>
        <v>1.1727723370813736E-2</v>
      </c>
      <c r="F252" s="7">
        <f t="shared" ca="1" si="8"/>
        <v>0.35229476405947002</v>
      </c>
    </row>
    <row r="253" spans="2:6" x14ac:dyDescent="0.25">
      <c r="B253" s="5" vm="483">
        <f ca="1"/>
        <v>45643</v>
      </c>
      <c r="C253" vm="484">
        <f ca="1"/>
        <v>253.48</v>
      </c>
      <c r="E253" s="13">
        <f t="shared" ca="1" si="7"/>
        <v>9.7195666029317174E-3</v>
      </c>
      <c r="F253" s="7">
        <f t="shared" ca="1" si="8"/>
        <v>0.36543848308554194</v>
      </c>
    </row>
    <row r="254" spans="2:6" x14ac:dyDescent="0.25">
      <c r="B254" s="5" vm="485">
        <f ca="1"/>
        <v>45644</v>
      </c>
      <c r="C254" vm="486">
        <f ca="1"/>
        <v>248.05</v>
      </c>
      <c r="E254" s="13">
        <f t="shared" ca="1" si="7"/>
        <v>-2.1421808426700273E-2</v>
      </c>
      <c r="F254" s="7">
        <f t="shared" ca="1" si="8"/>
        <v>0.33618832148243927</v>
      </c>
    </row>
    <row r="255" spans="2:6" x14ac:dyDescent="0.25">
      <c r="B255" s="5" vm="487">
        <f ca="1"/>
        <v>45645</v>
      </c>
      <c r="C255" vm="488">
        <f ca="1"/>
        <v>249.79</v>
      </c>
      <c r="E255" s="13">
        <f t="shared" ca="1" si="7"/>
        <v>7.0147147752468442E-3</v>
      </c>
      <c r="F255" s="7">
        <f t="shared" ca="1" si="8"/>
        <v>0.34556130144365449</v>
      </c>
    </row>
    <row r="256" spans="2:6" x14ac:dyDescent="0.25">
      <c r="B256" s="5" vm="489">
        <f ca="1"/>
        <v>45646</v>
      </c>
      <c r="C256" vm="490">
        <f ca="1"/>
        <v>254.49</v>
      </c>
      <c r="E256" s="13">
        <f t="shared" ca="1" si="7"/>
        <v>1.8815805276432229E-2</v>
      </c>
      <c r="F256" s="7">
        <f t="shared" ca="1" si="8"/>
        <v>0.37087912087912112</v>
      </c>
    </row>
    <row r="257" spans="2:6" x14ac:dyDescent="0.25">
      <c r="B257" s="5" vm="491">
        <f ca="1"/>
        <v>45649</v>
      </c>
      <c r="C257" vm="492">
        <f ca="1"/>
        <v>255.27</v>
      </c>
      <c r="E257" s="13">
        <f t="shared" ca="1" si="7"/>
        <v>3.0649534362843234E-3</v>
      </c>
      <c r="F257" s="7">
        <f t="shared" ca="1" si="8"/>
        <v>0.37508080155139001</v>
      </c>
    </row>
    <row r="258" spans="2:6" x14ac:dyDescent="0.25">
      <c r="B258" s="5" vm="493">
        <f ca="1"/>
        <v>45650</v>
      </c>
      <c r="C258" vm="494">
        <f ca="1"/>
        <v>258.2</v>
      </c>
      <c r="E258" s="13">
        <f t="shared" ca="1" si="7"/>
        <v>1.1478042856583048E-2</v>
      </c>
      <c r="F258" s="7">
        <f t="shared" ca="1" si="8"/>
        <v>0.3908640379228614</v>
      </c>
    </row>
    <row r="259" spans="2:6" x14ac:dyDescent="0.25">
      <c r="B259" s="5" vm="495">
        <f ca="1"/>
        <v>45652</v>
      </c>
      <c r="C259" vm="496">
        <f ca="1"/>
        <v>259.02</v>
      </c>
      <c r="E259" s="13">
        <f t="shared" ca="1" si="7"/>
        <v>3.175832687838831E-3</v>
      </c>
      <c r="F259" s="7">
        <f t="shared" ca="1" si="8"/>
        <v>0.39528118939883639</v>
      </c>
    </row>
    <row r="260" spans="2:6" x14ac:dyDescent="0.25">
      <c r="B260" s="5" vm="497">
        <f ca="1"/>
        <v>45653</v>
      </c>
      <c r="C260" vm="498">
        <f ca="1"/>
        <v>255.59</v>
      </c>
      <c r="E260" s="13">
        <f t="shared" ca="1" si="7"/>
        <v>-1.3242220677939898E-2</v>
      </c>
      <c r="F260" s="7">
        <f t="shared" ca="1" si="8"/>
        <v>0.37680456798103878</v>
      </c>
    </row>
    <row r="261" spans="2:6" x14ac:dyDescent="0.25">
      <c r="B261" s="5" vm="499">
        <f ca="1"/>
        <v>45656</v>
      </c>
      <c r="C261" vm="500">
        <f ca="1"/>
        <v>252.2</v>
      </c>
      <c r="E261" s="13">
        <f t="shared" ca="1" si="7"/>
        <v>-1.3263429711647623E-2</v>
      </c>
      <c r="F261" s="7">
        <f t="shared" ca="1" si="8"/>
        <v>0.35854341736694684</v>
      </c>
    </row>
    <row r="262" spans="2:6" ht="15.75" thickBot="1" x14ac:dyDescent="0.3">
      <c r="B262" s="8" vm="501">
        <f ca="1"/>
        <v>45657</v>
      </c>
      <c r="C262" s="9" vm="37">
        <f ca="1"/>
        <v>250.42</v>
      </c>
      <c r="D262" s="9"/>
      <c r="E262" s="15">
        <f t="shared" ca="1" si="7"/>
        <v>-7.0578905630451771E-3</v>
      </c>
      <c r="F262" s="12">
        <f t="shared" ca="1" si="8"/>
        <v>0.34895496660202552</v>
      </c>
    </row>
  </sheetData>
  <mergeCells count="4">
    <mergeCell ref="B2:F2"/>
    <mergeCell ref="B9:F9"/>
    <mergeCell ref="H9:J9"/>
    <mergeCell ref="H24:I24"/>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0C56-B515-4392-BF3D-39A27ADD3A26}">
  <sheetPr>
    <tabColor theme="5" tint="0.59999389629810485"/>
  </sheetPr>
  <dimension ref="B1:L32"/>
  <sheetViews>
    <sheetView showGridLines="0" workbookViewId="0">
      <selection activeCell="L13" sqref="L13"/>
    </sheetView>
  </sheetViews>
  <sheetFormatPr defaultRowHeight="15" x14ac:dyDescent="0.25"/>
  <cols>
    <col min="1" max="1" width="0.85546875" customWidth="1"/>
    <col min="2" max="2" width="18" customWidth="1"/>
    <col min="3" max="3" width="21.7109375" customWidth="1"/>
    <col min="4" max="4" width="22.42578125" customWidth="1"/>
    <col min="5" max="5" width="25.140625" customWidth="1"/>
    <col min="6" max="6" width="22.7109375" customWidth="1"/>
    <col min="7" max="7" width="26.5703125" customWidth="1"/>
    <col min="8" max="8" width="17.85546875" customWidth="1"/>
    <col min="9" max="9" width="17.28515625" customWidth="1"/>
    <col min="10" max="11" width="16.140625" customWidth="1"/>
    <col min="12" max="12" width="18.140625" customWidth="1"/>
  </cols>
  <sheetData>
    <row r="1" spans="2:9" ht="4.5" customHeight="1" thickBot="1" x14ac:dyDescent="0.3"/>
    <row r="2" spans="2:9" ht="24.75" thickBot="1" x14ac:dyDescent="0.45">
      <c r="B2" s="88" t="s">
        <v>35</v>
      </c>
      <c r="C2" s="89"/>
      <c r="D2" s="89"/>
      <c r="E2" s="89"/>
      <c r="F2" s="89"/>
      <c r="G2" s="89"/>
      <c r="H2" s="89"/>
      <c r="I2" s="90"/>
    </row>
    <row r="3" spans="2:9" ht="23.25" hidden="1" x14ac:dyDescent="0.35">
      <c r="B3" s="72"/>
      <c r="C3" s="73"/>
      <c r="D3" s="73"/>
      <c r="E3" s="73"/>
      <c r="F3" s="73"/>
      <c r="G3" s="73"/>
      <c r="H3" s="74">
        <v>100</v>
      </c>
      <c r="I3" s="73"/>
    </row>
    <row r="4" spans="2:9" ht="15.75" thickBot="1" x14ac:dyDescent="0.3">
      <c r="B4" s="75" t="s">
        <v>3</v>
      </c>
      <c r="C4" s="76" t="s">
        <v>36</v>
      </c>
      <c r="D4" s="76" t="s">
        <v>37</v>
      </c>
      <c r="E4" s="76" t="s">
        <v>38</v>
      </c>
      <c r="F4" s="76" t="s">
        <v>39</v>
      </c>
      <c r="G4" s="76" t="s">
        <v>40</v>
      </c>
      <c r="H4" s="76" t="s">
        <v>4</v>
      </c>
      <c r="I4" s="77" t="s">
        <v>41</v>
      </c>
    </row>
    <row r="5" spans="2:9" x14ac:dyDescent="0.25">
      <c r="B5" s="27" cm="1">
        <f t="array" ref="B5:B16">_xlfn.SEQUENCE(12,1,1/1/2024,32)</f>
        <v>4.9407114624505926E-4</v>
      </c>
      <c r="C5" s="25" cm="1">
        <f t="array" aca="1" ref="C5:C16" ca="1">'Parameters 1'!J11:J22</f>
        <v>-6.6795949148888978E-3</v>
      </c>
      <c r="D5" s="26" cm="1">
        <f t="array" ref="D5:D16">'Parameters 1'!I27:I38</f>
        <v>1.1034999999999999</v>
      </c>
      <c r="E5" s="26" cm="1">
        <f t="array" ref="E5:E16">'Parameters 1'!I26:I37</f>
        <v>1.0892999999999999</v>
      </c>
      <c r="F5" s="13" cm="1">
        <f t="array" ref="F5:F16">_xlfn.ANCHORARRAY(E5)/_xlfn.ANCHORARRAY(D5)-1</f>
        <v>-1.286814680561843E-2</v>
      </c>
      <c r="G5" s="13" cm="1">
        <f t="array" aca="1" ref="G5:G16" ca="1">(1+_xlfn.ANCHORARRAY(C5))*(1+_xlfn.ANCHORARRAY(F5))-1</f>
        <v>-1.9461787712540479E-2</v>
      </c>
      <c r="H5" s="55">
        <f ca="1">H3*(1+G5)</f>
        <v>98.053821228745946</v>
      </c>
      <c r="I5" s="53">
        <f ca="1">_xlfn.STDEV.S(H5:H16)/100</f>
        <v>0.15428180590065704</v>
      </c>
    </row>
    <row r="6" spans="2:9" x14ac:dyDescent="0.25">
      <c r="B6" s="27">
        <v>32.000494071146242</v>
      </c>
      <c r="C6" s="25">
        <f ca="1"/>
        <v>-1.9793926247288485E-2</v>
      </c>
      <c r="D6" s="26">
        <v>1.0874999999999999</v>
      </c>
      <c r="E6" s="26">
        <v>1.1034999999999999</v>
      </c>
      <c r="F6" s="13">
        <v>1.4712643678160831E-2</v>
      </c>
      <c r="G6" s="13">
        <f ca="1"/>
        <v>-5.3725035529957887E-3</v>
      </c>
      <c r="H6" s="51">
        <f ca="1">H5*(1+G6)</f>
        <v>97.527026725809691</v>
      </c>
    </row>
    <row r="7" spans="2:9" x14ac:dyDescent="0.25">
      <c r="B7" s="27">
        <v>64.00049407114625</v>
      </c>
      <c r="C7" s="25">
        <f ca="1"/>
        <v>-5.1286307053941993E-2</v>
      </c>
      <c r="D7" s="26">
        <v>1.0846</v>
      </c>
      <c r="E7" s="26">
        <v>1.0874999999999999</v>
      </c>
      <c r="F7" s="13">
        <v>2.673796791443861E-3</v>
      </c>
      <c r="G7" s="13">
        <f ca="1"/>
        <v>-4.8749639425743951E-2</v>
      </c>
      <c r="H7" s="51">
        <f t="shared" ref="H7:H16" ca="1" si="0">H6*(1+G7)</f>
        <v>92.772619338661571</v>
      </c>
    </row>
    <row r="8" spans="2:9" x14ac:dyDescent="0.25">
      <c r="B8" s="27">
        <v>96.00049407114625</v>
      </c>
      <c r="C8" s="25">
        <f ca="1"/>
        <v>-6.7063214369020852E-3</v>
      </c>
      <c r="D8" s="26">
        <v>1.0740000000000001</v>
      </c>
      <c r="E8" s="26">
        <v>1.0846</v>
      </c>
      <c r="F8" s="13">
        <v>9.8696461824951953E-3</v>
      </c>
      <c r="G8" s="13">
        <f ca="1"/>
        <v>3.0971357258247068E-3</v>
      </c>
      <c r="H8" s="51">
        <f t="shared" ca="1" si="0"/>
        <v>93.059948732393678</v>
      </c>
    </row>
    <row r="9" spans="2:9" x14ac:dyDescent="0.25">
      <c r="B9" s="27">
        <v>128.00049407114625</v>
      </c>
      <c r="C9" s="25">
        <f ca="1"/>
        <v>0.12869136382316682</v>
      </c>
      <c r="D9" s="26">
        <v>1.0716000000000001</v>
      </c>
      <c r="E9" s="26">
        <v>1.0740000000000001</v>
      </c>
      <c r="F9" s="13">
        <v>2.2396416573347011E-3</v>
      </c>
      <c r="G9" s="13">
        <f ca="1"/>
        <v>0.13121922801985919</v>
      </c>
      <c r="H9" s="51">
        <f t="shared" ca="1" si="0"/>
        <v>105.27120336462605</v>
      </c>
    </row>
    <row r="10" spans="2:9" x14ac:dyDescent="0.25">
      <c r="B10" s="27">
        <v>160.00049407114625</v>
      </c>
      <c r="C10" s="25">
        <f ca="1"/>
        <v>9.5552665799739867E-2</v>
      </c>
      <c r="D10" s="26">
        <v>1.0857000000000001</v>
      </c>
      <c r="E10" s="26">
        <v>1.0716000000000001</v>
      </c>
      <c r="F10" s="13">
        <v>-1.2987012987012991E-2</v>
      </c>
      <c r="G10" s="13">
        <f ca="1"/>
        <v>8.1324709101041837E-2</v>
      </c>
      <c r="H10" s="51">
        <f t="shared" ca="1" si="0"/>
        <v>113.83235335497088</v>
      </c>
    </row>
    <row r="11" spans="2:9" x14ac:dyDescent="0.25">
      <c r="B11" s="27">
        <v>192.00049407114625</v>
      </c>
      <c r="C11" s="25">
        <f ca="1"/>
        <v>5.4410787199696165E-2</v>
      </c>
      <c r="D11" s="26">
        <v>1.0737000000000001</v>
      </c>
      <c r="E11" s="26">
        <v>1.0857000000000001</v>
      </c>
      <c r="F11" s="13">
        <v>1.11763062307908E-2</v>
      </c>
      <c r="G11" s="13">
        <f ca="1"/>
        <v>6.6195205050489259E-2</v>
      </c>
      <c r="H11" s="51">
        <f t="shared" ca="1" si="0"/>
        <v>121.36750932668292</v>
      </c>
    </row>
    <row r="12" spans="2:9" x14ac:dyDescent="0.25">
      <c r="B12" s="27">
        <v>224.00049407114625</v>
      </c>
      <c r="C12" s="25">
        <f ca="1"/>
        <v>3.115994236311237E-2</v>
      </c>
      <c r="D12" s="26">
        <v>1.0789</v>
      </c>
      <c r="E12" s="26">
        <v>1.0737000000000001</v>
      </c>
      <c r="F12" s="13">
        <v>-4.8197237927517511E-3</v>
      </c>
      <c r="G12" s="13">
        <f ca="1"/>
        <v>2.6190036254772453E-2</v>
      </c>
      <c r="H12" s="51">
        <f t="shared" ca="1" si="0"/>
        <v>124.54612879610018</v>
      </c>
    </row>
    <row r="13" spans="2:9" x14ac:dyDescent="0.25">
      <c r="B13" s="27">
        <v>256.00049407114625</v>
      </c>
      <c r="C13" s="25">
        <f ca="1"/>
        <v>1.7467248908296984E-2</v>
      </c>
      <c r="D13" s="26">
        <v>1.1049</v>
      </c>
      <c r="E13" s="26">
        <v>1.0789</v>
      </c>
      <c r="F13" s="13">
        <v>-2.353154131595625E-2</v>
      </c>
      <c r="G13" s="13">
        <f ca="1"/>
        <v>-6.4753236970209738E-3</v>
      </c>
      <c r="H13" s="51">
        <f t="shared" ca="1" si="0"/>
        <v>123.73965229693457</v>
      </c>
    </row>
    <row r="14" spans="2:9" x14ac:dyDescent="0.25">
      <c r="B14" s="27">
        <v>288.00049407114625</v>
      </c>
      <c r="C14" s="25">
        <f ca="1"/>
        <v>-3.0429184549356281E-2</v>
      </c>
      <c r="D14" s="26">
        <v>1.1068</v>
      </c>
      <c r="E14" s="26">
        <v>1.1049</v>
      </c>
      <c r="F14" s="13">
        <v>-1.7166606432960085E-3</v>
      </c>
      <c r="G14" s="13">
        <f ca="1"/>
        <v>-3.2093608609128799E-2</v>
      </c>
      <c r="H14" s="51">
        <f t="shared" ca="1" si="0"/>
        <v>119.76840032668706</v>
      </c>
    </row>
    <row r="15" spans="2:9" x14ac:dyDescent="0.25">
      <c r="B15" s="27">
        <v>320.00049407114625</v>
      </c>
      <c r="C15" s="25">
        <f ca="1"/>
        <v>5.0551104422114967E-2</v>
      </c>
      <c r="D15" s="26">
        <v>1.087</v>
      </c>
      <c r="E15" s="26">
        <v>1.1068</v>
      </c>
      <c r="F15" s="13">
        <v>1.8215271389144361E-2</v>
      </c>
      <c r="G15" s="13">
        <f ca="1"/>
        <v>6.9687177897329144E-2</v>
      </c>
      <c r="H15" s="51">
        <f t="shared" ca="1" si="0"/>
        <v>128.11472214673142</v>
      </c>
    </row>
    <row r="16" spans="2:9" x14ac:dyDescent="0.25">
      <c r="B16" s="28">
        <v>352.00049407114625</v>
      </c>
      <c r="C16" s="29">
        <f ca="1"/>
        <v>5.5155269034677268E-2</v>
      </c>
      <c r="D16" s="30">
        <v>1.0543</v>
      </c>
      <c r="E16" s="30">
        <v>1.087</v>
      </c>
      <c r="F16" s="31">
        <v>3.1015839893768327E-2</v>
      </c>
      <c r="G16" s="31">
        <f ca="1"/>
        <v>8.7881795922122752E-2</v>
      </c>
      <c r="H16" s="52">
        <f t="shared" ca="1" si="0"/>
        <v>139.37367401304994</v>
      </c>
    </row>
    <row r="18" spans="2:12" ht="15.75" thickBot="1" x14ac:dyDescent="0.3"/>
    <row r="19" spans="2:12" ht="24.75" thickBot="1" x14ac:dyDescent="0.45">
      <c r="B19" s="91" t="s">
        <v>42</v>
      </c>
      <c r="C19" s="92"/>
      <c r="D19" s="92"/>
      <c r="E19" s="92"/>
      <c r="F19" s="92"/>
      <c r="G19" s="92"/>
      <c r="H19" s="92"/>
      <c r="I19" s="92"/>
      <c r="J19" s="92"/>
      <c r="K19" s="92"/>
      <c r="L19" s="93"/>
    </row>
    <row r="20" spans="2:12" ht="15.75" thickBot="1" x14ac:dyDescent="0.3">
      <c r="B20" s="36" t="s">
        <v>3</v>
      </c>
      <c r="C20" s="37" t="s">
        <v>36</v>
      </c>
      <c r="D20" s="37" t="s">
        <v>37</v>
      </c>
      <c r="E20" s="37" t="s">
        <v>38</v>
      </c>
      <c r="F20" s="37" t="s">
        <v>39</v>
      </c>
      <c r="G20" s="37" t="s">
        <v>43</v>
      </c>
      <c r="H20" s="37" t="s">
        <v>44</v>
      </c>
      <c r="I20" s="37" t="s">
        <v>48</v>
      </c>
      <c r="J20" s="37" t="s">
        <v>46</v>
      </c>
      <c r="K20" s="37" t="s">
        <v>5</v>
      </c>
      <c r="L20" s="54" t="s">
        <v>41</v>
      </c>
    </row>
    <row r="21" spans="2:12" x14ac:dyDescent="0.25">
      <c r="B21" s="27" cm="1">
        <f t="array" ref="B21:B32">_xlfn.SEQUENCE(12,1,1/1/2024,32)</f>
        <v>4.9407114624505926E-4</v>
      </c>
      <c r="C21" s="25" cm="1">
        <f t="array" aca="1" ref="C21:C32" ca="1">'Parameters 1'!J11:J22</f>
        <v>-6.6795949148888978E-3</v>
      </c>
      <c r="D21" s="26" cm="1">
        <f t="array" ref="D21:D32">'Parameters 1'!I27:I38</f>
        <v>1.1034999999999999</v>
      </c>
      <c r="E21" s="26" cm="1">
        <f t="array" ref="E21:E32">'Parameters 1'!I26:I37</f>
        <v>1.0892999999999999</v>
      </c>
      <c r="F21" s="13" cm="1">
        <f t="array" ref="F21:F32">_xlfn.ANCHORARRAY(D21)/_xlfn.ANCHORARRAY(E21)-1</f>
        <v>1.3035894611218124E-2</v>
      </c>
      <c r="G21" s="25">
        <f>'Parameters 1'!$F$4</f>
        <v>4.1666666666666666E-3</v>
      </c>
      <c r="H21" s="13">
        <f>'Parameters 1'!$F$5</f>
        <v>3.7499999999999999E-3</v>
      </c>
      <c r="I21" s="38">
        <f>E21*(1+G21)/(1+H21)</f>
        <v>1.0897521793275218</v>
      </c>
      <c r="J21" s="13">
        <f ca="1">(I21/E21)*(1+C21)-1</f>
        <v>-6.2672576774105426E-3</v>
      </c>
      <c r="K21" s="40">
        <f ca="1">H3*(1+J21)</f>
        <v>99.37327423225895</v>
      </c>
      <c r="L21" s="53">
        <f ca="1">_xlfn.STDEV.S(K21:K32)/100</f>
        <v>0.15207641477888748</v>
      </c>
    </row>
    <row r="22" spans="2:12" x14ac:dyDescent="0.25">
      <c r="B22" s="27">
        <v>32.000494071146242</v>
      </c>
      <c r="C22" s="25">
        <f ca="1"/>
        <v>-1.9793926247288485E-2</v>
      </c>
      <c r="D22" s="26">
        <v>1.0874999999999999</v>
      </c>
      <c r="E22" s="26">
        <v>1.1034999999999999</v>
      </c>
      <c r="F22" s="13">
        <v>-1.4499320344358857E-2</v>
      </c>
      <c r="G22" s="25">
        <f>'Parameters 1'!$F$4</f>
        <v>4.1666666666666666E-3</v>
      </c>
      <c r="H22" s="13">
        <f>'Parameters 1'!$F$5</f>
        <v>3.7499999999999999E-3</v>
      </c>
      <c r="I22" s="38">
        <f t="shared" ref="I22:I32" si="1">E22*(1+G22)/(1+H22)</f>
        <v>1.1039580738895809</v>
      </c>
      <c r="J22" s="13">
        <f t="shared" ref="J22:J32" ca="1" si="2">(I22/E22)*(1+C22)-1</f>
        <v>-1.9387032899943812E-2</v>
      </c>
      <c r="K22" s="51">
        <f ca="1">K21*(1+J22)</f>
        <v>97.446721295343011</v>
      </c>
    </row>
    <row r="23" spans="2:12" x14ac:dyDescent="0.25">
      <c r="B23" s="27">
        <v>64.00049407114625</v>
      </c>
      <c r="C23" s="25">
        <f ca="1"/>
        <v>-5.1286307053941993E-2</v>
      </c>
      <c r="D23" s="26">
        <v>1.0846</v>
      </c>
      <c r="E23" s="26">
        <v>1.0874999999999999</v>
      </c>
      <c r="F23" s="13">
        <v>-2.666666666666595E-3</v>
      </c>
      <c r="G23" s="25">
        <f>'Parameters 1'!$F$4</f>
        <v>4.1666666666666666E-3</v>
      </c>
      <c r="H23" s="13">
        <f>'Parameters 1'!$F$5</f>
        <v>3.7499999999999999E-3</v>
      </c>
      <c r="I23" s="38">
        <f t="shared" si="1"/>
        <v>1.0879514321295143</v>
      </c>
      <c r="J23" s="13">
        <f t="shared" ca="1" si="2"/>
        <v>-5.0892486508924861E-2</v>
      </c>
      <c r="K23" s="51">
        <f t="shared" ref="K23:K32" ca="1" si="3">K22*(1+J23)</f>
        <v>92.487415346480802</v>
      </c>
    </row>
    <row r="24" spans="2:12" x14ac:dyDescent="0.25">
      <c r="B24" s="27">
        <v>96.00049407114625</v>
      </c>
      <c r="C24" s="25">
        <f ca="1"/>
        <v>-6.7063214369020852E-3</v>
      </c>
      <c r="D24" s="26">
        <v>1.0740000000000001</v>
      </c>
      <c r="E24" s="26">
        <v>1.0846</v>
      </c>
      <c r="F24" s="13">
        <v>-9.7731882721739938E-3</v>
      </c>
      <c r="G24" s="25">
        <f>'Parameters 1'!$F$4</f>
        <v>4.1666666666666666E-3</v>
      </c>
      <c r="H24" s="13">
        <f>'Parameters 1'!$F$5</f>
        <v>3.7499999999999999E-3</v>
      </c>
      <c r="I24" s="38">
        <f t="shared" si="1"/>
        <v>1.0850502283105024</v>
      </c>
      <c r="J24" s="13">
        <f t="shared" ca="1" si="2"/>
        <v>-6.2939952938704247E-3</v>
      </c>
      <c r="K24" s="51">
        <f t="shared" ca="1" si="3"/>
        <v>91.905299989547814</v>
      </c>
    </row>
    <row r="25" spans="2:12" x14ac:dyDescent="0.25">
      <c r="B25" s="27">
        <v>128.00049407114625</v>
      </c>
      <c r="C25" s="25">
        <f ca="1"/>
        <v>0.12869136382316682</v>
      </c>
      <c r="D25" s="26">
        <v>1.0716000000000001</v>
      </c>
      <c r="E25" s="26">
        <v>1.0740000000000001</v>
      </c>
      <c r="F25" s="13">
        <v>-2.2346368715083775E-3</v>
      </c>
      <c r="G25" s="25">
        <f>'Parameters 1'!$F$4</f>
        <v>4.1666666666666666E-3</v>
      </c>
      <c r="H25" s="13">
        <f>'Parameters 1'!$F$5</f>
        <v>3.7499999999999999E-3</v>
      </c>
      <c r="I25" s="38">
        <f t="shared" si="1"/>
        <v>1.0744458281444584</v>
      </c>
      <c r="J25" s="13">
        <f t="shared" ca="1" si="2"/>
        <v>0.12915989489988888</v>
      </c>
      <c r="K25" s="51">
        <f t="shared" ca="1" si="3"/>
        <v>103.77577887694056</v>
      </c>
    </row>
    <row r="26" spans="2:12" x14ac:dyDescent="0.25">
      <c r="B26" s="27">
        <v>160.00049407114625</v>
      </c>
      <c r="C26" s="25">
        <f ca="1"/>
        <v>9.5552665799739867E-2</v>
      </c>
      <c r="D26" s="26">
        <v>1.0857000000000001</v>
      </c>
      <c r="E26" s="26">
        <v>1.0716000000000001</v>
      </c>
      <c r="F26" s="13">
        <v>1.3157894736842035E-2</v>
      </c>
      <c r="G26" s="25">
        <f>'Parameters 1'!$F$4</f>
        <v>4.1666666666666666E-3</v>
      </c>
      <c r="H26" s="13">
        <f>'Parameters 1'!$F$5</f>
        <v>3.7499999999999999E-3</v>
      </c>
      <c r="I26" s="38">
        <f t="shared" si="1"/>
        <v>1.0720448318804485</v>
      </c>
      <c r="J26" s="13">
        <f t="shared" ca="1" si="2"/>
        <v>9.6007440671387778E-2</v>
      </c>
      <c r="K26" s="51">
        <f t="shared" ca="1" si="3"/>
        <v>113.73902581059549</v>
      </c>
    </row>
    <row r="27" spans="2:12" x14ac:dyDescent="0.25">
      <c r="B27" s="27">
        <v>192.00049407114625</v>
      </c>
      <c r="C27" s="25">
        <f ca="1"/>
        <v>5.4410787199696165E-2</v>
      </c>
      <c r="D27" s="26">
        <v>1.0737000000000001</v>
      </c>
      <c r="E27" s="26">
        <v>1.0857000000000001</v>
      </c>
      <c r="F27" s="13">
        <v>-1.105277701022378E-2</v>
      </c>
      <c r="G27" s="25">
        <f>'Parameters 1'!$F$4</f>
        <v>4.1666666666666666E-3</v>
      </c>
      <c r="H27" s="13">
        <f>'Parameters 1'!$F$5</f>
        <v>3.7499999999999999E-3</v>
      </c>
      <c r="I27" s="38">
        <f t="shared" si="1"/>
        <v>1.086150684931507</v>
      </c>
      <c r="J27" s="13">
        <f t="shared" ca="1" si="2"/>
        <v>5.4848483665947745E-2</v>
      </c>
      <c r="K27" s="51">
        <f t="shared" ca="1" si="3"/>
        <v>119.97743890994875</v>
      </c>
    </row>
    <row r="28" spans="2:12" x14ac:dyDescent="0.25">
      <c r="B28" s="27">
        <v>224.00049407114625</v>
      </c>
      <c r="C28" s="25">
        <f ca="1"/>
        <v>3.115994236311237E-2</v>
      </c>
      <c r="D28" s="26">
        <v>1.0789</v>
      </c>
      <c r="E28" s="26">
        <v>1.0737000000000001</v>
      </c>
      <c r="F28" s="13">
        <v>4.8430660333425024E-3</v>
      </c>
      <c r="G28" s="25">
        <f>'Parameters 1'!$F$4</f>
        <v>4.1666666666666666E-3</v>
      </c>
      <c r="H28" s="13">
        <f>'Parameters 1'!$F$5</f>
        <v>3.7499999999999999E-3</v>
      </c>
      <c r="I28" s="38">
        <f t="shared" si="1"/>
        <v>1.0741457036114572</v>
      </c>
      <c r="J28" s="13">
        <f t="shared" ca="1" si="2"/>
        <v>3.1587987171067144E-2</v>
      </c>
      <c r="K28" s="51">
        <f t="shared" ca="1" si="3"/>
        <v>123.7672847110537</v>
      </c>
    </row>
    <row r="29" spans="2:12" x14ac:dyDescent="0.25">
      <c r="B29" s="27">
        <v>256.00049407114625</v>
      </c>
      <c r="C29" s="25">
        <f ca="1"/>
        <v>1.7467248908296984E-2</v>
      </c>
      <c r="D29" s="26">
        <v>1.1049</v>
      </c>
      <c r="E29" s="26">
        <v>1.0789</v>
      </c>
      <c r="F29" s="13">
        <v>2.4098618963759311E-2</v>
      </c>
      <c r="G29" s="25">
        <f>'Parameters 1'!$F$4</f>
        <v>4.1666666666666666E-3</v>
      </c>
      <c r="H29" s="13">
        <f>'Parameters 1'!$F$5</f>
        <v>3.7499999999999999E-3</v>
      </c>
      <c r="I29" s="38">
        <f t="shared" si="1"/>
        <v>1.0793478621834787</v>
      </c>
      <c r="J29" s="13">
        <f t="shared" ca="1" si="2"/>
        <v>1.7889609742214985E-2</v>
      </c>
      <c r="K29" s="51">
        <f t="shared" ca="1" si="3"/>
        <v>125.98143313338807</v>
      </c>
    </row>
    <row r="30" spans="2:12" x14ac:dyDescent="0.25">
      <c r="B30" s="27">
        <v>288.00049407114625</v>
      </c>
      <c r="C30" s="25">
        <f ca="1"/>
        <v>-3.0429184549356281E-2</v>
      </c>
      <c r="D30" s="26">
        <v>1.1068</v>
      </c>
      <c r="E30" s="26">
        <v>1.1049</v>
      </c>
      <c r="F30" s="13">
        <v>1.7196126346274987E-3</v>
      </c>
      <c r="G30" s="25">
        <f>'Parameters 1'!$F$4</f>
        <v>4.1666666666666666E-3</v>
      </c>
      <c r="H30" s="13">
        <f>'Parameters 1'!$F$5</f>
        <v>3.7499999999999999E-3</v>
      </c>
      <c r="I30" s="38">
        <f t="shared" si="1"/>
        <v>1.1053586550435865</v>
      </c>
      <c r="J30" s="13">
        <f t="shared" ca="1" si="2"/>
        <v>-3.0026706004129711E-2</v>
      </c>
      <c r="K30" s="51">
        <f t="shared" ca="1" si="3"/>
        <v>122.1986256787129</v>
      </c>
    </row>
    <row r="31" spans="2:12" x14ac:dyDescent="0.25">
      <c r="B31" s="27">
        <v>320.00049407114625</v>
      </c>
      <c r="C31" s="25">
        <f ca="1"/>
        <v>5.0551104422114967E-2</v>
      </c>
      <c r="D31" s="26">
        <v>1.087</v>
      </c>
      <c r="E31" s="26">
        <v>1.1068</v>
      </c>
      <c r="F31" s="13">
        <v>-1.7889410914347703E-2</v>
      </c>
      <c r="G31" s="25">
        <f>'Parameters 1'!$F$4</f>
        <v>4.1666666666666666E-3</v>
      </c>
      <c r="H31" s="13">
        <f>'Parameters 1'!$F$5</f>
        <v>3.7499999999999999E-3</v>
      </c>
      <c r="I31" s="38">
        <f t="shared" si="1"/>
        <v>1.1072594437525944</v>
      </c>
      <c r="J31" s="13">
        <f t="shared" ca="1" si="2"/>
        <v>5.0987198695432667E-2</v>
      </c>
      <c r="K31" s="51">
        <f t="shared" ca="1" si="3"/>
        <v>128.42919128650223</v>
      </c>
    </row>
    <row r="32" spans="2:12" x14ac:dyDescent="0.25">
      <c r="B32" s="28">
        <v>352.00049407114625</v>
      </c>
      <c r="C32" s="29">
        <f ca="1"/>
        <v>5.5155269034677268E-2</v>
      </c>
      <c r="D32" s="30">
        <v>1.0543</v>
      </c>
      <c r="E32" s="30">
        <v>1.087</v>
      </c>
      <c r="F32" s="31">
        <v>-3.0082796688132407E-2</v>
      </c>
      <c r="G32" s="29">
        <f>'Parameters 1'!$F$4</f>
        <v>4.1666666666666666E-3</v>
      </c>
      <c r="H32" s="31">
        <f>'Parameters 1'!$F$5</f>
        <v>3.7499999999999999E-3</v>
      </c>
      <c r="I32" s="39">
        <f t="shared" si="1"/>
        <v>1.0874512245745123</v>
      </c>
      <c r="J32" s="31">
        <f t="shared" ca="1" si="2"/>
        <v>5.5593274542786286E-2</v>
      </c>
      <c r="K32" s="52">
        <f t="shared" ca="1" si="3"/>
        <v>135.56899057700076</v>
      </c>
    </row>
  </sheetData>
  <mergeCells count="2">
    <mergeCell ref="B2:I2"/>
    <mergeCell ref="B19:L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3086-7D95-42FB-A642-DBE02011A280}">
  <sheetPr>
    <tabColor theme="5" tint="0.39997558519241921"/>
  </sheetPr>
  <dimension ref="B1:P16"/>
  <sheetViews>
    <sheetView showGridLines="0" zoomScaleNormal="100" workbookViewId="0">
      <selection activeCell="R24" sqref="R24"/>
    </sheetView>
  </sheetViews>
  <sheetFormatPr defaultRowHeight="15" x14ac:dyDescent="0.25"/>
  <cols>
    <col min="1" max="1" width="0.5703125" customWidth="1"/>
    <col min="2" max="5" width="2.7109375" customWidth="1"/>
    <col min="6" max="6" width="20.85546875" customWidth="1"/>
    <col min="7" max="7" width="10.42578125" customWidth="1"/>
    <col min="8" max="8" width="10.7109375" customWidth="1"/>
    <col min="9" max="9" width="10.28515625" bestFit="1" customWidth="1"/>
    <col min="10" max="12" width="15.5703125" customWidth="1"/>
    <col min="14" max="14" width="17.5703125" hidden="1" customWidth="1"/>
    <col min="15" max="16" width="23.28515625" hidden="1" customWidth="1"/>
  </cols>
  <sheetData>
    <row r="1" spans="2:16" ht="2.25" customHeight="1" thickBot="1" x14ac:dyDescent="0.3"/>
    <row r="2" spans="2:16" ht="15.75" thickBot="1" x14ac:dyDescent="0.3">
      <c r="B2" s="94" t="s">
        <v>57</v>
      </c>
      <c r="C2" s="95"/>
      <c r="D2" s="95"/>
      <c r="E2" s="95"/>
      <c r="F2" s="95"/>
      <c r="G2" s="95"/>
      <c r="H2" s="96"/>
      <c r="J2" s="97" t="s">
        <v>58</v>
      </c>
      <c r="K2" s="98"/>
      <c r="L2" s="99"/>
      <c r="N2" s="24" t="s">
        <v>0</v>
      </c>
      <c r="O2" t="s">
        <v>47</v>
      </c>
      <c r="P2" t="s">
        <v>1</v>
      </c>
    </row>
    <row r="3" spans="2:16" x14ac:dyDescent="0.25">
      <c r="B3" s="60" t="s">
        <v>3</v>
      </c>
      <c r="G3" s="61" t="s">
        <v>50</v>
      </c>
      <c r="H3" s="62" t="s">
        <v>51</v>
      </c>
      <c r="J3" s="84" t="s">
        <v>3</v>
      </c>
      <c r="K3" s="61" t="s">
        <v>4</v>
      </c>
      <c r="L3" s="62" t="s">
        <v>5</v>
      </c>
      <c r="N3" s="80">
        <v>4.9768518518518521E-4</v>
      </c>
      <c r="O3">
        <v>98.053821228745946</v>
      </c>
      <c r="P3">
        <v>99.37327423225895</v>
      </c>
    </row>
    <row r="4" spans="2:16" x14ac:dyDescent="0.25">
      <c r="B4" s="46"/>
      <c r="C4" t="str" cm="1">
        <f t="array" ref="C4:C15">+'Parameters 1'!H11:H22</f>
        <v>January</v>
      </c>
      <c r="G4" s="13" cm="1">
        <f t="array" aca="1" ref="G4:G15" ca="1">+'Hedged vs Unhedged Returns'!J21:J32</f>
        <v>-6.2672576774105426E-3</v>
      </c>
      <c r="H4" s="47" cm="1">
        <f t="array" aca="1" ref="H4:H15" ca="1">_xlfn.ANCHORARRAY('Hedged vs Unhedged Returns'!G5)</f>
        <v>-1.9461787712540479E-2</v>
      </c>
      <c r="J4" s="78" cm="1">
        <f t="array" ref="J4:J15">+_xlfn.SEQUENCE(12,1,1/1/2024,31)</f>
        <v>4.9407114624505926E-4</v>
      </c>
      <c r="K4">
        <v>98.053821228745946</v>
      </c>
      <c r="L4" s="41">
        <v>99.37327423225895</v>
      </c>
      <c r="N4" s="80">
        <v>31.000497685185184</v>
      </c>
      <c r="O4">
        <v>97.527026725809691</v>
      </c>
      <c r="P4">
        <v>97.446721295343011</v>
      </c>
    </row>
    <row r="5" spans="2:16" x14ac:dyDescent="0.25">
      <c r="B5" s="46"/>
      <c r="C5" s="56" t="str">
        <v>February</v>
      </c>
      <c r="G5" s="13">
        <f ca="1"/>
        <v>-1.9387032899943812E-2</v>
      </c>
      <c r="H5" s="47">
        <f ca="1"/>
        <v>-5.3725035529957887E-3</v>
      </c>
      <c r="J5" s="78">
        <v>31.000494071146246</v>
      </c>
      <c r="K5">
        <v>97.527026725809691</v>
      </c>
      <c r="L5" s="41">
        <v>97.446721295343011</v>
      </c>
      <c r="N5" s="80">
        <v>62.000497685185188</v>
      </c>
      <c r="O5">
        <v>92.772619338661571</v>
      </c>
      <c r="P5">
        <v>92.487415346480802</v>
      </c>
    </row>
    <row r="6" spans="2:16" x14ac:dyDescent="0.25">
      <c r="B6" s="46"/>
      <c r="C6" s="56" t="str">
        <v>March</v>
      </c>
      <c r="G6" s="13">
        <f ca="1"/>
        <v>-5.0892486508924861E-2</v>
      </c>
      <c r="H6" s="47">
        <f ca="1"/>
        <v>-4.8749639425743951E-2</v>
      </c>
      <c r="J6" s="78">
        <v>62.00049407114625</v>
      </c>
      <c r="K6">
        <v>92.772619338661571</v>
      </c>
      <c r="L6" s="41">
        <v>92.487415346480802</v>
      </c>
      <c r="N6" s="80">
        <v>93.000497685185181</v>
      </c>
      <c r="O6">
        <v>93.059948732393678</v>
      </c>
      <c r="P6">
        <v>91.905299989547814</v>
      </c>
    </row>
    <row r="7" spans="2:16" x14ac:dyDescent="0.25">
      <c r="B7" s="46"/>
      <c r="C7" s="56" t="str">
        <v>April</v>
      </c>
      <c r="G7" s="13">
        <f ca="1"/>
        <v>-6.2939952938704247E-3</v>
      </c>
      <c r="H7" s="47">
        <f ca="1"/>
        <v>3.0971357258247068E-3</v>
      </c>
      <c r="J7" s="78">
        <v>93.00049407114625</v>
      </c>
      <c r="K7">
        <v>93.059948732393678</v>
      </c>
      <c r="L7" s="41">
        <v>91.905299989547814</v>
      </c>
      <c r="N7" s="80">
        <v>124.00049768518518</v>
      </c>
      <c r="O7">
        <v>105.27120336462605</v>
      </c>
      <c r="P7">
        <v>103.77577887694056</v>
      </c>
    </row>
    <row r="8" spans="2:16" x14ac:dyDescent="0.25">
      <c r="B8" s="46"/>
      <c r="C8" s="56" t="str">
        <v>May</v>
      </c>
      <c r="G8" s="13">
        <f ca="1"/>
        <v>0.12915989489988888</v>
      </c>
      <c r="H8" s="47">
        <f ca="1"/>
        <v>0.13121922801985919</v>
      </c>
      <c r="J8" s="78">
        <v>124.00049407114625</v>
      </c>
      <c r="K8">
        <v>105.27120336462605</v>
      </c>
      <c r="L8" s="41">
        <v>103.77577887694056</v>
      </c>
      <c r="N8" s="80">
        <v>155.00049768518519</v>
      </c>
      <c r="O8">
        <v>113.83235335497088</v>
      </c>
      <c r="P8">
        <v>113.73902581059549</v>
      </c>
    </row>
    <row r="9" spans="2:16" x14ac:dyDescent="0.25">
      <c r="B9" s="46"/>
      <c r="C9" s="56" t="str">
        <v>June</v>
      </c>
      <c r="G9" s="13">
        <f ca="1"/>
        <v>9.6007440671387778E-2</v>
      </c>
      <c r="H9" s="47">
        <f ca="1"/>
        <v>8.1324709101041837E-2</v>
      </c>
      <c r="J9" s="78">
        <v>155.00049407114625</v>
      </c>
      <c r="K9">
        <v>113.83235335497088</v>
      </c>
      <c r="L9" s="41">
        <v>113.73902581059549</v>
      </c>
      <c r="N9" s="80">
        <v>186.00049768518519</v>
      </c>
      <c r="O9">
        <v>121.36750932668292</v>
      </c>
      <c r="P9">
        <v>119.97743890994875</v>
      </c>
    </row>
    <row r="10" spans="2:16" x14ac:dyDescent="0.25">
      <c r="B10" s="46"/>
      <c r="C10" s="56" t="str">
        <v>July</v>
      </c>
      <c r="G10" s="13">
        <f ca="1"/>
        <v>5.4848483665947745E-2</v>
      </c>
      <c r="H10" s="47">
        <f ca="1"/>
        <v>6.6195205050489259E-2</v>
      </c>
      <c r="J10" s="78">
        <v>186.00049407114625</v>
      </c>
      <c r="K10">
        <v>121.36750932668292</v>
      </c>
      <c r="L10" s="41">
        <v>119.97743890994875</v>
      </c>
      <c r="N10" s="80">
        <v>217.00049768518519</v>
      </c>
      <c r="O10">
        <v>124.54612879610018</v>
      </c>
      <c r="P10">
        <v>123.7672847110537</v>
      </c>
    </row>
    <row r="11" spans="2:16" x14ac:dyDescent="0.25">
      <c r="B11" s="46"/>
      <c r="C11" s="56" t="str">
        <v>August</v>
      </c>
      <c r="G11" s="13">
        <f ca="1"/>
        <v>3.1587987171067144E-2</v>
      </c>
      <c r="H11" s="47">
        <f ca="1"/>
        <v>2.6190036254772453E-2</v>
      </c>
      <c r="J11" s="78">
        <v>217.00049407114625</v>
      </c>
      <c r="K11">
        <v>124.54612879610018</v>
      </c>
      <c r="L11" s="41">
        <v>123.7672847110537</v>
      </c>
      <c r="N11" s="80">
        <v>248.00049768518519</v>
      </c>
      <c r="O11">
        <v>123.73965229693457</v>
      </c>
      <c r="P11">
        <v>125.98143313338807</v>
      </c>
    </row>
    <row r="12" spans="2:16" x14ac:dyDescent="0.25">
      <c r="B12" s="46"/>
      <c r="C12" s="56" t="str">
        <v>September</v>
      </c>
      <c r="G12" s="13">
        <f ca="1"/>
        <v>1.7889609742214985E-2</v>
      </c>
      <c r="H12" s="47">
        <f ca="1"/>
        <v>-6.4753236970209738E-3</v>
      </c>
      <c r="J12" s="78">
        <v>248.00049407114625</v>
      </c>
      <c r="K12">
        <v>123.73965229693457</v>
      </c>
      <c r="L12" s="41">
        <v>125.98143313338807</v>
      </c>
      <c r="N12" s="80">
        <v>279.00049768518517</v>
      </c>
      <c r="O12">
        <v>119.76840032668706</v>
      </c>
      <c r="P12">
        <v>122.1986256787129</v>
      </c>
    </row>
    <row r="13" spans="2:16" x14ac:dyDescent="0.25">
      <c r="B13" s="46"/>
      <c r="C13" s="56" t="str">
        <v>October</v>
      </c>
      <c r="G13" s="13">
        <f ca="1"/>
        <v>-3.0026706004129711E-2</v>
      </c>
      <c r="H13" s="47">
        <f ca="1"/>
        <v>-3.2093608609128799E-2</v>
      </c>
      <c r="J13" s="78">
        <v>279.00049407114625</v>
      </c>
      <c r="K13">
        <v>119.76840032668706</v>
      </c>
      <c r="L13" s="41">
        <v>122.1986256787129</v>
      </c>
      <c r="N13" s="80">
        <v>310.00049768518517</v>
      </c>
      <c r="O13">
        <v>128.11472214673142</v>
      </c>
      <c r="P13">
        <v>128.42919128650223</v>
      </c>
    </row>
    <row r="14" spans="2:16" x14ac:dyDescent="0.25">
      <c r="B14" s="46"/>
      <c r="C14" s="56" t="str">
        <v>November</v>
      </c>
      <c r="G14" s="13">
        <f ca="1"/>
        <v>5.0987198695432667E-2</v>
      </c>
      <c r="H14" s="47">
        <f ca="1"/>
        <v>6.9687177897329144E-2</v>
      </c>
      <c r="J14" s="78">
        <v>310.00049407114625</v>
      </c>
      <c r="K14">
        <v>128.11472214673142</v>
      </c>
      <c r="L14" s="41">
        <v>128.42919128650223</v>
      </c>
      <c r="N14" s="80">
        <v>341.00049768518517</v>
      </c>
      <c r="O14">
        <v>139.37367401304994</v>
      </c>
      <c r="P14">
        <v>135.56899057700076</v>
      </c>
    </row>
    <row r="15" spans="2:16" x14ac:dyDescent="0.25">
      <c r="B15" s="46"/>
      <c r="C15" s="56" t="str">
        <v>December</v>
      </c>
      <c r="G15" s="13">
        <f ca="1"/>
        <v>5.5593274542786286E-2</v>
      </c>
      <c r="H15" s="47">
        <f ca="1"/>
        <v>8.7881795922122752E-2</v>
      </c>
      <c r="J15" s="79">
        <v>341.00049407114625</v>
      </c>
      <c r="K15" s="45">
        <v>139.37367401304994</v>
      </c>
      <c r="L15" s="43">
        <v>135.56899057700076</v>
      </c>
      <c r="N15" s="80" t="s">
        <v>2</v>
      </c>
      <c r="O15">
        <v>1357.4270596513938</v>
      </c>
      <c r="P15">
        <v>1354.6504798477729</v>
      </c>
    </row>
    <row r="16" spans="2:16" x14ac:dyDescent="0.25">
      <c r="B16" s="57" t="s">
        <v>52</v>
      </c>
      <c r="C16" s="45"/>
      <c r="D16" s="45"/>
      <c r="E16" s="45"/>
      <c r="F16" s="45"/>
      <c r="G16" s="58">
        <f ca="1">('Hedged vs Unhedged Returns'!K32-100)/100</f>
        <v>0.35568990577000759</v>
      </c>
      <c r="H16" s="59">
        <f ca="1">('Hedged vs Unhedged Returns'!H16-100)/100</f>
        <v>0.39373674013049936</v>
      </c>
    </row>
  </sheetData>
  <mergeCells count="2">
    <mergeCell ref="B2:H2"/>
    <mergeCell ref="J2:L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7D1C-123B-4971-A26B-15F8F4C97DB9}">
  <sheetPr>
    <tabColor theme="3" tint="0.89999084444715716"/>
  </sheetPr>
  <dimension ref="B1:J262"/>
  <sheetViews>
    <sheetView showGridLines="0" topLeftCell="A13" workbookViewId="0">
      <selection activeCell="H23" sqref="H23:I39"/>
    </sheetView>
  </sheetViews>
  <sheetFormatPr defaultRowHeight="15" x14ac:dyDescent="0.25"/>
  <cols>
    <col min="1" max="1" width="0.85546875" customWidth="1"/>
    <col min="2" max="2" width="31.5703125" customWidth="1"/>
    <col min="3" max="3" width="28.7109375" customWidth="1"/>
    <col min="4" max="4" width="2" customWidth="1"/>
    <col min="5" max="5" width="26.7109375" customWidth="1"/>
    <col min="6" max="6" width="19.28515625" customWidth="1"/>
    <col min="7" max="7" width="2.85546875" customWidth="1"/>
    <col min="8" max="8" width="16" customWidth="1"/>
    <col min="9" max="9" width="45.7109375" customWidth="1"/>
    <col min="10" max="10" width="20.7109375" customWidth="1"/>
    <col min="12" max="12" width="15.28515625" customWidth="1"/>
    <col min="13" max="13" width="29" customWidth="1"/>
  </cols>
  <sheetData>
    <row r="1" spans="2:10" ht="4.5" customHeight="1" thickBot="1" x14ac:dyDescent="0.3"/>
    <row r="2" spans="2:10" ht="15.75" thickBot="1" x14ac:dyDescent="0.3">
      <c r="B2" s="100" t="s">
        <v>60</v>
      </c>
      <c r="C2" s="101"/>
      <c r="D2" s="101"/>
      <c r="E2" s="101"/>
      <c r="F2" s="102"/>
    </row>
    <row r="3" spans="2:10" x14ac:dyDescent="0.25">
      <c r="B3" s="1" t="s">
        <v>6</v>
      </c>
      <c r="C3" s="3">
        <v>45292</v>
      </c>
      <c r="D3" s="2"/>
      <c r="E3" s="2" t="s">
        <v>7</v>
      </c>
      <c r="F3" s="11">
        <v>45657</v>
      </c>
    </row>
    <row r="4" spans="2:10" x14ac:dyDescent="0.25">
      <c r="B4" s="5" t="s">
        <v>8</v>
      </c>
      <c r="C4" s="6">
        <v>0.05</v>
      </c>
      <c r="E4" t="s">
        <v>9</v>
      </c>
      <c r="F4" s="63">
        <f>C4/12</f>
        <v>4.1666666666666666E-3</v>
      </c>
    </row>
    <row r="5" spans="2:10" x14ac:dyDescent="0.25">
      <c r="B5" s="5" t="s">
        <v>55</v>
      </c>
      <c r="C5" s="6">
        <v>0.32</v>
      </c>
      <c r="E5" t="s">
        <v>11</v>
      </c>
      <c r="F5" s="63">
        <f>C5/12</f>
        <v>2.6666666666666668E-2</v>
      </c>
    </row>
    <row r="6" spans="2:10" ht="15.75" thickBot="1" x14ac:dyDescent="0.3">
      <c r="B6" s="8" t="s">
        <v>12</v>
      </c>
      <c r="C6" s="14" t="e" vm="1">
        <v>#VALUE!</v>
      </c>
      <c r="D6" s="9"/>
      <c r="E6" s="9" t="s">
        <v>59</v>
      </c>
      <c r="F6" s="10"/>
    </row>
    <row r="8" spans="2:10" ht="15.75" thickBot="1" x14ac:dyDescent="0.3"/>
    <row r="9" spans="2:10" ht="15.75" thickBot="1" x14ac:dyDescent="0.3">
      <c r="B9" s="100" t="s">
        <v>13</v>
      </c>
      <c r="C9" s="101"/>
      <c r="D9" s="101"/>
      <c r="E9" s="101"/>
      <c r="F9" s="102"/>
      <c r="H9" s="100" t="s">
        <v>14</v>
      </c>
      <c r="I9" s="101"/>
      <c r="J9" s="102"/>
    </row>
    <row r="10" spans="2:10" ht="15.75" thickBot="1" x14ac:dyDescent="0.3">
      <c r="B10" s="16" t="s">
        <v>16</v>
      </c>
      <c r="C10" s="17" t="s">
        <v>17</v>
      </c>
      <c r="D10" s="17"/>
      <c r="E10" s="17" t="s">
        <v>18</v>
      </c>
      <c r="F10" s="18" t="s">
        <v>19</v>
      </c>
      <c r="H10" s="16" t="s">
        <v>3</v>
      </c>
      <c r="I10" s="17" t="s">
        <v>20</v>
      </c>
      <c r="J10" s="18" t="s">
        <v>19</v>
      </c>
    </row>
    <row r="11" spans="2:10" x14ac:dyDescent="0.25">
      <c r="B11" s="1" cm="1" vm="2">
        <f t="array" aca="1" ref="B11:C262" ca="1">_xlfn.STOCKHISTORY(C6,C3,F3,0,0,0,1)</f>
        <v>45293</v>
      </c>
      <c r="C11" s="2" vm="3">
        <f ca="1"/>
        <v>185.64</v>
      </c>
      <c r="D11" s="2"/>
      <c r="E11" s="2"/>
      <c r="F11" s="4"/>
      <c r="H11" s="19" t="s">
        <v>21</v>
      </c>
      <c r="I11" s="2" vm="4">
        <f ca="1">C31</f>
        <v>184.4</v>
      </c>
      <c r="J11" s="20">
        <f ca="1">I11/C11-1</f>
        <v>-6.6795949148888978E-3</v>
      </c>
    </row>
    <row r="12" spans="2:10" x14ac:dyDescent="0.25">
      <c r="B12" s="5" vm="5">
        <f ca="1"/>
        <v>45294</v>
      </c>
      <c r="C12" vm="6">
        <f ca="1"/>
        <v>184.25</v>
      </c>
      <c r="E12" s="13">
        <f ca="1">C12/C11-1</f>
        <v>-7.4876104287868728E-3</v>
      </c>
      <c r="F12" s="7">
        <f ca="1">C12/$C$11-1</f>
        <v>-7.4876104287868728E-3</v>
      </c>
      <c r="H12" s="21" t="s">
        <v>23</v>
      </c>
      <c r="I12" vm="7">
        <f ca="1">C51</f>
        <v>180.75</v>
      </c>
      <c r="J12" s="7">
        <f ca="1">I12/I11-1</f>
        <v>-1.9793926247288485E-2</v>
      </c>
    </row>
    <row r="13" spans="2:10" x14ac:dyDescent="0.25">
      <c r="B13" s="5" vm="8">
        <f ca="1"/>
        <v>45295</v>
      </c>
      <c r="C13" vm="9">
        <f ca="1"/>
        <v>181.91</v>
      </c>
      <c r="E13" s="13">
        <f t="shared" ref="E13:E76" ca="1" si="0">C13/C12-1</f>
        <v>-1.2700135685210334E-2</v>
      </c>
      <c r="F13" s="7">
        <f t="shared" ref="F13:F76" ca="1" si="1">C13/$C$11-1</f>
        <v>-2.0092652445593551E-2</v>
      </c>
      <c r="H13" s="21" t="s">
        <v>24</v>
      </c>
      <c r="I13" vm="10">
        <f ca="1">C71</f>
        <v>171.48</v>
      </c>
      <c r="J13" s="7">
        <f t="shared" ref="J13:J22" ca="1" si="2">I13/I12-1</f>
        <v>-5.1286307053941993E-2</v>
      </c>
    </row>
    <row r="14" spans="2:10" x14ac:dyDescent="0.25">
      <c r="B14" s="5" vm="11">
        <f ca="1"/>
        <v>45296</v>
      </c>
      <c r="C14" vm="12">
        <f ca="1"/>
        <v>181.18</v>
      </c>
      <c r="E14" s="13">
        <f t="shared" ca="1" si="0"/>
        <v>-4.0129734484084523E-3</v>
      </c>
      <c r="F14" s="7">
        <f t="shared" ca="1" si="1"/>
        <v>-2.4024994613229822E-2</v>
      </c>
      <c r="H14" s="21" t="s">
        <v>25</v>
      </c>
      <c r="I14" vm="13">
        <f ca="1">C93</f>
        <v>170.33</v>
      </c>
      <c r="J14" s="7">
        <f t="shared" ca="1" si="2"/>
        <v>-6.7063214369020852E-3</v>
      </c>
    </row>
    <row r="15" spans="2:10" x14ac:dyDescent="0.25">
      <c r="B15" s="5" vm="14">
        <f ca="1"/>
        <v>45299</v>
      </c>
      <c r="C15" vm="15">
        <f ca="1"/>
        <v>185.56</v>
      </c>
      <c r="E15" s="13">
        <f t="shared" ca="1" si="0"/>
        <v>2.4174853736615542E-2</v>
      </c>
      <c r="F15" s="7">
        <f t="shared" ca="1" si="1"/>
        <v>-4.3094160741208309E-4</v>
      </c>
      <c r="H15" s="21" t="s">
        <v>26</v>
      </c>
      <c r="I15" vm="16">
        <f ca="1">C115</f>
        <v>192.25</v>
      </c>
      <c r="J15" s="7">
        <f t="shared" ca="1" si="2"/>
        <v>0.12869136382316682</v>
      </c>
    </row>
    <row r="16" spans="2:10" x14ac:dyDescent="0.25">
      <c r="B16" s="5" vm="17">
        <f ca="1"/>
        <v>45300</v>
      </c>
      <c r="C16" vm="18">
        <f ca="1"/>
        <v>185.14</v>
      </c>
      <c r="E16" s="13">
        <f t="shared" ca="1" si="0"/>
        <v>-2.2634188402673727E-3</v>
      </c>
      <c r="F16" s="7">
        <f t="shared" ca="1" si="1"/>
        <v>-2.6933850463262132E-3</v>
      </c>
      <c r="H16" s="21" t="s">
        <v>27</v>
      </c>
      <c r="I16" vm="19">
        <f ca="1">C134</f>
        <v>210.62</v>
      </c>
      <c r="J16" s="7">
        <f t="shared" ca="1" si="2"/>
        <v>9.5552665799739867E-2</v>
      </c>
    </row>
    <row r="17" spans="2:10" x14ac:dyDescent="0.25">
      <c r="B17" s="5" vm="20">
        <f ca="1"/>
        <v>45301</v>
      </c>
      <c r="C17" vm="21">
        <f ca="1"/>
        <v>186.19</v>
      </c>
      <c r="E17" s="13">
        <f t="shared" ca="1" si="0"/>
        <v>5.6713838176516429E-3</v>
      </c>
      <c r="F17" s="7">
        <f t="shared" ca="1" si="1"/>
        <v>2.9627235509588346E-3</v>
      </c>
      <c r="H17" s="21" t="s">
        <v>28</v>
      </c>
      <c r="I17" vm="22">
        <f ca="1">C156</f>
        <v>222.08</v>
      </c>
      <c r="J17" s="7">
        <f t="shared" ca="1" si="2"/>
        <v>5.4410787199696165E-2</v>
      </c>
    </row>
    <row r="18" spans="2:10" x14ac:dyDescent="0.25">
      <c r="B18" s="5" vm="23">
        <f ca="1"/>
        <v>45302</v>
      </c>
      <c r="C18" vm="24">
        <f ca="1"/>
        <v>185.59</v>
      </c>
      <c r="E18" s="13">
        <f t="shared" ca="1" si="0"/>
        <v>-3.2225146355873147E-3</v>
      </c>
      <c r="F18" s="7">
        <f t="shared" ca="1" si="1"/>
        <v>-2.693385046325103E-4</v>
      </c>
      <c r="H18" s="21" t="s">
        <v>29</v>
      </c>
      <c r="I18" vm="25">
        <f ca="1">C178</f>
        <v>229</v>
      </c>
      <c r="J18" s="7">
        <f t="shared" ca="1" si="2"/>
        <v>3.115994236311237E-2</v>
      </c>
    </row>
    <row r="19" spans="2:10" x14ac:dyDescent="0.25">
      <c r="B19" s="5" vm="26">
        <f ca="1"/>
        <v>45303</v>
      </c>
      <c r="C19" vm="27">
        <f ca="1"/>
        <v>185.92</v>
      </c>
      <c r="E19" s="13">
        <f t="shared" ca="1" si="0"/>
        <v>1.7781130448837335E-3</v>
      </c>
      <c r="F19" s="7">
        <f t="shared" ca="1" si="1"/>
        <v>1.5082956259426794E-3</v>
      </c>
      <c r="H19" s="21" t="s">
        <v>30</v>
      </c>
      <c r="I19" vm="28">
        <f ca="1">C198</f>
        <v>233</v>
      </c>
      <c r="J19" s="7">
        <f t="shared" ca="1" si="2"/>
        <v>1.7467248908296984E-2</v>
      </c>
    </row>
    <row r="20" spans="2:10" x14ac:dyDescent="0.25">
      <c r="B20" s="5" vm="29">
        <f ca="1"/>
        <v>45307</v>
      </c>
      <c r="C20" vm="30">
        <f ca="1"/>
        <v>183.63</v>
      </c>
      <c r="E20" s="13">
        <f t="shared" ca="1" si="0"/>
        <v>-1.2317125645438853E-2</v>
      </c>
      <c r="F20" s="7">
        <f t="shared" ca="1" si="1"/>
        <v>-1.0827407886231377E-2</v>
      </c>
      <c r="H20" s="21" t="s">
        <v>31</v>
      </c>
      <c r="I20" vm="31">
        <f ca="1">C221</f>
        <v>225.91</v>
      </c>
      <c r="J20" s="7">
        <f t="shared" ca="1" si="2"/>
        <v>-3.0429184549356281E-2</v>
      </c>
    </row>
    <row r="21" spans="2:10" x14ac:dyDescent="0.25">
      <c r="B21" s="5" vm="32">
        <f ca="1"/>
        <v>45308</v>
      </c>
      <c r="C21" vm="33">
        <f ca="1"/>
        <v>182.68</v>
      </c>
      <c r="E21" s="13">
        <f t="shared" ca="1" si="0"/>
        <v>-5.1734466045852967E-3</v>
      </c>
      <c r="F21" s="7">
        <f t="shared" ca="1" si="1"/>
        <v>-1.5944839474251182E-2</v>
      </c>
      <c r="H21" s="21" t="s">
        <v>32</v>
      </c>
      <c r="I21" vm="34">
        <f ca="1">C241</f>
        <v>237.33</v>
      </c>
      <c r="J21" s="7">
        <f t="shared" ca="1" si="2"/>
        <v>5.0551104422114967E-2</v>
      </c>
    </row>
    <row r="22" spans="2:10" ht="15.75" thickBot="1" x14ac:dyDescent="0.3">
      <c r="B22" s="5" vm="35">
        <f ca="1"/>
        <v>45309</v>
      </c>
      <c r="C22" vm="36">
        <f ca="1"/>
        <v>188.63</v>
      </c>
      <c r="E22" s="13">
        <f t="shared" ca="1" si="0"/>
        <v>3.257061528355587E-2</v>
      </c>
      <c r="F22" s="7">
        <f t="shared" ca="1" si="1"/>
        <v>1.6106442577030755E-2</v>
      </c>
      <c r="H22" s="22" t="s">
        <v>33</v>
      </c>
      <c r="I22" s="9" vm="37">
        <f ca="1">C262</f>
        <v>250.42</v>
      </c>
      <c r="J22" s="12">
        <f t="shared" ca="1" si="2"/>
        <v>5.5155269034677268E-2</v>
      </c>
    </row>
    <row r="23" spans="2:10" ht="15.75" thickBot="1" x14ac:dyDescent="0.3">
      <c r="B23" s="5" vm="38">
        <f ca="1"/>
        <v>45310</v>
      </c>
      <c r="C23" vm="39">
        <f ca="1"/>
        <v>191.56</v>
      </c>
      <c r="E23" s="13">
        <f t="shared" ca="1" si="0"/>
        <v>1.5533054127127244E-2</v>
      </c>
      <c r="F23" s="7">
        <f t="shared" ca="1" si="1"/>
        <v>3.1889678948502587E-2</v>
      </c>
    </row>
    <row r="24" spans="2:10" ht="15.75" thickBot="1" x14ac:dyDescent="0.3">
      <c r="B24" s="5" vm="40">
        <f ca="1"/>
        <v>45313</v>
      </c>
      <c r="C24" vm="41">
        <f ca="1"/>
        <v>193.89</v>
      </c>
      <c r="E24" s="13">
        <f t="shared" ca="1" si="0"/>
        <v>1.2163290874921628E-2</v>
      </c>
      <c r="F24" s="7">
        <f t="shared" ca="1" si="1"/>
        <v>4.444085326438274E-2</v>
      </c>
      <c r="H24" s="100" t="s">
        <v>15</v>
      </c>
      <c r="I24" s="102"/>
    </row>
    <row r="25" spans="2:10" ht="15.75" thickBot="1" x14ac:dyDescent="0.3">
      <c r="B25" s="5" vm="42">
        <f ca="1"/>
        <v>45314</v>
      </c>
      <c r="C25" vm="43">
        <f ca="1"/>
        <v>195.18</v>
      </c>
      <c r="E25" s="13">
        <f t="shared" ca="1" si="0"/>
        <v>6.6532570013926318E-3</v>
      </c>
      <c r="F25" s="7">
        <f t="shared" ca="1" si="1"/>
        <v>5.138978668390437E-2</v>
      </c>
      <c r="H25" s="16" t="s">
        <v>3</v>
      </c>
      <c r="I25" s="18" t="s">
        <v>54</v>
      </c>
    </row>
    <row r="26" spans="2:10" x14ac:dyDescent="0.25">
      <c r="B26" s="5" vm="44">
        <f ca="1"/>
        <v>45315</v>
      </c>
      <c r="C26" vm="45">
        <f ca="1"/>
        <v>194.5</v>
      </c>
      <c r="E26" s="13">
        <f t="shared" ca="1" si="0"/>
        <v>-3.4839635208525621E-3</v>
      </c>
      <c r="F26" s="7">
        <f t="shared" ca="1" si="1"/>
        <v>4.772678302090072E-2</v>
      </c>
      <c r="H26" s="32" t="s">
        <v>22</v>
      </c>
      <c r="I26" s="33">
        <v>675.36</v>
      </c>
    </row>
    <row r="27" spans="2:10" x14ac:dyDescent="0.25">
      <c r="B27" s="5" vm="46">
        <f ca="1"/>
        <v>45316</v>
      </c>
      <c r="C27" vm="47">
        <f ca="1"/>
        <v>194.17</v>
      </c>
      <c r="E27" s="13">
        <f t="shared" ca="1" si="0"/>
        <v>-1.6966580976864876E-3</v>
      </c>
      <c r="F27" s="7">
        <f t="shared" ca="1" si="1"/>
        <v>4.594914889032542E-2</v>
      </c>
      <c r="H27" s="21" t="s">
        <v>21</v>
      </c>
      <c r="I27" s="23">
        <v>892.06</v>
      </c>
    </row>
    <row r="28" spans="2:10" x14ac:dyDescent="0.25">
      <c r="B28" s="5" vm="48">
        <f ca="1"/>
        <v>45317</v>
      </c>
      <c r="C28" vm="49">
        <f ca="1"/>
        <v>192.42</v>
      </c>
      <c r="E28" s="13">
        <f t="shared" ca="1" si="0"/>
        <v>-9.0127208116599355E-3</v>
      </c>
      <c r="F28" s="7">
        <f t="shared" ca="1" si="1"/>
        <v>3.6522301228183673E-2</v>
      </c>
      <c r="H28" s="21" t="s">
        <v>23</v>
      </c>
      <c r="I28" s="23">
        <v>900.09</v>
      </c>
    </row>
    <row r="29" spans="2:10" x14ac:dyDescent="0.25">
      <c r="B29" s="5" vm="50">
        <f ca="1"/>
        <v>45320</v>
      </c>
      <c r="C29" vm="51">
        <f ca="1"/>
        <v>191.73</v>
      </c>
      <c r="E29" s="13">
        <f t="shared" ca="1" si="0"/>
        <v>-3.5859058309947178E-3</v>
      </c>
      <c r="F29" s="7">
        <f t="shared" ca="1" si="1"/>
        <v>3.2805429864253499E-2</v>
      </c>
      <c r="H29" s="21" t="s">
        <v>24</v>
      </c>
      <c r="I29" s="23">
        <v>924.21</v>
      </c>
    </row>
    <row r="30" spans="2:10" x14ac:dyDescent="0.25">
      <c r="B30" s="5" vm="52">
        <f ca="1"/>
        <v>45321</v>
      </c>
      <c r="C30" vm="53">
        <f ca="1"/>
        <v>188.04</v>
      </c>
      <c r="E30" s="13">
        <f t="shared" ca="1" si="0"/>
        <v>-1.9245814426537278E-2</v>
      </c>
      <c r="F30" s="7">
        <f t="shared" ca="1" si="1"/>
        <v>1.2928248222365823E-2</v>
      </c>
      <c r="H30" s="21" t="s">
        <v>25</v>
      </c>
      <c r="I30" s="23">
        <v>930.23</v>
      </c>
    </row>
    <row r="31" spans="2:10" x14ac:dyDescent="0.25">
      <c r="B31" s="5" vm="54">
        <f ca="1"/>
        <v>45322</v>
      </c>
      <c r="C31" vm="4">
        <f ca="1"/>
        <v>184.4</v>
      </c>
      <c r="E31" s="13">
        <f t="shared" ca="1" si="0"/>
        <v>-1.9357583492873753E-2</v>
      </c>
      <c r="F31" s="7">
        <f t="shared" ca="1" si="1"/>
        <v>-6.6795949148888978E-3</v>
      </c>
      <c r="H31" s="21" t="s">
        <v>26</v>
      </c>
      <c r="I31" s="23">
        <v>956.02</v>
      </c>
    </row>
    <row r="32" spans="2:10" x14ac:dyDescent="0.25">
      <c r="B32" s="5" vm="55">
        <f ca="1"/>
        <v>45323</v>
      </c>
      <c r="C32" vm="56">
        <f ca="1"/>
        <v>186.86</v>
      </c>
      <c r="E32" s="13">
        <f t="shared" ca="1" si="0"/>
        <v>1.3340563991323329E-2</v>
      </c>
      <c r="F32" s="7">
        <f t="shared" ca="1" si="1"/>
        <v>6.5718595130361823E-3</v>
      </c>
      <c r="H32" s="21" t="s">
        <v>27</v>
      </c>
      <c r="I32" s="23">
        <v>971.82</v>
      </c>
    </row>
    <row r="33" spans="2:9" x14ac:dyDescent="0.25">
      <c r="B33" s="5" vm="57">
        <f ca="1"/>
        <v>45324</v>
      </c>
      <c r="C33" vm="58">
        <f ca="1"/>
        <v>185.85</v>
      </c>
      <c r="E33" s="13">
        <f t="shared" ca="1" si="0"/>
        <v>-5.4051161297229422E-3</v>
      </c>
      <c r="F33" s="7">
        <f t="shared" ca="1" si="1"/>
        <v>1.1312217194570096E-3</v>
      </c>
      <c r="H33" s="21" t="s">
        <v>28</v>
      </c>
      <c r="I33" s="23">
        <v>1000</v>
      </c>
    </row>
    <row r="34" spans="2:9" x14ac:dyDescent="0.25">
      <c r="B34" s="5" vm="59">
        <f ca="1"/>
        <v>45327</v>
      </c>
      <c r="C34" vm="60">
        <f ca="1"/>
        <v>187.68</v>
      </c>
      <c r="E34" s="13">
        <f t="shared" ca="1" si="0"/>
        <v>9.8466505246166403E-3</v>
      </c>
      <c r="F34" s="7">
        <f t="shared" ca="1" si="1"/>
        <v>1.0989010989011172E-2</v>
      </c>
      <c r="H34" s="21" t="s">
        <v>29</v>
      </c>
      <c r="I34" s="23">
        <v>1035.2</v>
      </c>
    </row>
    <row r="35" spans="2:9" x14ac:dyDescent="0.25">
      <c r="B35" s="5" vm="61">
        <f ca="1"/>
        <v>45328</v>
      </c>
      <c r="C35" vm="62">
        <f ca="1"/>
        <v>189.3</v>
      </c>
      <c r="E35" s="13">
        <f t="shared" ca="1" si="0"/>
        <v>8.6317135549871526E-3</v>
      </c>
      <c r="F35" s="7">
        <f t="shared" ca="1" si="1"/>
        <v>1.9715578539108103E-2</v>
      </c>
      <c r="H35" s="21" t="s">
        <v>30</v>
      </c>
      <c r="I35" s="23">
        <v>1066.0999999999999</v>
      </c>
    </row>
    <row r="36" spans="2:9" x14ac:dyDescent="0.25">
      <c r="B36" s="5" vm="63">
        <f ca="1"/>
        <v>45329</v>
      </c>
      <c r="C36" vm="64">
        <f ca="1"/>
        <v>189.41</v>
      </c>
      <c r="E36" s="13">
        <f t="shared" ca="1" si="0"/>
        <v>5.8108821975699776E-4</v>
      </c>
      <c r="F36" s="7">
        <f t="shared" ca="1" si="1"/>
        <v>2.030812324929987E-2</v>
      </c>
      <c r="H36" s="21" t="s">
        <v>31</v>
      </c>
      <c r="I36" s="23">
        <v>1067.24</v>
      </c>
    </row>
    <row r="37" spans="2:9" x14ac:dyDescent="0.25">
      <c r="B37" s="5" vm="65">
        <f ca="1"/>
        <v>45330</v>
      </c>
      <c r="C37" vm="66">
        <f ca="1"/>
        <v>188.32</v>
      </c>
      <c r="E37" s="13">
        <f t="shared" ca="1" si="0"/>
        <v>-5.754712000422435E-3</v>
      </c>
      <c r="F37" s="7">
        <f t="shared" ca="1" si="1"/>
        <v>1.4436543848308503E-2</v>
      </c>
      <c r="H37" s="21" t="s">
        <v>32</v>
      </c>
      <c r="I37" s="23">
        <v>1062.7</v>
      </c>
    </row>
    <row r="38" spans="2:9" x14ac:dyDescent="0.25">
      <c r="B38" s="5" vm="67">
        <f ca="1"/>
        <v>45331</v>
      </c>
      <c r="C38" vm="68">
        <f ca="1"/>
        <v>188.85</v>
      </c>
      <c r="E38" s="13">
        <f t="shared" ca="1" si="0"/>
        <v>2.8143585386575243E-3</v>
      </c>
      <c r="F38" s="7">
        <f t="shared" ca="1" si="1"/>
        <v>1.7291531997414289E-2</v>
      </c>
      <c r="H38" s="21" t="s">
        <v>33</v>
      </c>
      <c r="I38" s="23">
        <v>1068.3800000000001</v>
      </c>
    </row>
    <row r="39" spans="2:9" ht="15.75" thickBot="1" x14ac:dyDescent="0.3">
      <c r="B39" s="5" vm="69">
        <f ca="1"/>
        <v>45334</v>
      </c>
      <c r="C39" vm="70">
        <f ca="1"/>
        <v>187.15</v>
      </c>
      <c r="E39" s="13">
        <f t="shared" ca="1" si="0"/>
        <v>-9.0018533227428366E-3</v>
      </c>
      <c r="F39" s="7">
        <f t="shared" ca="1" si="1"/>
        <v>8.134022839905386E-3</v>
      </c>
      <c r="H39" s="35" t="s">
        <v>34</v>
      </c>
      <c r="I39" s="34">
        <v>1076.6500000000001</v>
      </c>
    </row>
    <row r="40" spans="2:9" x14ac:dyDescent="0.25">
      <c r="B40" s="5" vm="71">
        <f ca="1"/>
        <v>45335</v>
      </c>
      <c r="C40" vm="72">
        <f ca="1"/>
        <v>185.04</v>
      </c>
      <c r="E40" s="13">
        <f t="shared" ca="1" si="0"/>
        <v>-1.1274378840502308E-2</v>
      </c>
      <c r="F40" s="7">
        <f t="shared" ca="1" si="1"/>
        <v>-3.2320620555914559E-3</v>
      </c>
    </row>
    <row r="41" spans="2:9" x14ac:dyDescent="0.25">
      <c r="B41" s="5" vm="73">
        <f ca="1"/>
        <v>45336</v>
      </c>
      <c r="C41" vm="74">
        <f ca="1"/>
        <v>184.15</v>
      </c>
      <c r="E41" s="13">
        <f t="shared" ca="1" si="0"/>
        <v>-4.8097708603543898E-3</v>
      </c>
      <c r="F41" s="7">
        <f t="shared" ca="1" si="1"/>
        <v>-8.0262874380520044E-3</v>
      </c>
    </row>
    <row r="42" spans="2:9" x14ac:dyDescent="0.25">
      <c r="B42" s="5" vm="75">
        <f ca="1"/>
        <v>45337</v>
      </c>
      <c r="C42" vm="76">
        <f ca="1"/>
        <v>183.86</v>
      </c>
      <c r="E42" s="13">
        <f t="shared" ca="1" si="0"/>
        <v>-1.5748031496062298E-3</v>
      </c>
      <c r="F42" s="7">
        <f t="shared" ca="1" si="1"/>
        <v>-9.5884507649212081E-3</v>
      </c>
    </row>
    <row r="43" spans="2:9" x14ac:dyDescent="0.25">
      <c r="B43" s="5" vm="77">
        <f ca="1"/>
        <v>45338</v>
      </c>
      <c r="C43" vm="78">
        <f ca="1"/>
        <v>182.31</v>
      </c>
      <c r="E43" s="13">
        <f t="shared" ca="1" si="0"/>
        <v>-8.4303274230392855E-3</v>
      </c>
      <c r="F43" s="7">
        <f t="shared" ca="1" si="1"/>
        <v>-1.793794440853258E-2</v>
      </c>
    </row>
    <row r="44" spans="2:9" x14ac:dyDescent="0.25">
      <c r="B44" s="5" vm="79">
        <f ca="1"/>
        <v>45342</v>
      </c>
      <c r="C44" vm="80">
        <f ca="1"/>
        <v>181.56</v>
      </c>
      <c r="E44" s="13">
        <f t="shared" ca="1" si="0"/>
        <v>-4.1138719763040843E-3</v>
      </c>
      <c r="F44" s="7">
        <f t="shared" ca="1" si="1"/>
        <v>-2.19780219780219E-2</v>
      </c>
    </row>
    <row r="45" spans="2:9" x14ac:dyDescent="0.25">
      <c r="B45" s="5" vm="81">
        <f ca="1"/>
        <v>45343</v>
      </c>
      <c r="C45" vm="82">
        <f ca="1"/>
        <v>182.32</v>
      </c>
      <c r="E45" s="13">
        <f t="shared" ca="1" si="0"/>
        <v>4.1859440405374038E-3</v>
      </c>
      <c r="F45" s="7">
        <f t="shared" ca="1" si="1"/>
        <v>-1.7884076707606056E-2</v>
      </c>
    </row>
    <row r="46" spans="2:9" x14ac:dyDescent="0.25">
      <c r="B46" s="5" vm="83">
        <f ca="1"/>
        <v>45344</v>
      </c>
      <c r="C46" vm="84">
        <f ca="1"/>
        <v>184.37</v>
      </c>
      <c r="E46" s="13">
        <f t="shared" ca="1" si="0"/>
        <v>1.1243966652040527E-2</v>
      </c>
      <c r="F46" s="7">
        <f t="shared" ca="1" si="1"/>
        <v>-6.8411980176684706E-3</v>
      </c>
    </row>
    <row r="47" spans="2:9" x14ac:dyDescent="0.25">
      <c r="B47" s="5" vm="85">
        <f ca="1"/>
        <v>45345</v>
      </c>
      <c r="C47" vm="86">
        <f ca="1"/>
        <v>182.52</v>
      </c>
      <c r="E47" s="13">
        <f t="shared" ca="1" si="0"/>
        <v>-1.0034170418180777E-2</v>
      </c>
      <c r="F47" s="7">
        <f t="shared" ca="1" si="1"/>
        <v>-1.680672268907546E-2</v>
      </c>
    </row>
    <row r="48" spans="2:9" x14ac:dyDescent="0.25">
      <c r="B48" s="5" vm="87">
        <f ca="1"/>
        <v>45348</v>
      </c>
      <c r="C48" vm="88">
        <f ca="1"/>
        <v>181.16</v>
      </c>
      <c r="E48" s="13">
        <f t="shared" ca="1" si="0"/>
        <v>-7.4512382204691141E-3</v>
      </c>
      <c r="F48" s="7">
        <f t="shared" ca="1" si="1"/>
        <v>-2.4132730015082871E-2</v>
      </c>
    </row>
    <row r="49" spans="2:6" x14ac:dyDescent="0.25">
      <c r="B49" s="5" vm="89">
        <f ca="1"/>
        <v>45349</v>
      </c>
      <c r="C49" vm="90">
        <f ca="1"/>
        <v>182.63</v>
      </c>
      <c r="E49" s="13">
        <f t="shared" ca="1" si="0"/>
        <v>8.1143740340030579E-3</v>
      </c>
      <c r="F49" s="7">
        <f t="shared" ca="1" si="1"/>
        <v>-1.6214177978883804E-2</v>
      </c>
    </row>
    <row r="50" spans="2:6" x14ac:dyDescent="0.25">
      <c r="B50" s="5" vm="91">
        <f ca="1"/>
        <v>45350</v>
      </c>
      <c r="C50" vm="92">
        <f ca="1"/>
        <v>181.42</v>
      </c>
      <c r="E50" s="13">
        <f t="shared" ca="1" si="0"/>
        <v>-6.6254175108142466E-3</v>
      </c>
      <c r="F50" s="7">
        <f t="shared" ca="1" si="1"/>
        <v>-2.2732169790993351E-2</v>
      </c>
    </row>
    <row r="51" spans="2:6" x14ac:dyDescent="0.25">
      <c r="B51" s="5" vm="93">
        <f ca="1"/>
        <v>45351</v>
      </c>
      <c r="C51" vm="7">
        <f ca="1"/>
        <v>180.75</v>
      </c>
      <c r="E51" s="13">
        <f t="shared" ca="1" si="0"/>
        <v>-3.6930878624186203E-3</v>
      </c>
      <c r="F51" s="7">
        <f t="shared" ca="1" si="1"/>
        <v>-2.6341305753070365E-2</v>
      </c>
    </row>
    <row r="52" spans="2:6" x14ac:dyDescent="0.25">
      <c r="B52" s="5" vm="94">
        <f ca="1"/>
        <v>45352</v>
      </c>
      <c r="C52" vm="95">
        <f ca="1"/>
        <v>179.66</v>
      </c>
      <c r="E52" s="13">
        <f t="shared" ca="1" si="0"/>
        <v>-6.030428769018048E-3</v>
      </c>
      <c r="F52" s="7">
        <f t="shared" ca="1" si="1"/>
        <v>-3.2212885154061621E-2</v>
      </c>
    </row>
    <row r="53" spans="2:6" x14ac:dyDescent="0.25">
      <c r="B53" s="5" vm="96">
        <f ca="1"/>
        <v>45355</v>
      </c>
      <c r="C53" vm="97">
        <f ca="1"/>
        <v>175.1</v>
      </c>
      <c r="E53" s="13">
        <f t="shared" ca="1" si="0"/>
        <v>-2.5381275743070253E-2</v>
      </c>
      <c r="F53" s="7">
        <f t="shared" ca="1" si="1"/>
        <v>-5.6776556776556686E-2</v>
      </c>
    </row>
    <row r="54" spans="2:6" x14ac:dyDescent="0.25">
      <c r="B54" s="5" vm="98">
        <f ca="1"/>
        <v>45356</v>
      </c>
      <c r="C54" vm="99">
        <f ca="1"/>
        <v>170.12</v>
      </c>
      <c r="E54" s="13">
        <f t="shared" ca="1" si="0"/>
        <v>-2.8440890919474549E-2</v>
      </c>
      <c r="F54" s="7">
        <f t="shared" ca="1" si="1"/>
        <v>-8.3602671837965881E-2</v>
      </c>
    </row>
    <row r="55" spans="2:6" x14ac:dyDescent="0.25">
      <c r="B55" s="5" vm="100">
        <f ca="1"/>
        <v>45357</v>
      </c>
      <c r="C55" vm="101">
        <f ca="1"/>
        <v>169.12</v>
      </c>
      <c r="E55" s="13">
        <f t="shared" ca="1" si="0"/>
        <v>-5.8782036209734656E-3</v>
      </c>
      <c r="F55" s="7">
        <f t="shared" ca="1" si="1"/>
        <v>-8.8989441930618307E-2</v>
      </c>
    </row>
    <row r="56" spans="2:6" x14ac:dyDescent="0.25">
      <c r="B56" s="5" vm="102">
        <f ca="1"/>
        <v>45358</v>
      </c>
      <c r="C56" vm="103">
        <f ca="1"/>
        <v>169</v>
      </c>
      <c r="E56" s="13">
        <f t="shared" ca="1" si="0"/>
        <v>-7.0955534531691455E-4</v>
      </c>
      <c r="F56" s="7">
        <f t="shared" ca="1" si="1"/>
        <v>-8.9635854341736598E-2</v>
      </c>
    </row>
    <row r="57" spans="2:6" x14ac:dyDescent="0.25">
      <c r="B57" s="5" vm="104">
        <f ca="1"/>
        <v>45359</v>
      </c>
      <c r="C57" vm="105">
        <f ca="1"/>
        <v>170.73</v>
      </c>
      <c r="E57" s="13">
        <f t="shared" ca="1" si="0"/>
        <v>1.0236686390532546E-2</v>
      </c>
      <c r="F57" s="7">
        <f t="shared" ca="1" si="1"/>
        <v>-8.0316742081447901E-2</v>
      </c>
    </row>
    <row r="58" spans="2:6" x14ac:dyDescent="0.25">
      <c r="B58" s="5" vm="106">
        <f ca="1"/>
        <v>45362</v>
      </c>
      <c r="C58" vm="107">
        <f ca="1"/>
        <v>172.75</v>
      </c>
      <c r="E58" s="13">
        <f t="shared" ca="1" si="0"/>
        <v>1.183154688689747E-2</v>
      </c>
      <c r="F58" s="7">
        <f t="shared" ca="1" si="1"/>
        <v>-6.9435466494289999E-2</v>
      </c>
    </row>
    <row r="59" spans="2:6" x14ac:dyDescent="0.25">
      <c r="B59" s="5" vm="108">
        <f ca="1"/>
        <v>45363</v>
      </c>
      <c r="C59" vm="109">
        <f ca="1"/>
        <v>173.23</v>
      </c>
      <c r="E59" s="13">
        <f t="shared" ca="1" si="0"/>
        <v>2.7785817655570089E-3</v>
      </c>
      <c r="F59" s="7">
        <f t="shared" ca="1" si="1"/>
        <v>-6.6849816849816834E-2</v>
      </c>
    </row>
    <row r="60" spans="2:6" x14ac:dyDescent="0.25">
      <c r="B60" s="5" vm="110">
        <f ca="1"/>
        <v>45364</v>
      </c>
      <c r="C60" vm="111">
        <f ca="1"/>
        <v>171.13</v>
      </c>
      <c r="E60" s="13">
        <f t="shared" ca="1" si="0"/>
        <v>-1.2122611556889651E-2</v>
      </c>
      <c r="F60" s="7">
        <f t="shared" ca="1" si="1"/>
        <v>-7.816203404438693E-2</v>
      </c>
    </row>
    <row r="61" spans="2:6" x14ac:dyDescent="0.25">
      <c r="B61" s="5" vm="112">
        <f ca="1"/>
        <v>45365</v>
      </c>
      <c r="C61" vm="113">
        <f ca="1"/>
        <v>173</v>
      </c>
      <c r="E61" s="13">
        <f t="shared" ca="1" si="0"/>
        <v>1.0927365160988689E-2</v>
      </c>
      <c r="F61" s="7">
        <f t="shared" ca="1" si="1"/>
        <v>-6.8088773971126892E-2</v>
      </c>
    </row>
    <row r="62" spans="2:6" x14ac:dyDescent="0.25">
      <c r="B62" s="5" vm="114">
        <f ca="1"/>
        <v>45366</v>
      </c>
      <c r="C62" vm="115">
        <f ca="1"/>
        <v>172.62</v>
      </c>
      <c r="E62" s="13">
        <f t="shared" ca="1" si="0"/>
        <v>-2.1965317919074856E-3</v>
      </c>
      <c r="F62" s="7">
        <f t="shared" ca="1" si="1"/>
        <v>-7.0135746606334703E-2</v>
      </c>
    </row>
    <row r="63" spans="2:6" x14ac:dyDescent="0.25">
      <c r="B63" s="5" vm="116">
        <f ca="1"/>
        <v>45369</v>
      </c>
      <c r="C63" vm="117">
        <f ca="1"/>
        <v>173.72</v>
      </c>
      <c r="E63" s="13">
        <f t="shared" ca="1" si="0"/>
        <v>6.372378635152387E-3</v>
      </c>
      <c r="F63" s="7">
        <f t="shared" ca="1" si="1"/>
        <v>-6.4210299504417034E-2</v>
      </c>
    </row>
    <row r="64" spans="2:6" x14ac:dyDescent="0.25">
      <c r="B64" s="5" vm="118">
        <f ca="1"/>
        <v>45370</v>
      </c>
      <c r="C64" vm="119">
        <f ca="1"/>
        <v>176.08</v>
      </c>
      <c r="E64" s="13">
        <f t="shared" ca="1" si="0"/>
        <v>1.3585079438176439E-2</v>
      </c>
      <c r="F64" s="7">
        <f t="shared" ca="1" si="1"/>
        <v>-5.1497522085757197E-2</v>
      </c>
    </row>
    <row r="65" spans="2:6" x14ac:dyDescent="0.25">
      <c r="B65" s="5" vm="120">
        <f ca="1"/>
        <v>45371</v>
      </c>
      <c r="C65" vm="121">
        <f ca="1"/>
        <v>178.67</v>
      </c>
      <c r="E65" s="13">
        <f t="shared" ca="1" si="0"/>
        <v>1.4709223080417777E-2</v>
      </c>
      <c r="F65" s="7">
        <f t="shared" ca="1" si="1"/>
        <v>-3.7545787545787523E-2</v>
      </c>
    </row>
    <row r="66" spans="2:6" x14ac:dyDescent="0.25">
      <c r="B66" s="5" vm="122">
        <f ca="1"/>
        <v>45372</v>
      </c>
      <c r="C66" vm="123">
        <f ca="1"/>
        <v>171.37</v>
      </c>
      <c r="E66" s="13">
        <f t="shared" ca="1" si="0"/>
        <v>-4.0857446689427368E-2</v>
      </c>
      <c r="F66" s="7">
        <f t="shared" ca="1" si="1"/>
        <v>-7.6869209222150348E-2</v>
      </c>
    </row>
    <row r="67" spans="2:6" x14ac:dyDescent="0.25">
      <c r="B67" s="5" vm="124">
        <f ca="1"/>
        <v>45373</v>
      </c>
      <c r="C67" vm="125">
        <f ca="1"/>
        <v>172.28</v>
      </c>
      <c r="E67" s="13">
        <f t="shared" ca="1" si="0"/>
        <v>5.3101476337749087E-3</v>
      </c>
      <c r="F67" s="7">
        <f t="shared" ca="1" si="1"/>
        <v>-7.1967248437836639E-2</v>
      </c>
    </row>
    <row r="68" spans="2:6" x14ac:dyDescent="0.25">
      <c r="B68" s="5" vm="126">
        <f ca="1"/>
        <v>45376</v>
      </c>
      <c r="C68" vm="127">
        <f ca="1"/>
        <v>170.85</v>
      </c>
      <c r="E68" s="13">
        <f t="shared" ca="1" si="0"/>
        <v>-8.3004411423265312E-3</v>
      </c>
      <c r="F68" s="7">
        <f t="shared" ca="1" si="1"/>
        <v>-7.9670329670329609E-2</v>
      </c>
    </row>
    <row r="69" spans="2:6" x14ac:dyDescent="0.25">
      <c r="B69" s="5" vm="128">
        <f ca="1"/>
        <v>45377</v>
      </c>
      <c r="C69" vm="129">
        <f ca="1"/>
        <v>169.71</v>
      </c>
      <c r="E69" s="13">
        <f t="shared" ca="1" si="0"/>
        <v>-6.6725197541702697E-3</v>
      </c>
      <c r="F69" s="7">
        <f t="shared" ca="1" si="1"/>
        <v>-8.5811247575953375E-2</v>
      </c>
    </row>
    <row r="70" spans="2:6" x14ac:dyDescent="0.25">
      <c r="B70" s="5" vm="130">
        <f ca="1"/>
        <v>45378</v>
      </c>
      <c r="C70" vm="131">
        <f ca="1"/>
        <v>173.31</v>
      </c>
      <c r="E70" s="13">
        <f t="shared" ca="1" si="0"/>
        <v>2.121265688527485E-2</v>
      </c>
      <c r="F70" s="7">
        <f t="shared" ca="1" si="1"/>
        <v>-6.6418875242404529E-2</v>
      </c>
    </row>
    <row r="71" spans="2:6" x14ac:dyDescent="0.25">
      <c r="B71" s="5" vm="132">
        <f ca="1"/>
        <v>45379</v>
      </c>
      <c r="C71" vm="10">
        <f ca="1"/>
        <v>171.48</v>
      </c>
      <c r="E71" s="13">
        <f t="shared" ca="1" si="0"/>
        <v>-1.0559113726847924E-2</v>
      </c>
      <c r="F71" s="7">
        <f t="shared" ca="1" si="1"/>
        <v>-7.6276664511958581E-2</v>
      </c>
    </row>
    <row r="72" spans="2:6" x14ac:dyDescent="0.25">
      <c r="B72" s="5" vm="133">
        <f ca="1"/>
        <v>45383</v>
      </c>
      <c r="C72" vm="134">
        <f ca="1"/>
        <v>170.03</v>
      </c>
      <c r="E72" s="13">
        <f t="shared" ca="1" si="0"/>
        <v>-8.455796594354914E-3</v>
      </c>
      <c r="F72" s="7">
        <f t="shared" ca="1" si="1"/>
        <v>-8.4087481146304599E-2</v>
      </c>
    </row>
    <row r="73" spans="2:6" x14ac:dyDescent="0.25">
      <c r="B73" s="5" vm="135">
        <f ca="1"/>
        <v>45384</v>
      </c>
      <c r="C73" vm="136">
        <f ca="1"/>
        <v>168.84</v>
      </c>
      <c r="E73" s="13">
        <f t="shared" ca="1" si="0"/>
        <v>-6.9987649238369976E-3</v>
      </c>
      <c r="F73" s="7">
        <f t="shared" ca="1" si="1"/>
        <v>-9.0497737556560987E-2</v>
      </c>
    </row>
    <row r="74" spans="2:6" x14ac:dyDescent="0.25">
      <c r="B74" s="5" vm="137">
        <f ca="1"/>
        <v>45385</v>
      </c>
      <c r="C74" vm="138">
        <f ca="1"/>
        <v>169.65</v>
      </c>
      <c r="E74" s="13">
        <f t="shared" ca="1" si="0"/>
        <v>4.7974413646054703E-3</v>
      </c>
      <c r="F74" s="7">
        <f t="shared" ca="1" si="1"/>
        <v>-8.6134453781512521E-2</v>
      </c>
    </row>
    <row r="75" spans="2:6" x14ac:dyDescent="0.25">
      <c r="B75" s="5" vm="139">
        <f ca="1"/>
        <v>45386</v>
      </c>
      <c r="C75" vm="140">
        <f ca="1"/>
        <v>168.82</v>
      </c>
      <c r="E75" s="13">
        <f t="shared" ca="1" si="0"/>
        <v>-4.892425582080806E-3</v>
      </c>
      <c r="F75" s="7">
        <f t="shared" ca="1" si="1"/>
        <v>-9.0605472958414146E-2</v>
      </c>
    </row>
    <row r="76" spans="2:6" x14ac:dyDescent="0.25">
      <c r="B76" s="5" vm="141">
        <f ca="1"/>
        <v>45387</v>
      </c>
      <c r="C76" vm="142">
        <f ca="1"/>
        <v>169.58</v>
      </c>
      <c r="E76" s="13">
        <f t="shared" ca="1" si="0"/>
        <v>4.5018362753228569E-3</v>
      </c>
      <c r="F76" s="7">
        <f t="shared" ca="1" si="1"/>
        <v>-8.6511527687998191E-2</v>
      </c>
    </row>
    <row r="77" spans="2:6" x14ac:dyDescent="0.25">
      <c r="B77" s="5" vm="143">
        <f ca="1"/>
        <v>45390</v>
      </c>
      <c r="C77" vm="144">
        <f ca="1"/>
        <v>168.45</v>
      </c>
      <c r="E77" s="13">
        <f t="shared" ref="E77:E140" ca="1" si="3">C77/C76-1</f>
        <v>-6.6635216417031407E-3</v>
      </c>
      <c r="F77" s="7">
        <f t="shared" ref="F77:F140" ca="1" si="4">C77/$C$11-1</f>
        <v>-9.2598577892695544E-2</v>
      </c>
    </row>
    <row r="78" spans="2:6" x14ac:dyDescent="0.25">
      <c r="B78" s="5" vm="145">
        <f ca="1"/>
        <v>45391</v>
      </c>
      <c r="C78" vm="146">
        <f ca="1"/>
        <v>169.67</v>
      </c>
      <c r="E78" s="13">
        <f t="shared" ca="1" si="3"/>
        <v>7.2425051944196017E-3</v>
      </c>
      <c r="F78" s="7">
        <f t="shared" ca="1" si="4"/>
        <v>-8.6026718379659584E-2</v>
      </c>
    </row>
    <row r="79" spans="2:6" x14ac:dyDescent="0.25">
      <c r="B79" s="5" vm="147">
        <f ca="1"/>
        <v>45392</v>
      </c>
      <c r="C79" vm="148">
        <f ca="1"/>
        <v>167.78</v>
      </c>
      <c r="E79" s="13">
        <f t="shared" ca="1" si="3"/>
        <v>-1.1139270348323183E-2</v>
      </c>
      <c r="F79" s="7">
        <f t="shared" ca="1" si="4"/>
        <v>-9.6207713854772559E-2</v>
      </c>
    </row>
    <row r="80" spans="2:6" x14ac:dyDescent="0.25">
      <c r="B80" s="5" vm="149">
        <f ca="1"/>
        <v>45393</v>
      </c>
      <c r="C80" vm="150">
        <f ca="1"/>
        <v>175.04</v>
      </c>
      <c r="E80" s="13">
        <f t="shared" ca="1" si="3"/>
        <v>4.3270950053641677E-2</v>
      </c>
      <c r="F80" s="7">
        <f t="shared" ca="1" si="4"/>
        <v>-5.7099762982115942E-2</v>
      </c>
    </row>
    <row r="81" spans="2:6" x14ac:dyDescent="0.25">
      <c r="B81" s="5" vm="151">
        <f ca="1"/>
        <v>45394</v>
      </c>
      <c r="C81" vm="152">
        <f ca="1"/>
        <v>176.55</v>
      </c>
      <c r="E81" s="13">
        <f t="shared" ca="1" si="3"/>
        <v>8.6265996343692919E-3</v>
      </c>
      <c r="F81" s="7">
        <f t="shared" ca="1" si="4"/>
        <v>-4.8965740142210556E-2</v>
      </c>
    </row>
    <row r="82" spans="2:6" x14ac:dyDescent="0.25">
      <c r="B82" s="5" vm="153">
        <f ca="1"/>
        <v>45397</v>
      </c>
      <c r="C82" vm="154">
        <f ca="1"/>
        <v>172.69</v>
      </c>
      <c r="E82" s="13">
        <f t="shared" ca="1" si="3"/>
        <v>-2.1863494760691049E-2</v>
      </c>
      <c r="F82" s="7">
        <f t="shared" ca="1" si="4"/>
        <v>-6.9758672699849145E-2</v>
      </c>
    </row>
    <row r="83" spans="2:6" x14ac:dyDescent="0.25">
      <c r="B83" s="5" vm="155">
        <f ca="1"/>
        <v>45398</v>
      </c>
      <c r="C83" vm="156">
        <f ca="1"/>
        <v>169.38</v>
      </c>
      <c r="E83" s="13">
        <f t="shared" ca="1" si="3"/>
        <v>-1.916729399502004E-2</v>
      </c>
      <c r="F83" s="7">
        <f t="shared" ca="1" si="4"/>
        <v>-8.7588881706528676E-2</v>
      </c>
    </row>
    <row r="84" spans="2:6" x14ac:dyDescent="0.25">
      <c r="B84" s="5" vm="157">
        <f ca="1"/>
        <v>45399</v>
      </c>
      <c r="C84" vm="158">
        <f ca="1"/>
        <v>168</v>
      </c>
      <c r="E84" s="13">
        <f t="shared" ca="1" si="3"/>
        <v>-8.1473609635139832E-3</v>
      </c>
      <c r="F84" s="7">
        <f t="shared" ca="1" si="4"/>
        <v>-9.5022624434389025E-2</v>
      </c>
    </row>
    <row r="85" spans="2:6" x14ac:dyDescent="0.25">
      <c r="B85" s="5" vm="159">
        <f ca="1"/>
        <v>45400</v>
      </c>
      <c r="C85" vm="160">
        <f ca="1"/>
        <v>167.04</v>
      </c>
      <c r="E85" s="13">
        <f t="shared" ca="1" si="3"/>
        <v>-5.7142857142857828E-3</v>
      </c>
      <c r="F85" s="7">
        <f t="shared" ca="1" si="4"/>
        <v>-0.10019392372333547</v>
      </c>
    </row>
    <row r="86" spans="2:6" x14ac:dyDescent="0.25">
      <c r="B86" s="5" vm="161">
        <f ca="1"/>
        <v>45401</v>
      </c>
      <c r="C86" vm="162">
        <f ca="1"/>
        <v>165</v>
      </c>
      <c r="E86" s="13">
        <f t="shared" ca="1" si="3"/>
        <v>-1.2212643678160884E-2</v>
      </c>
      <c r="F86" s="7">
        <f t="shared" ca="1" si="4"/>
        <v>-0.11118293471234642</v>
      </c>
    </row>
    <row r="87" spans="2:6" x14ac:dyDescent="0.25">
      <c r="B87" s="5" vm="163">
        <f ca="1"/>
        <v>45404</v>
      </c>
      <c r="C87" vm="164">
        <f ca="1"/>
        <v>165.84</v>
      </c>
      <c r="E87" s="13">
        <f t="shared" ca="1" si="3"/>
        <v>5.0909090909090349E-3</v>
      </c>
      <c r="F87" s="7">
        <f t="shared" ca="1" si="4"/>
        <v>-0.10665804783451838</v>
      </c>
    </row>
    <row r="88" spans="2:6" x14ac:dyDescent="0.25">
      <c r="B88" s="5" vm="165">
        <f ca="1"/>
        <v>45405</v>
      </c>
      <c r="C88" vm="166">
        <f ca="1"/>
        <v>166.9</v>
      </c>
      <c r="E88" s="13">
        <f t="shared" ca="1" si="3"/>
        <v>6.3917028461166758E-3</v>
      </c>
      <c r="F88" s="7">
        <f t="shared" ca="1" si="4"/>
        <v>-0.10094807153630669</v>
      </c>
    </row>
    <row r="89" spans="2:6" x14ac:dyDescent="0.25">
      <c r="B89" s="5" vm="167">
        <f ca="1"/>
        <v>45406</v>
      </c>
      <c r="C89" vm="168">
        <f ca="1"/>
        <v>169.02</v>
      </c>
      <c r="E89" s="13">
        <f t="shared" ca="1" si="3"/>
        <v>1.2702216896345098E-2</v>
      </c>
      <c r="F89" s="7">
        <f t="shared" ca="1" si="4"/>
        <v>-8.952811893988355E-2</v>
      </c>
    </row>
    <row r="90" spans="2:6" x14ac:dyDescent="0.25">
      <c r="B90" s="5" vm="169">
        <f ca="1"/>
        <v>45407</v>
      </c>
      <c r="C90" vm="170">
        <f ca="1"/>
        <v>169.89</v>
      </c>
      <c r="E90" s="13">
        <f t="shared" ca="1" si="3"/>
        <v>5.1473198438052314E-3</v>
      </c>
      <c r="F90" s="7">
        <f t="shared" ca="1" si="4"/>
        <v>-8.484162895927605E-2</v>
      </c>
    </row>
    <row r="91" spans="2:6" x14ac:dyDescent="0.25">
      <c r="B91" s="5" vm="171">
        <f ca="1"/>
        <v>45408</v>
      </c>
      <c r="C91" vm="172">
        <f ca="1"/>
        <v>169.3</v>
      </c>
      <c r="E91" s="13">
        <f t="shared" ca="1" si="3"/>
        <v>-3.4728353640589571E-3</v>
      </c>
      <c r="F91" s="7">
        <f t="shared" ca="1" si="4"/>
        <v>-8.801982331394087E-2</v>
      </c>
    </row>
    <row r="92" spans="2:6" x14ac:dyDescent="0.25">
      <c r="B92" s="5" vm="173">
        <f ca="1"/>
        <v>45411</v>
      </c>
      <c r="C92" vm="174">
        <f ca="1"/>
        <v>173.5</v>
      </c>
      <c r="E92" s="13">
        <f t="shared" ca="1" si="3"/>
        <v>2.4808033077377445E-2</v>
      </c>
      <c r="F92" s="7">
        <f t="shared" ca="1" si="4"/>
        <v>-6.5395388924800568E-2</v>
      </c>
    </row>
    <row r="93" spans="2:6" x14ac:dyDescent="0.25">
      <c r="B93" s="5" vm="175">
        <f ca="1"/>
        <v>45412</v>
      </c>
      <c r="C93" vm="13">
        <f ca="1"/>
        <v>170.33</v>
      </c>
      <c r="E93" s="13">
        <f t="shared" ca="1" si="3"/>
        <v>-1.8270893371757801E-2</v>
      </c>
      <c r="F93" s="7">
        <f t="shared" ca="1" si="4"/>
        <v>-8.247145011850876E-2</v>
      </c>
    </row>
    <row r="94" spans="2:6" x14ac:dyDescent="0.25">
      <c r="B94" s="5" vm="176">
        <f ca="1"/>
        <v>45413</v>
      </c>
      <c r="C94" vm="172">
        <f ca="1"/>
        <v>169.3</v>
      </c>
      <c r="E94" s="13">
        <f t="shared" ca="1" si="3"/>
        <v>-6.0470850701579426E-3</v>
      </c>
      <c r="F94" s="7">
        <f t="shared" ca="1" si="4"/>
        <v>-8.801982331394087E-2</v>
      </c>
    </row>
    <row r="95" spans="2:6" x14ac:dyDescent="0.25">
      <c r="B95" s="5" vm="177">
        <f ca="1"/>
        <v>45414</v>
      </c>
      <c r="C95" vm="178">
        <f ca="1"/>
        <v>173.03</v>
      </c>
      <c r="E95" s="13">
        <f t="shared" ca="1" si="3"/>
        <v>2.2031896042528087E-2</v>
      </c>
      <c r="F95" s="7">
        <f t="shared" ca="1" si="4"/>
        <v>-6.792717086834732E-2</v>
      </c>
    </row>
    <row r="96" spans="2:6" x14ac:dyDescent="0.25">
      <c r="B96" s="5" vm="179">
        <f ca="1"/>
        <v>45415</v>
      </c>
      <c r="C96" vm="180">
        <f ca="1"/>
        <v>183.38</v>
      </c>
      <c r="E96" s="13">
        <f t="shared" ca="1" si="3"/>
        <v>5.9816216841010128E-2</v>
      </c>
      <c r="F96" s="7">
        <f t="shared" ca="1" si="4"/>
        <v>-1.2174100409394484E-2</v>
      </c>
    </row>
    <row r="97" spans="2:6" x14ac:dyDescent="0.25">
      <c r="B97" s="5" vm="181">
        <f ca="1"/>
        <v>45418</v>
      </c>
      <c r="C97" vm="182">
        <f ca="1"/>
        <v>181.71</v>
      </c>
      <c r="E97" s="13">
        <f t="shared" ca="1" si="3"/>
        <v>-9.1067728214635491E-3</v>
      </c>
      <c r="F97" s="7">
        <f t="shared" ca="1" si="4"/>
        <v>-2.1170006464124036E-2</v>
      </c>
    </row>
    <row r="98" spans="2:6" x14ac:dyDescent="0.25">
      <c r="B98" s="5" vm="183">
        <f ca="1"/>
        <v>45419</v>
      </c>
      <c r="C98" vm="184">
        <f ca="1"/>
        <v>182.4</v>
      </c>
      <c r="E98" s="13">
        <f t="shared" ca="1" si="3"/>
        <v>3.7972593693247347E-3</v>
      </c>
      <c r="F98" s="7">
        <f t="shared" ca="1" si="4"/>
        <v>-1.7453135100193862E-2</v>
      </c>
    </row>
    <row r="99" spans="2:6" x14ac:dyDescent="0.25">
      <c r="B99" s="5" vm="185">
        <f ca="1"/>
        <v>45420</v>
      </c>
      <c r="C99" vm="186">
        <f ca="1"/>
        <v>182.74</v>
      </c>
      <c r="E99" s="13">
        <f t="shared" ca="1" si="3"/>
        <v>1.8640350877192624E-3</v>
      </c>
      <c r="F99" s="7">
        <f t="shared" ca="1" si="4"/>
        <v>-1.5621633268691926E-2</v>
      </c>
    </row>
    <row r="100" spans="2:6" x14ac:dyDescent="0.25">
      <c r="B100" s="5" vm="187">
        <f ca="1"/>
        <v>45421</v>
      </c>
      <c r="C100" vm="188">
        <f ca="1"/>
        <v>184.57</v>
      </c>
      <c r="E100" s="13">
        <f t="shared" ca="1" si="3"/>
        <v>1.0014227864725722E-2</v>
      </c>
      <c r="F100" s="7">
        <f t="shared" ca="1" si="4"/>
        <v>-5.7638439991380963E-3</v>
      </c>
    </row>
    <row r="101" spans="2:6" x14ac:dyDescent="0.25">
      <c r="B101" s="5" vm="189">
        <f ca="1"/>
        <v>45422</v>
      </c>
      <c r="C101" vm="190">
        <f ca="1"/>
        <v>183.05</v>
      </c>
      <c r="E101" s="13">
        <f t="shared" ca="1" si="3"/>
        <v>-8.2353578588069132E-3</v>
      </c>
      <c r="F101" s="7">
        <f t="shared" ca="1" si="4"/>
        <v>-1.3951734539969673E-2</v>
      </c>
    </row>
    <row r="102" spans="2:6" x14ac:dyDescent="0.25">
      <c r="B102" s="5" vm="191">
        <f ca="1"/>
        <v>45425</v>
      </c>
      <c r="C102" vm="192">
        <f ca="1"/>
        <v>186.28</v>
      </c>
      <c r="E102" s="13">
        <f t="shared" ca="1" si="3"/>
        <v>1.7645452062277966E-2</v>
      </c>
      <c r="F102" s="7">
        <f t="shared" ca="1" si="4"/>
        <v>3.4475328592975529E-3</v>
      </c>
    </row>
    <row r="103" spans="2:6" x14ac:dyDescent="0.25">
      <c r="B103" s="5" vm="193">
        <f ca="1"/>
        <v>45426</v>
      </c>
      <c r="C103" vm="194">
        <f ca="1"/>
        <v>187.43</v>
      </c>
      <c r="E103" s="13">
        <f t="shared" ca="1" si="3"/>
        <v>6.1735022546705043E-3</v>
      </c>
      <c r="F103" s="7">
        <f t="shared" ca="1" si="4"/>
        <v>9.6423184658480654E-3</v>
      </c>
    </row>
    <row r="104" spans="2:6" x14ac:dyDescent="0.25">
      <c r="B104" s="5" vm="195">
        <f ca="1"/>
        <v>45427</v>
      </c>
      <c r="C104" vm="196">
        <f ca="1"/>
        <v>189.72</v>
      </c>
      <c r="E104" s="13">
        <f t="shared" ca="1" si="3"/>
        <v>1.2217894680680796E-2</v>
      </c>
      <c r="F104" s="7">
        <f t="shared" ca="1" si="4"/>
        <v>2.1978021978022122E-2</v>
      </c>
    </row>
    <row r="105" spans="2:6" x14ac:dyDescent="0.25">
      <c r="B105" s="5" vm="197">
        <f ca="1"/>
        <v>45428</v>
      </c>
      <c r="C105" vm="198">
        <f ca="1"/>
        <v>189.84</v>
      </c>
      <c r="E105" s="13">
        <f t="shared" ca="1" si="3"/>
        <v>6.3251106894379738E-4</v>
      </c>
      <c r="F105" s="7">
        <f t="shared" ca="1" si="4"/>
        <v>2.2624434389140413E-2</v>
      </c>
    </row>
    <row r="106" spans="2:6" x14ac:dyDescent="0.25">
      <c r="B106" s="5" vm="199">
        <f ca="1"/>
        <v>45429</v>
      </c>
      <c r="C106" vm="200">
        <f ca="1"/>
        <v>189.87</v>
      </c>
      <c r="E106" s="13">
        <f t="shared" ca="1" si="3"/>
        <v>1.5802781289497858E-4</v>
      </c>
      <c r="F106" s="7">
        <f t="shared" ca="1" si="4"/>
        <v>2.2786037491919986E-2</v>
      </c>
    </row>
    <row r="107" spans="2:6" x14ac:dyDescent="0.25">
      <c r="B107" s="5" vm="201">
        <f ca="1"/>
        <v>45432</v>
      </c>
      <c r="C107" vm="202">
        <f ca="1"/>
        <v>191.04</v>
      </c>
      <c r="E107" s="13">
        <f t="shared" ca="1" si="3"/>
        <v>6.1621109179965661E-3</v>
      </c>
      <c r="F107" s="7">
        <f t="shared" ca="1" si="4"/>
        <v>2.9088558500323325E-2</v>
      </c>
    </row>
    <row r="108" spans="2:6" x14ac:dyDescent="0.25">
      <c r="B108" s="5" vm="203">
        <f ca="1"/>
        <v>45433</v>
      </c>
      <c r="C108" vm="204">
        <f ca="1"/>
        <v>192.35</v>
      </c>
      <c r="E108" s="13">
        <f t="shared" ca="1" si="3"/>
        <v>6.8572026800670649E-3</v>
      </c>
      <c r="F108" s="7">
        <f t="shared" ca="1" si="4"/>
        <v>3.6145227321698004E-2</v>
      </c>
    </row>
    <row r="109" spans="2:6" x14ac:dyDescent="0.25">
      <c r="B109" s="5" vm="205">
        <f ca="1"/>
        <v>45434</v>
      </c>
      <c r="C109" vm="206">
        <f ca="1"/>
        <v>190.9</v>
      </c>
      <c r="E109" s="13">
        <f t="shared" ca="1" si="3"/>
        <v>-7.5383415648556662E-3</v>
      </c>
      <c r="F109" s="7">
        <f t="shared" ca="1" si="4"/>
        <v>2.8334410687351985E-2</v>
      </c>
    </row>
    <row r="110" spans="2:6" x14ac:dyDescent="0.25">
      <c r="B110" s="5" vm="207">
        <f ca="1"/>
        <v>45435</v>
      </c>
      <c r="C110" vm="208">
        <f ca="1"/>
        <v>186.88</v>
      </c>
      <c r="E110" s="13">
        <f t="shared" ca="1" si="3"/>
        <v>-2.1058145625982294E-2</v>
      </c>
      <c r="F110" s="7">
        <f t="shared" ca="1" si="4"/>
        <v>6.6795949148890088E-3</v>
      </c>
    </row>
    <row r="111" spans="2:6" x14ac:dyDescent="0.25">
      <c r="B111" s="5" vm="209">
        <f ca="1"/>
        <v>45436</v>
      </c>
      <c r="C111" vm="210">
        <f ca="1"/>
        <v>189.98</v>
      </c>
      <c r="E111" s="13">
        <f t="shared" ca="1" si="3"/>
        <v>1.6588184931506822E-2</v>
      </c>
      <c r="F111" s="7">
        <f t="shared" ca="1" si="4"/>
        <v>2.3378582202111531E-2</v>
      </c>
    </row>
    <row r="112" spans="2:6" x14ac:dyDescent="0.25">
      <c r="B112" s="5" vm="211">
        <f ca="1"/>
        <v>45440</v>
      </c>
      <c r="C112" vm="212">
        <f ca="1"/>
        <v>189.99</v>
      </c>
      <c r="E112" s="13">
        <f t="shared" ca="1" si="3"/>
        <v>5.263711969694107E-5</v>
      </c>
      <c r="F112" s="7">
        <f t="shared" ca="1" si="4"/>
        <v>2.3432449903038277E-2</v>
      </c>
    </row>
    <row r="113" spans="2:6" x14ac:dyDescent="0.25">
      <c r="B113" s="5" vm="213">
        <f ca="1"/>
        <v>45441</v>
      </c>
      <c r="C113" vm="214">
        <f ca="1"/>
        <v>190.29</v>
      </c>
      <c r="E113" s="13">
        <f t="shared" ca="1" si="3"/>
        <v>1.5790304752880679E-3</v>
      </c>
      <c r="F113" s="7">
        <f t="shared" ca="1" si="4"/>
        <v>2.5048480930834005E-2</v>
      </c>
    </row>
    <row r="114" spans="2:6" x14ac:dyDescent="0.25">
      <c r="B114" s="5" vm="215">
        <f ca="1"/>
        <v>45442</v>
      </c>
      <c r="C114" vm="216">
        <f ca="1"/>
        <v>191.29</v>
      </c>
      <c r="E114" s="13">
        <f t="shared" ca="1" si="3"/>
        <v>5.2551368963160705E-3</v>
      </c>
      <c r="F114" s="7">
        <f t="shared" ca="1" si="4"/>
        <v>3.0435251023486432E-2</v>
      </c>
    </row>
    <row r="115" spans="2:6" x14ac:dyDescent="0.25">
      <c r="B115" s="5" vm="217">
        <f ca="1"/>
        <v>45443</v>
      </c>
      <c r="C115" vm="16">
        <f ca="1"/>
        <v>192.25</v>
      </c>
      <c r="E115" s="13">
        <f t="shared" ca="1" si="3"/>
        <v>5.0185582100477077E-3</v>
      </c>
      <c r="F115" s="7">
        <f t="shared" ca="1" si="4"/>
        <v>3.5606550312432761E-2</v>
      </c>
    </row>
    <row r="116" spans="2:6" x14ac:dyDescent="0.25">
      <c r="B116" s="5" vm="218">
        <f ca="1"/>
        <v>45446</v>
      </c>
      <c r="C116" vm="219">
        <f ca="1"/>
        <v>194.03</v>
      </c>
      <c r="E116" s="13">
        <f t="shared" ca="1" si="3"/>
        <v>9.2587776332899718E-3</v>
      </c>
      <c r="F116" s="7">
        <f t="shared" ca="1" si="4"/>
        <v>4.519500107735408E-2</v>
      </c>
    </row>
    <row r="117" spans="2:6" x14ac:dyDescent="0.25">
      <c r="B117" s="5" vm="220">
        <f ca="1"/>
        <v>45447</v>
      </c>
      <c r="C117" vm="221">
        <f ca="1"/>
        <v>194.35</v>
      </c>
      <c r="E117" s="13">
        <f t="shared" ca="1" si="3"/>
        <v>1.6492295005927637E-3</v>
      </c>
      <c r="F117" s="7">
        <f t="shared" ca="1" si="4"/>
        <v>4.6918767507002856E-2</v>
      </c>
    </row>
    <row r="118" spans="2:6" x14ac:dyDescent="0.25">
      <c r="B118" s="5" vm="222">
        <f ca="1"/>
        <v>45448</v>
      </c>
      <c r="C118" vm="223">
        <f ca="1"/>
        <v>195.87</v>
      </c>
      <c r="E118" s="13">
        <f t="shared" ca="1" si="3"/>
        <v>7.8209416002059662E-3</v>
      </c>
      <c r="F118" s="7">
        <f t="shared" ca="1" si="4"/>
        <v>5.5106658047834545E-2</v>
      </c>
    </row>
    <row r="119" spans="2:6" x14ac:dyDescent="0.25">
      <c r="B119" s="5" vm="224">
        <f ca="1"/>
        <v>45449</v>
      </c>
      <c r="C119" vm="225">
        <f ca="1"/>
        <v>194.48</v>
      </c>
      <c r="E119" s="13">
        <f t="shared" ca="1" si="3"/>
        <v>-7.0965436258744186E-3</v>
      </c>
      <c r="F119" s="7">
        <f t="shared" ca="1" si="4"/>
        <v>4.7619047619047672E-2</v>
      </c>
    </row>
    <row r="120" spans="2:6" x14ac:dyDescent="0.25">
      <c r="B120" s="5" vm="226">
        <f ca="1"/>
        <v>45450</v>
      </c>
      <c r="C120" vm="227">
        <f ca="1"/>
        <v>196.89</v>
      </c>
      <c r="E120" s="13">
        <f t="shared" ca="1" si="3"/>
        <v>1.2392019744960958E-2</v>
      </c>
      <c r="F120" s="7">
        <f t="shared" ca="1" si="4"/>
        <v>6.060116354234002E-2</v>
      </c>
    </row>
    <row r="121" spans="2:6" x14ac:dyDescent="0.25">
      <c r="B121" s="5" vm="228">
        <f ca="1"/>
        <v>45453</v>
      </c>
      <c r="C121" vm="229">
        <f ca="1"/>
        <v>193.12</v>
      </c>
      <c r="E121" s="13">
        <f t="shared" ca="1" si="3"/>
        <v>-1.9147747473208354E-2</v>
      </c>
      <c r="F121" s="7">
        <f t="shared" ca="1" si="4"/>
        <v>4.0293040293040372E-2</v>
      </c>
    </row>
    <row r="122" spans="2:6" x14ac:dyDescent="0.25">
      <c r="B122" s="5" vm="230">
        <f ca="1"/>
        <v>45454</v>
      </c>
      <c r="C122" vm="231">
        <f ca="1"/>
        <v>207.15</v>
      </c>
      <c r="E122" s="13">
        <f t="shared" ca="1" si="3"/>
        <v>7.2649130074565083E-2</v>
      </c>
      <c r="F122" s="7">
        <f t="shared" ca="1" si="4"/>
        <v>0.11586942469295414</v>
      </c>
    </row>
    <row r="123" spans="2:6" x14ac:dyDescent="0.25">
      <c r="B123" s="5" vm="232">
        <f ca="1"/>
        <v>45455</v>
      </c>
      <c r="C123" vm="233">
        <f ca="1"/>
        <v>213.07</v>
      </c>
      <c r="E123" s="13">
        <f t="shared" ca="1" si="3"/>
        <v>2.8578324885348616E-2</v>
      </c>
      <c r="F123" s="7">
        <f t="shared" ca="1" si="4"/>
        <v>0.14775910364145672</v>
      </c>
    </row>
    <row r="124" spans="2:6" x14ac:dyDescent="0.25">
      <c r="B124" s="5" vm="234">
        <f ca="1"/>
        <v>45456</v>
      </c>
      <c r="C124" vm="235">
        <f ca="1"/>
        <v>214.24</v>
      </c>
      <c r="E124" s="13">
        <f t="shared" ca="1" si="3"/>
        <v>5.4911531421599769E-3</v>
      </c>
      <c r="F124" s="7">
        <f t="shared" ca="1" si="4"/>
        <v>0.15406162464986006</v>
      </c>
    </row>
    <row r="125" spans="2:6" x14ac:dyDescent="0.25">
      <c r="B125" s="5" vm="236">
        <f ca="1"/>
        <v>45457</v>
      </c>
      <c r="C125" vm="237">
        <f ca="1"/>
        <v>212.49</v>
      </c>
      <c r="E125" s="13">
        <f t="shared" ca="1" si="3"/>
        <v>-8.1684092606422176E-3</v>
      </c>
      <c r="F125" s="7">
        <f t="shared" ca="1" si="4"/>
        <v>0.14463477698771832</v>
      </c>
    </row>
    <row r="126" spans="2:6" x14ac:dyDescent="0.25">
      <c r="B126" s="5" vm="238">
        <f ca="1"/>
        <v>45460</v>
      </c>
      <c r="C126" vm="239">
        <f ca="1"/>
        <v>216.67</v>
      </c>
      <c r="E126" s="13">
        <f t="shared" ca="1" si="3"/>
        <v>1.9671513953597675E-2</v>
      </c>
      <c r="F126" s="7">
        <f t="shared" ca="1" si="4"/>
        <v>0.16715147597500546</v>
      </c>
    </row>
    <row r="127" spans="2:6" x14ac:dyDescent="0.25">
      <c r="B127" s="5" vm="240">
        <f ca="1"/>
        <v>45461</v>
      </c>
      <c r="C127" vm="241">
        <f ca="1"/>
        <v>214.29</v>
      </c>
      <c r="E127" s="13">
        <f t="shared" ca="1" si="3"/>
        <v>-1.0984446393132341E-2</v>
      </c>
      <c r="F127" s="7">
        <f t="shared" ca="1" si="4"/>
        <v>0.15433096315449268</v>
      </c>
    </row>
    <row r="128" spans="2:6" x14ac:dyDescent="0.25">
      <c r="B128" s="5" vm="242">
        <f ca="1"/>
        <v>45463</v>
      </c>
      <c r="C128" vm="243">
        <f ca="1"/>
        <v>209.68</v>
      </c>
      <c r="E128" s="13">
        <f t="shared" ca="1" si="3"/>
        <v>-2.1512903075271761E-2</v>
      </c>
      <c r="F128" s="7">
        <f t="shared" ca="1" si="4"/>
        <v>0.129497953027365</v>
      </c>
    </row>
    <row r="129" spans="2:6" x14ac:dyDescent="0.25">
      <c r="B129" s="5" vm="244">
        <f ca="1"/>
        <v>45464</v>
      </c>
      <c r="C129" vm="245">
        <f ca="1"/>
        <v>207.49</v>
      </c>
      <c r="E129" s="13">
        <f t="shared" ca="1" si="3"/>
        <v>-1.0444486837085099E-2</v>
      </c>
      <c r="F129" s="7">
        <f t="shared" ca="1" si="4"/>
        <v>0.11770092652445596</v>
      </c>
    </row>
    <row r="130" spans="2:6" x14ac:dyDescent="0.25">
      <c r="B130" s="5" vm="246">
        <f ca="1"/>
        <v>45467</v>
      </c>
      <c r="C130" vm="247">
        <f ca="1"/>
        <v>208.14</v>
      </c>
      <c r="E130" s="13">
        <f t="shared" ca="1" si="3"/>
        <v>3.1326810930645266E-3</v>
      </c>
      <c r="F130" s="7">
        <f t="shared" ca="1" si="4"/>
        <v>0.12120232708468004</v>
      </c>
    </row>
    <row r="131" spans="2:6" x14ac:dyDescent="0.25">
      <c r="B131" s="5" vm="248">
        <f ca="1"/>
        <v>45468</v>
      </c>
      <c r="C131" vm="249">
        <f ca="1"/>
        <v>209.07</v>
      </c>
      <c r="E131" s="13">
        <f t="shared" ca="1" si="3"/>
        <v>4.4681464398963477E-3</v>
      </c>
      <c r="F131" s="7">
        <f t="shared" ca="1" si="4"/>
        <v>0.1262120232708468</v>
      </c>
    </row>
    <row r="132" spans="2:6" x14ac:dyDescent="0.25">
      <c r="B132" s="5" vm="250">
        <f ca="1"/>
        <v>45469</v>
      </c>
      <c r="C132" vm="251">
        <f ca="1"/>
        <v>213.25</v>
      </c>
      <c r="E132" s="13">
        <f t="shared" ca="1" si="3"/>
        <v>1.9993303678193852E-2</v>
      </c>
      <c r="F132" s="7">
        <f t="shared" ca="1" si="4"/>
        <v>0.14872872225813416</v>
      </c>
    </row>
    <row r="133" spans="2:6" x14ac:dyDescent="0.25">
      <c r="B133" s="5" vm="252">
        <f ca="1"/>
        <v>45470</v>
      </c>
      <c r="C133" vm="253">
        <f ca="1"/>
        <v>214.1</v>
      </c>
      <c r="E133" s="13">
        <f t="shared" ca="1" si="3"/>
        <v>3.9859320046893298E-3</v>
      </c>
      <c r="F133" s="7">
        <f t="shared" ca="1" si="4"/>
        <v>0.15330747683688872</v>
      </c>
    </row>
    <row r="134" spans="2:6" x14ac:dyDescent="0.25">
      <c r="B134" s="5" vm="254">
        <f ca="1"/>
        <v>45471</v>
      </c>
      <c r="C134" vm="19">
        <f ca="1"/>
        <v>210.62</v>
      </c>
      <c r="E134" s="13">
        <f t="shared" ca="1" si="3"/>
        <v>-1.625408687529184E-2</v>
      </c>
      <c r="F134" s="7">
        <f t="shared" ca="1" si="4"/>
        <v>0.13456151691445828</v>
      </c>
    </row>
    <row r="135" spans="2:6" x14ac:dyDescent="0.25">
      <c r="B135" s="5" vm="255">
        <f ca="1"/>
        <v>45474</v>
      </c>
      <c r="C135" vm="256">
        <f ca="1"/>
        <v>216.75</v>
      </c>
      <c r="E135" s="13">
        <f t="shared" ca="1" si="3"/>
        <v>2.9104548475928249E-2</v>
      </c>
      <c r="F135" s="7">
        <f t="shared" ca="1" si="4"/>
        <v>0.16758241758241765</v>
      </c>
    </row>
    <row r="136" spans="2:6" x14ac:dyDescent="0.25">
      <c r="B136" s="5" vm="257">
        <f ca="1"/>
        <v>45475</v>
      </c>
      <c r="C136" vm="258">
        <f ca="1"/>
        <v>220.27</v>
      </c>
      <c r="E136" s="13">
        <f t="shared" ca="1" si="3"/>
        <v>1.6239907727797043E-2</v>
      </c>
      <c r="F136" s="7">
        <f t="shared" ca="1" si="4"/>
        <v>0.18654384830855442</v>
      </c>
    </row>
    <row r="137" spans="2:6" x14ac:dyDescent="0.25">
      <c r="B137" s="5" vm="259">
        <f ca="1"/>
        <v>45476</v>
      </c>
      <c r="C137" vm="260">
        <f ca="1"/>
        <v>221.55</v>
      </c>
      <c r="E137" s="13">
        <f t="shared" ca="1" si="3"/>
        <v>5.8110500749080085E-3</v>
      </c>
      <c r="F137" s="7">
        <f t="shared" ca="1" si="4"/>
        <v>0.19343891402714952</v>
      </c>
    </row>
    <row r="138" spans="2:6" x14ac:dyDescent="0.25">
      <c r="B138" s="5" vm="261">
        <f ca="1"/>
        <v>45478</v>
      </c>
      <c r="C138" vm="262">
        <f ca="1"/>
        <v>226.34</v>
      </c>
      <c r="E138" s="13">
        <f t="shared" ca="1" si="3"/>
        <v>2.162040171518842E-2</v>
      </c>
      <c r="F138" s="7">
        <f t="shared" ca="1" si="4"/>
        <v>0.21924154277095464</v>
      </c>
    </row>
    <row r="139" spans="2:6" x14ac:dyDescent="0.25">
      <c r="B139" s="5" vm="263">
        <f ca="1"/>
        <v>45481</v>
      </c>
      <c r="C139" vm="264">
        <f ca="1"/>
        <v>227.82</v>
      </c>
      <c r="E139" s="13">
        <f t="shared" ca="1" si="3"/>
        <v>6.5388353804012311E-3</v>
      </c>
      <c r="F139" s="7">
        <f t="shared" ca="1" si="4"/>
        <v>0.22721396250808024</v>
      </c>
    </row>
    <row r="140" spans="2:6" x14ac:dyDescent="0.25">
      <c r="B140" s="5" vm="265">
        <f ca="1"/>
        <v>45482</v>
      </c>
      <c r="C140" vm="266">
        <f ca="1"/>
        <v>228.68</v>
      </c>
      <c r="E140" s="13">
        <f t="shared" ca="1" si="3"/>
        <v>3.7749100166799554E-3</v>
      </c>
      <c r="F140" s="7">
        <f t="shared" ca="1" si="4"/>
        <v>0.23184658478776132</v>
      </c>
    </row>
    <row r="141" spans="2:6" x14ac:dyDescent="0.25">
      <c r="B141" s="5" vm="267">
        <f ca="1"/>
        <v>45483</v>
      </c>
      <c r="C141" vm="268">
        <f ca="1"/>
        <v>232.98</v>
      </c>
      <c r="E141" s="13">
        <f t="shared" ref="E141:E204" ca="1" si="5">C141/C140-1</f>
        <v>1.8803568305054918E-2</v>
      </c>
      <c r="F141" s="7">
        <f t="shared" ref="F141:F204" ca="1" si="6">C141/$C$11-1</f>
        <v>0.25500969618616676</v>
      </c>
    </row>
    <row r="142" spans="2:6" x14ac:dyDescent="0.25">
      <c r="B142" s="5" vm="269">
        <f ca="1"/>
        <v>45484</v>
      </c>
      <c r="C142" vm="270">
        <f ca="1"/>
        <v>227.57</v>
      </c>
      <c r="E142" s="13">
        <f t="shared" ca="1" si="5"/>
        <v>-2.3220877328526068E-2</v>
      </c>
      <c r="F142" s="7">
        <f t="shared" ca="1" si="6"/>
        <v>0.22586726998491713</v>
      </c>
    </row>
    <row r="143" spans="2:6" x14ac:dyDescent="0.25">
      <c r="B143" s="5" vm="271">
        <f ca="1"/>
        <v>45485</v>
      </c>
      <c r="C143" vm="272">
        <f ca="1"/>
        <v>230.54</v>
      </c>
      <c r="E143" s="13">
        <f t="shared" ca="1" si="5"/>
        <v>1.3050929384365251E-2</v>
      </c>
      <c r="F143" s="7">
        <f t="shared" ca="1" si="6"/>
        <v>0.24186597716009484</v>
      </c>
    </row>
    <row r="144" spans="2:6" x14ac:dyDescent="0.25">
      <c r="B144" s="5" vm="273">
        <f ca="1"/>
        <v>45488</v>
      </c>
      <c r="C144" vm="274">
        <f ca="1"/>
        <v>234.4</v>
      </c>
      <c r="E144" s="13">
        <f t="shared" ca="1" si="5"/>
        <v>1.6743298343020685E-2</v>
      </c>
      <c r="F144" s="7">
        <f t="shared" ca="1" si="6"/>
        <v>0.26265890971773342</v>
      </c>
    </row>
    <row r="145" spans="2:6" x14ac:dyDescent="0.25">
      <c r="B145" s="5" vm="275">
        <f ca="1"/>
        <v>45489</v>
      </c>
      <c r="C145" vm="276">
        <f ca="1"/>
        <v>234.82</v>
      </c>
      <c r="E145" s="13">
        <f t="shared" ca="1" si="5"/>
        <v>1.7918088737201021E-3</v>
      </c>
      <c r="F145" s="7">
        <f t="shared" ca="1" si="6"/>
        <v>0.26492135315664722</v>
      </c>
    </row>
    <row r="146" spans="2:6" x14ac:dyDescent="0.25">
      <c r="B146" s="5" vm="277">
        <f ca="1"/>
        <v>45490</v>
      </c>
      <c r="C146" vm="278">
        <f ca="1"/>
        <v>228.88</v>
      </c>
      <c r="E146" s="13">
        <f t="shared" ca="1" si="5"/>
        <v>-2.5295971382335414E-2</v>
      </c>
      <c r="F146" s="7">
        <f t="shared" ca="1" si="6"/>
        <v>0.23292393880629181</v>
      </c>
    </row>
    <row r="147" spans="2:6" x14ac:dyDescent="0.25">
      <c r="B147" s="5" vm="279">
        <f ca="1"/>
        <v>45491</v>
      </c>
      <c r="C147" vm="280">
        <f ca="1"/>
        <v>224.18</v>
      </c>
      <c r="E147" s="13">
        <f t="shared" ca="1" si="5"/>
        <v>-2.0534778049632996E-2</v>
      </c>
      <c r="F147" s="7">
        <f t="shared" ca="1" si="6"/>
        <v>0.2076061193708254</v>
      </c>
    </row>
    <row r="148" spans="2:6" x14ac:dyDescent="0.25">
      <c r="B148" s="5" vm="281">
        <f ca="1"/>
        <v>45492</v>
      </c>
      <c r="C148" vm="282">
        <f ca="1"/>
        <v>224.31</v>
      </c>
      <c r="E148" s="13">
        <f t="shared" ca="1" si="5"/>
        <v>5.7989115889012233E-4</v>
      </c>
      <c r="F148" s="7">
        <f t="shared" ca="1" si="6"/>
        <v>0.20830639948287022</v>
      </c>
    </row>
    <row r="149" spans="2:6" x14ac:dyDescent="0.25">
      <c r="B149" s="5" vm="283">
        <f ca="1"/>
        <v>45495</v>
      </c>
      <c r="C149" vm="284">
        <f ca="1"/>
        <v>223.96</v>
      </c>
      <c r="E149" s="13">
        <f t="shared" ca="1" si="5"/>
        <v>-1.5603406000623821E-3</v>
      </c>
      <c r="F149" s="7">
        <f t="shared" ca="1" si="6"/>
        <v>0.20642102995044187</v>
      </c>
    </row>
    <row r="150" spans="2:6" x14ac:dyDescent="0.25">
      <c r="B150" s="5" vm="285">
        <f ca="1"/>
        <v>45496</v>
      </c>
      <c r="C150" vm="286">
        <f ca="1"/>
        <v>225.01</v>
      </c>
      <c r="E150" s="13">
        <f t="shared" ca="1" si="5"/>
        <v>4.688337203071935E-3</v>
      </c>
      <c r="F150" s="7">
        <f t="shared" ca="1" si="6"/>
        <v>0.21207713854772692</v>
      </c>
    </row>
    <row r="151" spans="2:6" x14ac:dyDescent="0.25">
      <c r="B151" s="5" vm="287">
        <f ca="1"/>
        <v>45497</v>
      </c>
      <c r="C151" vm="288">
        <f ca="1"/>
        <v>218.54</v>
      </c>
      <c r="E151" s="13">
        <f t="shared" ca="1" si="5"/>
        <v>-2.8754277587662802E-2</v>
      </c>
      <c r="F151" s="7">
        <f t="shared" ca="1" si="6"/>
        <v>0.1772247360482655</v>
      </c>
    </row>
    <row r="152" spans="2:6" x14ac:dyDescent="0.25">
      <c r="B152" s="5" vm="289">
        <f ca="1"/>
        <v>45498</v>
      </c>
      <c r="C152" vm="290">
        <f ca="1"/>
        <v>217.49</v>
      </c>
      <c r="E152" s="13">
        <f t="shared" ca="1" si="5"/>
        <v>-4.8046124279307323E-3</v>
      </c>
      <c r="F152" s="7">
        <f t="shared" ca="1" si="6"/>
        <v>0.17156862745098045</v>
      </c>
    </row>
    <row r="153" spans="2:6" x14ac:dyDescent="0.25">
      <c r="B153" s="5" vm="291">
        <f ca="1"/>
        <v>45499</v>
      </c>
      <c r="C153" vm="292">
        <f ca="1"/>
        <v>217.96</v>
      </c>
      <c r="E153" s="13">
        <f t="shared" ca="1" si="5"/>
        <v>2.1610188974205968E-3</v>
      </c>
      <c r="F153" s="7">
        <f t="shared" ca="1" si="6"/>
        <v>0.17410040939452709</v>
      </c>
    </row>
    <row r="154" spans="2:6" x14ac:dyDescent="0.25">
      <c r="B154" s="5" vm="293">
        <f ca="1"/>
        <v>45502</v>
      </c>
      <c r="C154" vm="294">
        <f ca="1"/>
        <v>218.24</v>
      </c>
      <c r="E154" s="13">
        <f t="shared" ca="1" si="5"/>
        <v>1.2846393833731984E-3</v>
      </c>
      <c r="F154" s="7">
        <f t="shared" ca="1" si="6"/>
        <v>0.17560870502046977</v>
      </c>
    </row>
    <row r="155" spans="2:6" x14ac:dyDescent="0.25">
      <c r="B155" s="5" vm="295">
        <f ca="1"/>
        <v>45503</v>
      </c>
      <c r="C155" vm="296">
        <f ca="1"/>
        <v>218.8</v>
      </c>
      <c r="E155" s="13">
        <f t="shared" ca="1" si="5"/>
        <v>2.5659824046921909E-3</v>
      </c>
      <c r="F155" s="7">
        <f t="shared" ca="1" si="6"/>
        <v>0.17862529627235535</v>
      </c>
    </row>
    <row r="156" spans="2:6" x14ac:dyDescent="0.25">
      <c r="B156" s="5" vm="297">
        <f ca="1"/>
        <v>45504</v>
      </c>
      <c r="C156" vm="22">
        <f ca="1"/>
        <v>222.08</v>
      </c>
      <c r="E156" s="13">
        <f t="shared" ca="1" si="5"/>
        <v>1.4990859232175469E-2</v>
      </c>
      <c r="F156" s="7">
        <f t="shared" ca="1" si="6"/>
        <v>0.19629390217625531</v>
      </c>
    </row>
    <row r="157" spans="2:6" x14ac:dyDescent="0.25">
      <c r="B157" s="5" vm="298">
        <f ca="1"/>
        <v>45505</v>
      </c>
      <c r="C157" vm="299">
        <f ca="1"/>
        <v>218.36</v>
      </c>
      <c r="E157" s="13">
        <f t="shared" ca="1" si="5"/>
        <v>-1.6750720461095048E-2</v>
      </c>
      <c r="F157" s="7">
        <f t="shared" ca="1" si="6"/>
        <v>0.17625511743158828</v>
      </c>
    </row>
    <row r="158" spans="2:6" x14ac:dyDescent="0.25">
      <c r="B158" s="5" vm="300">
        <f ca="1"/>
        <v>45506</v>
      </c>
      <c r="C158" vm="301">
        <f ca="1"/>
        <v>219.86</v>
      </c>
      <c r="E158" s="13">
        <f t="shared" ca="1" si="5"/>
        <v>6.8693899981682183E-3</v>
      </c>
      <c r="F158" s="7">
        <f t="shared" ca="1" si="6"/>
        <v>0.18433527257056692</v>
      </c>
    </row>
    <row r="159" spans="2:6" x14ac:dyDescent="0.25">
      <c r="B159" s="5" vm="302">
        <f ca="1"/>
        <v>45509</v>
      </c>
      <c r="C159" vm="303">
        <f ca="1"/>
        <v>209.27</v>
      </c>
      <c r="E159" s="13">
        <f t="shared" ca="1" si="5"/>
        <v>-4.8167015373419497E-2</v>
      </c>
      <c r="F159" s="7">
        <f t="shared" ca="1" si="6"/>
        <v>0.1272893772893775</v>
      </c>
    </row>
    <row r="160" spans="2:6" x14ac:dyDescent="0.25">
      <c r="B160" s="5" vm="304">
        <f ca="1"/>
        <v>45510</v>
      </c>
      <c r="C160" vm="305">
        <f ca="1"/>
        <v>207.23</v>
      </c>
      <c r="E160" s="13">
        <f t="shared" ca="1" si="5"/>
        <v>-9.7481722177092944E-3</v>
      </c>
      <c r="F160" s="7">
        <f t="shared" ca="1" si="6"/>
        <v>0.11630036630036633</v>
      </c>
    </row>
    <row r="161" spans="2:6" x14ac:dyDescent="0.25">
      <c r="B161" s="5" vm="306">
        <f ca="1"/>
        <v>45511</v>
      </c>
      <c r="C161" vm="307">
        <f ca="1"/>
        <v>209.82</v>
      </c>
      <c r="E161" s="13">
        <f t="shared" ca="1" si="5"/>
        <v>1.249819041644562E-2</v>
      </c>
      <c r="F161" s="7">
        <f t="shared" ca="1" si="6"/>
        <v>0.13025210084033612</v>
      </c>
    </row>
    <row r="162" spans="2:6" x14ac:dyDescent="0.25">
      <c r="B162" s="5" vm="308">
        <f ca="1"/>
        <v>45512</v>
      </c>
      <c r="C162" vm="309">
        <f ca="1"/>
        <v>213.31</v>
      </c>
      <c r="E162" s="13">
        <f t="shared" ca="1" si="5"/>
        <v>1.6633304737394106E-2</v>
      </c>
      <c r="F162" s="7">
        <f t="shared" ca="1" si="6"/>
        <v>0.14905192846369331</v>
      </c>
    </row>
    <row r="163" spans="2:6" x14ac:dyDescent="0.25">
      <c r="B163" s="5" vm="310">
        <f ca="1"/>
        <v>45513</v>
      </c>
      <c r="C163" vm="311">
        <f ca="1"/>
        <v>216.24</v>
      </c>
      <c r="E163" s="13">
        <f t="shared" ca="1" si="5"/>
        <v>1.3735877361586546E-2</v>
      </c>
      <c r="F163" s="7">
        <f t="shared" ca="1" si="6"/>
        <v>0.16483516483516492</v>
      </c>
    </row>
    <row r="164" spans="2:6" x14ac:dyDescent="0.25">
      <c r="B164" s="5" vm="312">
        <f ca="1"/>
        <v>45516</v>
      </c>
      <c r="C164" vm="313">
        <f ca="1"/>
        <v>217.53</v>
      </c>
      <c r="E164" s="13">
        <f t="shared" ca="1" si="5"/>
        <v>5.9655937846836427E-3</v>
      </c>
      <c r="F164" s="7">
        <f t="shared" ca="1" si="6"/>
        <v>0.17178409825468655</v>
      </c>
    </row>
    <row r="165" spans="2:6" x14ac:dyDescent="0.25">
      <c r="B165" s="5" vm="314">
        <f ca="1"/>
        <v>45517</v>
      </c>
      <c r="C165" vm="315">
        <f ca="1"/>
        <v>221.27</v>
      </c>
      <c r="E165" s="13">
        <f t="shared" ca="1" si="5"/>
        <v>1.7193030846320179E-2</v>
      </c>
      <c r="F165" s="7">
        <f t="shared" ca="1" si="6"/>
        <v>0.19193061840120684</v>
      </c>
    </row>
    <row r="166" spans="2:6" x14ac:dyDescent="0.25">
      <c r="B166" s="5" vm="316">
        <f ca="1"/>
        <v>45518</v>
      </c>
      <c r="C166" vm="317">
        <f ca="1"/>
        <v>221.72</v>
      </c>
      <c r="E166" s="13">
        <f t="shared" ca="1" si="5"/>
        <v>2.0337144664888118E-3</v>
      </c>
      <c r="F166" s="7">
        <f t="shared" ca="1" si="6"/>
        <v>0.19435466494290021</v>
      </c>
    </row>
    <row r="167" spans="2:6" x14ac:dyDescent="0.25">
      <c r="B167" s="5" vm="318">
        <f ca="1"/>
        <v>45519</v>
      </c>
      <c r="C167" vm="319">
        <f ca="1"/>
        <v>224.72</v>
      </c>
      <c r="E167" s="13">
        <f t="shared" ca="1" si="5"/>
        <v>1.3530579108785856E-2</v>
      </c>
      <c r="F167" s="7">
        <f t="shared" ca="1" si="6"/>
        <v>0.21051497522085771</v>
      </c>
    </row>
    <row r="168" spans="2:6" x14ac:dyDescent="0.25">
      <c r="B168" s="5" vm="320">
        <f ca="1"/>
        <v>45520</v>
      </c>
      <c r="C168" vm="321">
        <f ca="1"/>
        <v>226.05</v>
      </c>
      <c r="E168" s="13">
        <f t="shared" ca="1" si="5"/>
        <v>5.9184763260946571E-3</v>
      </c>
      <c r="F168" s="7">
        <f t="shared" ca="1" si="6"/>
        <v>0.21767937944408544</v>
      </c>
    </row>
    <row r="169" spans="2:6" x14ac:dyDescent="0.25">
      <c r="B169" s="5" vm="322">
        <f ca="1"/>
        <v>45523</v>
      </c>
      <c r="C169" vm="323">
        <f ca="1"/>
        <v>225.89</v>
      </c>
      <c r="E169" s="13">
        <f t="shared" ca="1" si="5"/>
        <v>-7.0780800707814784E-4</v>
      </c>
      <c r="F169" s="7">
        <f t="shared" ca="1" si="6"/>
        <v>0.21681749622926105</v>
      </c>
    </row>
    <row r="170" spans="2:6" x14ac:dyDescent="0.25">
      <c r="B170" s="5" vm="324">
        <f ca="1"/>
        <v>45524</v>
      </c>
      <c r="C170" vm="325">
        <f ca="1"/>
        <v>226.51</v>
      </c>
      <c r="E170" s="13">
        <f t="shared" ca="1" si="5"/>
        <v>2.744698747177754E-3</v>
      </c>
      <c r="F170" s="7">
        <f t="shared" ca="1" si="6"/>
        <v>0.22015729368670556</v>
      </c>
    </row>
    <row r="171" spans="2:6" x14ac:dyDescent="0.25">
      <c r="B171" s="5" vm="326">
        <f ca="1"/>
        <v>45525</v>
      </c>
      <c r="C171" vm="327">
        <f ca="1"/>
        <v>226.4</v>
      </c>
      <c r="E171" s="13">
        <f t="shared" ca="1" si="5"/>
        <v>-4.8562977351984671E-4</v>
      </c>
      <c r="F171" s="7">
        <f t="shared" ca="1" si="6"/>
        <v>0.21956474897651379</v>
      </c>
    </row>
    <row r="172" spans="2:6" x14ac:dyDescent="0.25">
      <c r="B172" s="5" vm="328">
        <f ca="1"/>
        <v>45526</v>
      </c>
      <c r="C172" vm="329">
        <f ca="1"/>
        <v>224.53</v>
      </c>
      <c r="E172" s="13">
        <f t="shared" ca="1" si="5"/>
        <v>-8.2597173144876024E-3</v>
      </c>
      <c r="F172" s="7">
        <f t="shared" ca="1" si="6"/>
        <v>0.20949148890325375</v>
      </c>
    </row>
    <row r="173" spans="2:6" x14ac:dyDescent="0.25">
      <c r="B173" s="5" vm="330">
        <f ca="1"/>
        <v>45527</v>
      </c>
      <c r="C173" vm="331">
        <f ca="1"/>
        <v>226.84</v>
      </c>
      <c r="E173" s="13">
        <f t="shared" ca="1" si="5"/>
        <v>1.0288157484523275E-2</v>
      </c>
      <c r="F173" s="7">
        <f t="shared" ca="1" si="6"/>
        <v>0.22193492781728086</v>
      </c>
    </row>
    <row r="174" spans="2:6" x14ac:dyDescent="0.25">
      <c r="B174" s="5" vm="332">
        <f ca="1"/>
        <v>45530</v>
      </c>
      <c r="C174" vm="333">
        <f ca="1"/>
        <v>227.18</v>
      </c>
      <c r="E174" s="13">
        <f t="shared" ca="1" si="5"/>
        <v>1.4988538176687882E-3</v>
      </c>
      <c r="F174" s="7">
        <f t="shared" ca="1" si="6"/>
        <v>0.22376642964878268</v>
      </c>
    </row>
    <row r="175" spans="2:6" x14ac:dyDescent="0.25">
      <c r="B175" s="5" vm="334">
        <f ca="1"/>
        <v>45531</v>
      </c>
      <c r="C175" vm="335">
        <f ca="1"/>
        <v>228.03</v>
      </c>
      <c r="E175" s="13">
        <f t="shared" ca="1" si="5"/>
        <v>3.7415265428295541E-3</v>
      </c>
      <c r="F175" s="7">
        <f t="shared" ca="1" si="6"/>
        <v>0.22834518422753725</v>
      </c>
    </row>
    <row r="176" spans="2:6" x14ac:dyDescent="0.25">
      <c r="B176" s="5" vm="336">
        <f ca="1"/>
        <v>45532</v>
      </c>
      <c r="C176" vm="337">
        <f ca="1"/>
        <v>226.49</v>
      </c>
      <c r="E176" s="13">
        <f t="shared" ca="1" si="5"/>
        <v>-6.7534973468402759E-3</v>
      </c>
      <c r="F176" s="7">
        <f t="shared" ca="1" si="6"/>
        <v>0.22004955828485251</v>
      </c>
    </row>
    <row r="177" spans="2:6" x14ac:dyDescent="0.25">
      <c r="B177" s="5" vm="338">
        <f ca="1"/>
        <v>45533</v>
      </c>
      <c r="C177" vm="339">
        <f ca="1"/>
        <v>229.79</v>
      </c>
      <c r="E177" s="13">
        <f t="shared" ca="1" si="5"/>
        <v>1.4570179698882857E-2</v>
      </c>
      <c r="F177" s="7">
        <f t="shared" ca="1" si="6"/>
        <v>0.23782589959060552</v>
      </c>
    </row>
    <row r="178" spans="2:6" x14ac:dyDescent="0.25">
      <c r="B178" s="5" vm="340">
        <f ca="1"/>
        <v>45534</v>
      </c>
      <c r="C178" vm="25">
        <f ca="1"/>
        <v>229</v>
      </c>
      <c r="E178" s="13">
        <f t="shared" ca="1" si="5"/>
        <v>-3.4379215805735441E-3</v>
      </c>
      <c r="F178" s="7">
        <f t="shared" ca="1" si="6"/>
        <v>0.2335703512174101</v>
      </c>
    </row>
    <row r="179" spans="2:6" x14ac:dyDescent="0.25">
      <c r="B179" s="5" vm="341">
        <f ca="1"/>
        <v>45538</v>
      </c>
      <c r="C179" vm="342">
        <f ca="1"/>
        <v>222.77</v>
      </c>
      <c r="E179" s="13">
        <f t="shared" ca="1" si="5"/>
        <v>-2.7205240174672407E-2</v>
      </c>
      <c r="F179" s="7">
        <f t="shared" ca="1" si="6"/>
        <v>0.20001077354018548</v>
      </c>
    </row>
    <row r="180" spans="2:6" x14ac:dyDescent="0.25">
      <c r="B180" s="5" vm="343">
        <f ca="1"/>
        <v>45539</v>
      </c>
      <c r="C180" vm="344">
        <f ca="1"/>
        <v>220.85</v>
      </c>
      <c r="E180" s="13">
        <f t="shared" ca="1" si="5"/>
        <v>-8.6187547694932531E-3</v>
      </c>
      <c r="F180" s="7">
        <f t="shared" ca="1" si="6"/>
        <v>0.1896681749622926</v>
      </c>
    </row>
    <row r="181" spans="2:6" x14ac:dyDescent="0.25">
      <c r="B181" s="5" vm="345">
        <f ca="1"/>
        <v>45540</v>
      </c>
      <c r="C181" vm="346">
        <f ca="1"/>
        <v>222.38</v>
      </c>
      <c r="E181" s="13">
        <f t="shared" ca="1" si="5"/>
        <v>6.9277790355444235E-3</v>
      </c>
      <c r="F181" s="7">
        <f t="shared" ca="1" si="6"/>
        <v>0.19790993320405081</v>
      </c>
    </row>
    <row r="182" spans="2:6" x14ac:dyDescent="0.25">
      <c r="B182" s="5" vm="347">
        <f ca="1"/>
        <v>45541</v>
      </c>
      <c r="C182" vm="348">
        <f ca="1"/>
        <v>220.82</v>
      </c>
      <c r="E182" s="13">
        <f t="shared" ca="1" si="5"/>
        <v>-7.0150193362712443E-3</v>
      </c>
      <c r="F182" s="7">
        <f t="shared" ca="1" si="6"/>
        <v>0.18950657185951303</v>
      </c>
    </row>
    <row r="183" spans="2:6" x14ac:dyDescent="0.25">
      <c r="B183" s="5" vm="349">
        <f ca="1"/>
        <v>45544</v>
      </c>
      <c r="C183" vm="350">
        <f ca="1"/>
        <v>220.91</v>
      </c>
      <c r="E183" s="13">
        <f t="shared" ca="1" si="5"/>
        <v>4.0757177791861388E-4</v>
      </c>
      <c r="F183" s="7">
        <f t="shared" ca="1" si="6"/>
        <v>0.18999138116785175</v>
      </c>
    </row>
    <row r="184" spans="2:6" x14ac:dyDescent="0.25">
      <c r="B184" s="5" vm="351">
        <f ca="1"/>
        <v>45545</v>
      </c>
      <c r="C184" vm="352">
        <f ca="1"/>
        <v>220.11</v>
      </c>
      <c r="E184" s="13">
        <f t="shared" ca="1" si="5"/>
        <v>-3.621384274138717E-3</v>
      </c>
      <c r="F184" s="7">
        <f t="shared" ca="1" si="6"/>
        <v>0.18568196509373003</v>
      </c>
    </row>
    <row r="185" spans="2:6" x14ac:dyDescent="0.25">
      <c r="B185" s="5" vm="353">
        <f ca="1"/>
        <v>45546</v>
      </c>
      <c r="C185" vm="354">
        <f ca="1"/>
        <v>222.66</v>
      </c>
      <c r="E185" s="13">
        <f t="shared" ca="1" si="5"/>
        <v>1.1585116532642603E-2</v>
      </c>
      <c r="F185" s="7">
        <f t="shared" ca="1" si="6"/>
        <v>0.19941822882999372</v>
      </c>
    </row>
    <row r="186" spans="2:6" x14ac:dyDescent="0.25">
      <c r="B186" s="5" vm="355">
        <f ca="1"/>
        <v>45547</v>
      </c>
      <c r="C186" vm="342">
        <f ca="1"/>
        <v>222.77</v>
      </c>
      <c r="E186" s="13">
        <f t="shared" ca="1" si="5"/>
        <v>4.9402676726861827E-4</v>
      </c>
      <c r="F186" s="7">
        <f t="shared" ca="1" si="6"/>
        <v>0.20001077354018548</v>
      </c>
    </row>
    <row r="187" spans="2:6" x14ac:dyDescent="0.25">
      <c r="B187" s="5" vm="356">
        <f ca="1"/>
        <v>45548</v>
      </c>
      <c r="C187" vm="357">
        <f ca="1"/>
        <v>222.5</v>
      </c>
      <c r="E187" s="13">
        <f t="shared" ca="1" si="5"/>
        <v>-1.2120123894600043E-3</v>
      </c>
      <c r="F187" s="7">
        <f t="shared" ca="1" si="6"/>
        <v>0.19855634561516933</v>
      </c>
    </row>
    <row r="188" spans="2:6" x14ac:dyDescent="0.25">
      <c r="B188" s="5" vm="358">
        <f ca="1"/>
        <v>45551</v>
      </c>
      <c r="C188" vm="359">
        <f ca="1"/>
        <v>216.32</v>
      </c>
      <c r="E188" s="13">
        <f t="shared" ca="1" si="5"/>
        <v>-2.7775280898876487E-2</v>
      </c>
      <c r="F188" s="7">
        <f t="shared" ca="1" si="6"/>
        <v>0.16526610644257711</v>
      </c>
    </row>
    <row r="189" spans="2:6" x14ac:dyDescent="0.25">
      <c r="B189" s="5" vm="360">
        <f ca="1"/>
        <v>45552</v>
      </c>
      <c r="C189" vm="361">
        <f ca="1"/>
        <v>216.79</v>
      </c>
      <c r="E189" s="13">
        <f t="shared" ca="1" si="5"/>
        <v>2.1727071005916976E-3</v>
      </c>
      <c r="F189" s="7">
        <f t="shared" ca="1" si="6"/>
        <v>0.16779788838612375</v>
      </c>
    </row>
    <row r="190" spans="2:6" x14ac:dyDescent="0.25">
      <c r="B190" s="5" vm="362">
        <f ca="1"/>
        <v>45553</v>
      </c>
      <c r="C190" vm="363">
        <f ca="1"/>
        <v>220.69</v>
      </c>
      <c r="E190" s="13">
        <f t="shared" ca="1" si="5"/>
        <v>1.798975967526184E-2</v>
      </c>
      <c r="F190" s="7">
        <f t="shared" ca="1" si="6"/>
        <v>0.18880629174746821</v>
      </c>
    </row>
    <row r="191" spans="2:6" x14ac:dyDescent="0.25">
      <c r="B191" s="5" vm="364">
        <f ca="1"/>
        <v>45554</v>
      </c>
      <c r="C191" vm="365">
        <f ca="1"/>
        <v>228.87</v>
      </c>
      <c r="E191" s="13">
        <f t="shared" ca="1" si="5"/>
        <v>3.7065567085051487E-2</v>
      </c>
      <c r="F191" s="7">
        <f t="shared" ca="1" si="6"/>
        <v>0.23287007110536528</v>
      </c>
    </row>
    <row r="192" spans="2:6" x14ac:dyDescent="0.25">
      <c r="B192" s="5" vm="366">
        <f ca="1"/>
        <v>45555</v>
      </c>
      <c r="C192" vm="367">
        <f ca="1"/>
        <v>228.2</v>
      </c>
      <c r="E192" s="13">
        <f t="shared" ca="1" si="5"/>
        <v>-2.9274260497226257E-3</v>
      </c>
      <c r="F192" s="7">
        <f t="shared" ca="1" si="6"/>
        <v>0.22926093514328816</v>
      </c>
    </row>
    <row r="193" spans="2:6" x14ac:dyDescent="0.25">
      <c r="B193" s="5" vm="368">
        <f ca="1"/>
        <v>45558</v>
      </c>
      <c r="C193" vm="369">
        <f ca="1"/>
        <v>226.47</v>
      </c>
      <c r="E193" s="13">
        <f t="shared" ca="1" si="5"/>
        <v>-7.5810692375108957E-3</v>
      </c>
      <c r="F193" s="7">
        <f t="shared" ca="1" si="6"/>
        <v>0.21994182288299946</v>
      </c>
    </row>
    <row r="194" spans="2:6" x14ac:dyDescent="0.25">
      <c r="B194" s="5" vm="370">
        <f ca="1"/>
        <v>45559</v>
      </c>
      <c r="C194" vm="371">
        <f ca="1"/>
        <v>227.37</v>
      </c>
      <c r="E194" s="13">
        <f t="shared" ca="1" si="5"/>
        <v>3.9740362961981912E-3</v>
      </c>
      <c r="F194" s="7">
        <f t="shared" ca="1" si="6"/>
        <v>0.22478991596638664</v>
      </c>
    </row>
    <row r="195" spans="2:6" x14ac:dyDescent="0.25">
      <c r="B195" s="5" vm="372">
        <f ca="1"/>
        <v>45560</v>
      </c>
      <c r="C195" vm="373">
        <f ca="1"/>
        <v>226.37</v>
      </c>
      <c r="E195" s="13">
        <f t="shared" ca="1" si="5"/>
        <v>-4.3981176056647753E-3</v>
      </c>
      <c r="F195" s="7">
        <f t="shared" ca="1" si="6"/>
        <v>0.21940314587373422</v>
      </c>
    </row>
    <row r="196" spans="2:6" x14ac:dyDescent="0.25">
      <c r="B196" s="5" vm="374">
        <f ca="1"/>
        <v>45561</v>
      </c>
      <c r="C196" vm="375">
        <f ca="1"/>
        <v>227.52</v>
      </c>
      <c r="E196" s="13">
        <f t="shared" ca="1" si="5"/>
        <v>5.0801784688783158E-3</v>
      </c>
      <c r="F196" s="7">
        <f t="shared" ca="1" si="6"/>
        <v>0.22559793148028451</v>
      </c>
    </row>
    <row r="197" spans="2:6" x14ac:dyDescent="0.25">
      <c r="B197" s="5" vm="376">
        <f ca="1"/>
        <v>45562</v>
      </c>
      <c r="C197" vm="377">
        <f ca="1"/>
        <v>227.79</v>
      </c>
      <c r="E197" s="13">
        <f t="shared" ca="1" si="5"/>
        <v>1.1867088607593335E-3</v>
      </c>
      <c r="F197" s="7">
        <f t="shared" ca="1" si="6"/>
        <v>0.22705235940530066</v>
      </c>
    </row>
    <row r="198" spans="2:6" x14ac:dyDescent="0.25">
      <c r="B198" s="5" vm="378">
        <f ca="1"/>
        <v>45565</v>
      </c>
      <c r="C198" vm="28">
        <f ca="1"/>
        <v>233</v>
      </c>
      <c r="E198" s="13">
        <f t="shared" ca="1" si="5"/>
        <v>2.2871943456692634E-2</v>
      </c>
      <c r="F198" s="7">
        <f t="shared" ca="1" si="6"/>
        <v>0.25511743158801981</v>
      </c>
    </row>
    <row r="199" spans="2:6" x14ac:dyDescent="0.25">
      <c r="B199" s="5" vm="379">
        <f ca="1"/>
        <v>45566</v>
      </c>
      <c r="C199" vm="380">
        <f ca="1"/>
        <v>226.21</v>
      </c>
      <c r="E199" s="13">
        <f t="shared" ca="1" si="5"/>
        <v>-2.9141630901287519E-2</v>
      </c>
      <c r="F199" s="7">
        <f t="shared" ca="1" si="6"/>
        <v>0.21854126265890983</v>
      </c>
    </row>
    <row r="200" spans="2:6" x14ac:dyDescent="0.25">
      <c r="B200" s="5" vm="381">
        <f ca="1"/>
        <v>45567</v>
      </c>
      <c r="C200" vm="382">
        <f ca="1"/>
        <v>226.78</v>
      </c>
      <c r="E200" s="13">
        <f t="shared" ca="1" si="5"/>
        <v>2.5197825029839027E-3</v>
      </c>
      <c r="F200" s="7">
        <f t="shared" ca="1" si="6"/>
        <v>0.22161172161172171</v>
      </c>
    </row>
    <row r="201" spans="2:6" x14ac:dyDescent="0.25">
      <c r="B201" s="5" vm="383">
        <f ca="1"/>
        <v>45568</v>
      </c>
      <c r="C201" vm="384">
        <f ca="1"/>
        <v>225.67</v>
      </c>
      <c r="E201" s="13">
        <f t="shared" ca="1" si="5"/>
        <v>-4.8946115177705973E-3</v>
      </c>
      <c r="F201" s="7">
        <f t="shared" ca="1" si="6"/>
        <v>0.21563240680887752</v>
      </c>
    </row>
    <row r="202" spans="2:6" x14ac:dyDescent="0.25">
      <c r="B202" s="5" vm="385">
        <f ca="1"/>
        <v>45569</v>
      </c>
      <c r="C202" vm="386">
        <f ca="1"/>
        <v>226.8</v>
      </c>
      <c r="E202" s="13">
        <f t="shared" ca="1" si="5"/>
        <v>5.0073115611291019E-3</v>
      </c>
      <c r="F202" s="7">
        <f t="shared" ca="1" si="6"/>
        <v>0.22171945701357476</v>
      </c>
    </row>
    <row r="203" spans="2:6" x14ac:dyDescent="0.25">
      <c r="B203" s="5" vm="387">
        <f ca="1"/>
        <v>45572</v>
      </c>
      <c r="C203" vm="388">
        <f ca="1"/>
        <v>221.69</v>
      </c>
      <c r="E203" s="13">
        <f t="shared" ca="1" si="5"/>
        <v>-2.253086419753092E-2</v>
      </c>
      <c r="F203" s="7">
        <f t="shared" ca="1" si="6"/>
        <v>0.19419306184012064</v>
      </c>
    </row>
    <row r="204" spans="2:6" x14ac:dyDescent="0.25">
      <c r="B204" s="5" vm="389">
        <f ca="1"/>
        <v>45573</v>
      </c>
      <c r="C204" vm="390">
        <f ca="1"/>
        <v>225.77</v>
      </c>
      <c r="E204" s="13">
        <f t="shared" ca="1" si="5"/>
        <v>1.8404077766250193E-2</v>
      </c>
      <c r="F204" s="7">
        <f t="shared" ca="1" si="6"/>
        <v>0.21617108381814276</v>
      </c>
    </row>
    <row r="205" spans="2:6" x14ac:dyDescent="0.25">
      <c r="B205" s="5" vm="391">
        <f ca="1"/>
        <v>45574</v>
      </c>
      <c r="C205" vm="392">
        <f ca="1"/>
        <v>229.54</v>
      </c>
      <c r="E205" s="13">
        <f t="shared" ref="E205:E262" ca="1" si="7">C205/C204-1</f>
        <v>1.6698409886167331E-2</v>
      </c>
      <c r="F205" s="7">
        <f t="shared" ref="F205:F262" ca="1" si="8">C205/$C$11-1</f>
        <v>0.23647920706744241</v>
      </c>
    </row>
    <row r="206" spans="2:6" x14ac:dyDescent="0.25">
      <c r="B206" s="5" vm="393">
        <f ca="1"/>
        <v>45575</v>
      </c>
      <c r="C206" vm="394">
        <f ca="1"/>
        <v>229.04</v>
      </c>
      <c r="E206" s="13">
        <f t="shared" ca="1" si="7"/>
        <v>-2.178269582643555E-3</v>
      </c>
      <c r="F206" s="7">
        <f t="shared" ca="1" si="8"/>
        <v>0.2337858220211162</v>
      </c>
    </row>
    <row r="207" spans="2:6" x14ac:dyDescent="0.25">
      <c r="B207" s="5" vm="395">
        <f ca="1"/>
        <v>45576</v>
      </c>
      <c r="C207" vm="396">
        <f ca="1"/>
        <v>227.55</v>
      </c>
      <c r="E207" s="13">
        <f t="shared" ca="1" si="7"/>
        <v>-6.5054139015018331E-3</v>
      </c>
      <c r="F207" s="7">
        <f t="shared" ca="1" si="8"/>
        <v>0.22575953458306408</v>
      </c>
    </row>
    <row r="208" spans="2:6" x14ac:dyDescent="0.25">
      <c r="B208" s="5" vm="397">
        <f ca="1"/>
        <v>45579</v>
      </c>
      <c r="C208" vm="398">
        <f ca="1"/>
        <v>231.3</v>
      </c>
      <c r="E208" s="13">
        <f t="shared" ca="1" si="7"/>
        <v>1.6479894528675043E-2</v>
      </c>
      <c r="F208" s="7">
        <f t="shared" ca="1" si="8"/>
        <v>0.2459599224305109</v>
      </c>
    </row>
    <row r="209" spans="2:6" x14ac:dyDescent="0.25">
      <c r="B209" s="5" vm="399">
        <f ca="1"/>
        <v>45580</v>
      </c>
      <c r="C209" vm="400">
        <f ca="1"/>
        <v>233.85</v>
      </c>
      <c r="E209" s="13">
        <f t="shared" ca="1" si="7"/>
        <v>1.1024643320363126E-2</v>
      </c>
      <c r="F209" s="7">
        <f t="shared" ca="1" si="8"/>
        <v>0.25969618616677437</v>
      </c>
    </row>
    <row r="210" spans="2:6" x14ac:dyDescent="0.25">
      <c r="B210" s="5" vm="401">
        <f ca="1"/>
        <v>45581</v>
      </c>
      <c r="C210" vm="402">
        <f ca="1"/>
        <v>231.78</v>
      </c>
      <c r="E210" s="13">
        <f t="shared" ca="1" si="7"/>
        <v>-8.8518280949325678E-3</v>
      </c>
      <c r="F210" s="7">
        <f t="shared" ca="1" si="8"/>
        <v>0.24854557207498384</v>
      </c>
    </row>
    <row r="211" spans="2:6" x14ac:dyDescent="0.25">
      <c r="B211" s="5" vm="403">
        <f ca="1"/>
        <v>45582</v>
      </c>
      <c r="C211" vm="404">
        <f ca="1"/>
        <v>232.15</v>
      </c>
      <c r="E211" s="13">
        <f t="shared" ca="1" si="7"/>
        <v>1.5963413581845387E-3</v>
      </c>
      <c r="F211" s="7">
        <f t="shared" ca="1" si="8"/>
        <v>0.25053867700926546</v>
      </c>
    </row>
    <row r="212" spans="2:6" x14ac:dyDescent="0.25">
      <c r="B212" s="5" vm="405">
        <f ca="1"/>
        <v>45583</v>
      </c>
      <c r="C212" vm="406">
        <f ca="1"/>
        <v>235</v>
      </c>
      <c r="E212" s="13">
        <f t="shared" ca="1" si="7"/>
        <v>1.2276545337066569E-2</v>
      </c>
      <c r="F212" s="7">
        <f t="shared" ca="1" si="8"/>
        <v>0.26589097177332488</v>
      </c>
    </row>
    <row r="213" spans="2:6" x14ac:dyDescent="0.25">
      <c r="B213" s="5" vm="407">
        <f ca="1"/>
        <v>45586</v>
      </c>
      <c r="C213" vm="408">
        <f ca="1"/>
        <v>236.48</v>
      </c>
      <c r="E213" s="13">
        <f t="shared" ca="1" si="7"/>
        <v>6.2978723404254477E-3</v>
      </c>
      <c r="F213" s="7">
        <f t="shared" ca="1" si="8"/>
        <v>0.27386339151045047</v>
      </c>
    </row>
    <row r="214" spans="2:6" x14ac:dyDescent="0.25">
      <c r="B214" s="5" vm="409">
        <f ca="1"/>
        <v>45587</v>
      </c>
      <c r="C214" vm="410">
        <f ca="1"/>
        <v>235.86</v>
      </c>
      <c r="E214" s="13">
        <f t="shared" ca="1" si="7"/>
        <v>-2.6217861975641465E-3</v>
      </c>
      <c r="F214" s="7">
        <f t="shared" ca="1" si="8"/>
        <v>0.27052359405300597</v>
      </c>
    </row>
    <row r="215" spans="2:6" x14ac:dyDescent="0.25">
      <c r="B215" s="5" vm="411">
        <f ca="1"/>
        <v>45588</v>
      </c>
      <c r="C215" vm="412">
        <f ca="1"/>
        <v>230.76</v>
      </c>
      <c r="E215" s="13">
        <f t="shared" ca="1" si="7"/>
        <v>-2.1622996692953533E-2</v>
      </c>
      <c r="F215" s="7">
        <f t="shared" ca="1" si="8"/>
        <v>0.24305106658047837</v>
      </c>
    </row>
    <row r="216" spans="2:6" x14ac:dyDescent="0.25">
      <c r="B216" s="5" vm="413">
        <f ca="1"/>
        <v>45589</v>
      </c>
      <c r="C216" vm="414">
        <f ca="1"/>
        <v>230.57</v>
      </c>
      <c r="E216" s="13">
        <f t="shared" ca="1" si="7"/>
        <v>-8.2336626798407142E-4</v>
      </c>
      <c r="F216" s="7">
        <f t="shared" ca="1" si="8"/>
        <v>0.24202758026287441</v>
      </c>
    </row>
    <row r="217" spans="2:6" x14ac:dyDescent="0.25">
      <c r="B217" s="5" vm="415">
        <f ca="1"/>
        <v>45590</v>
      </c>
      <c r="C217" vm="416">
        <f ca="1"/>
        <v>231.41</v>
      </c>
      <c r="E217" s="13">
        <f t="shared" ca="1" si="7"/>
        <v>3.6431452487313276E-3</v>
      </c>
      <c r="F217" s="7">
        <f t="shared" ca="1" si="8"/>
        <v>0.24655246714070245</v>
      </c>
    </row>
    <row r="218" spans="2:6" x14ac:dyDescent="0.25">
      <c r="B218" s="5" vm="417">
        <f ca="1"/>
        <v>45593</v>
      </c>
      <c r="C218" vm="418">
        <f ca="1"/>
        <v>233.4</v>
      </c>
      <c r="E218" s="13">
        <f t="shared" ca="1" si="7"/>
        <v>8.5994555118620308E-3</v>
      </c>
      <c r="F218" s="7">
        <f t="shared" ca="1" si="8"/>
        <v>0.257272139625081</v>
      </c>
    </row>
    <row r="219" spans="2:6" x14ac:dyDescent="0.25">
      <c r="B219" s="5" vm="419">
        <f ca="1"/>
        <v>45594</v>
      </c>
      <c r="C219" vm="420">
        <f ca="1"/>
        <v>233.67</v>
      </c>
      <c r="E219" s="13">
        <f t="shared" ca="1" si="7"/>
        <v>1.1568123393315144E-3</v>
      </c>
      <c r="F219" s="7">
        <f t="shared" ca="1" si="8"/>
        <v>0.25872656755009693</v>
      </c>
    </row>
    <row r="220" spans="2:6" x14ac:dyDescent="0.25">
      <c r="B220" s="5" vm="421">
        <f ca="1"/>
        <v>45595</v>
      </c>
      <c r="C220" vm="422">
        <f ca="1"/>
        <v>230.1</v>
      </c>
      <c r="E220" s="13">
        <f t="shared" ca="1" si="7"/>
        <v>-1.5277956091924505E-2</v>
      </c>
      <c r="F220" s="7">
        <f t="shared" ca="1" si="8"/>
        <v>0.23949579831932777</v>
      </c>
    </row>
    <row r="221" spans="2:6" x14ac:dyDescent="0.25">
      <c r="B221" s="5" vm="423">
        <f ca="1"/>
        <v>45596</v>
      </c>
      <c r="C221" vm="31">
        <f ca="1"/>
        <v>225.91</v>
      </c>
      <c r="E221" s="13">
        <f t="shared" ca="1" si="7"/>
        <v>-1.8209474141677506E-2</v>
      </c>
      <c r="F221" s="7">
        <f t="shared" ca="1" si="8"/>
        <v>0.2169252316311141</v>
      </c>
    </row>
    <row r="222" spans="2:6" x14ac:dyDescent="0.25">
      <c r="B222" s="5" vm="424">
        <f ca="1"/>
        <v>45597</v>
      </c>
      <c r="C222" vm="425">
        <f ca="1"/>
        <v>222.91</v>
      </c>
      <c r="E222" s="13">
        <f t="shared" ca="1" si="7"/>
        <v>-1.327962462927712E-2</v>
      </c>
      <c r="F222" s="7">
        <f t="shared" ca="1" si="8"/>
        <v>0.20076492135315682</v>
      </c>
    </row>
    <row r="223" spans="2:6" x14ac:dyDescent="0.25">
      <c r="B223" s="5" vm="426">
        <f ca="1"/>
        <v>45600</v>
      </c>
      <c r="C223" vm="427">
        <f ca="1"/>
        <v>222.01</v>
      </c>
      <c r="E223" s="13">
        <f t="shared" ca="1" si="7"/>
        <v>-4.0375039253510714E-3</v>
      </c>
      <c r="F223" s="7">
        <f t="shared" ca="1" si="8"/>
        <v>0.19591682826976942</v>
      </c>
    </row>
    <row r="224" spans="2:6" x14ac:dyDescent="0.25">
      <c r="B224" s="5" vm="428">
        <f ca="1"/>
        <v>45601</v>
      </c>
      <c r="C224" vm="429">
        <f ca="1"/>
        <v>223.45</v>
      </c>
      <c r="E224" s="13">
        <f t="shared" ca="1" si="7"/>
        <v>6.486194315571403E-3</v>
      </c>
      <c r="F224" s="7">
        <f t="shared" ca="1" si="8"/>
        <v>0.20367377720318891</v>
      </c>
    </row>
    <row r="225" spans="2:6" x14ac:dyDescent="0.25">
      <c r="B225" s="5" vm="430">
        <f ca="1"/>
        <v>45602</v>
      </c>
      <c r="C225" vm="431">
        <f ca="1"/>
        <v>222.72</v>
      </c>
      <c r="E225" s="13">
        <f t="shared" ca="1" si="7"/>
        <v>-3.2669501006936663E-3</v>
      </c>
      <c r="F225" s="7">
        <f t="shared" ca="1" si="8"/>
        <v>0.19974143503555286</v>
      </c>
    </row>
    <row r="226" spans="2:6" x14ac:dyDescent="0.25">
      <c r="B226" s="5" vm="432">
        <f ca="1"/>
        <v>45603</v>
      </c>
      <c r="C226" vm="433">
        <f ca="1"/>
        <v>227.48</v>
      </c>
      <c r="E226" s="13">
        <f t="shared" ca="1" si="7"/>
        <v>2.1372126436781658E-2</v>
      </c>
      <c r="F226" s="7">
        <f t="shared" ca="1" si="8"/>
        <v>0.22538246067657841</v>
      </c>
    </row>
    <row r="227" spans="2:6" x14ac:dyDescent="0.25">
      <c r="B227" s="5" vm="434">
        <f ca="1"/>
        <v>45604</v>
      </c>
      <c r="C227" vm="435">
        <f ca="1"/>
        <v>226.96</v>
      </c>
      <c r="E227" s="13">
        <f t="shared" ca="1" si="7"/>
        <v>-2.2859152452961995E-3</v>
      </c>
      <c r="F227" s="7">
        <f t="shared" ca="1" si="8"/>
        <v>0.22258134022839915</v>
      </c>
    </row>
    <row r="228" spans="2:6" x14ac:dyDescent="0.25">
      <c r="B228" s="5" vm="436">
        <f ca="1"/>
        <v>45607</v>
      </c>
      <c r="C228" vm="437">
        <f ca="1"/>
        <v>224.23</v>
      </c>
      <c r="E228" s="13">
        <f t="shared" ca="1" si="7"/>
        <v>-1.2028551286570432E-2</v>
      </c>
      <c r="F228" s="7">
        <f t="shared" ca="1" si="8"/>
        <v>0.2078754578754578</v>
      </c>
    </row>
    <row r="229" spans="2:6" x14ac:dyDescent="0.25">
      <c r="B229" s="5" vm="438">
        <f ca="1"/>
        <v>45608</v>
      </c>
      <c r="C229" vm="437">
        <f ca="1"/>
        <v>224.23</v>
      </c>
      <c r="E229" s="13">
        <f t="shared" ca="1" si="7"/>
        <v>0</v>
      </c>
      <c r="F229" s="7">
        <f t="shared" ca="1" si="8"/>
        <v>0.2078754578754578</v>
      </c>
    </row>
    <row r="230" spans="2:6" x14ac:dyDescent="0.25">
      <c r="B230" s="5" vm="439">
        <f ca="1"/>
        <v>45609</v>
      </c>
      <c r="C230" vm="440">
        <f ca="1"/>
        <v>225.12</v>
      </c>
      <c r="E230" s="13">
        <f t="shared" ca="1" si="7"/>
        <v>3.9691388306650754E-3</v>
      </c>
      <c r="F230" s="7">
        <f t="shared" ca="1" si="8"/>
        <v>0.21266968325791868</v>
      </c>
    </row>
    <row r="231" spans="2:6" x14ac:dyDescent="0.25">
      <c r="B231" s="5" vm="441">
        <f ca="1"/>
        <v>45610</v>
      </c>
      <c r="C231" vm="442">
        <f ca="1"/>
        <v>228.22</v>
      </c>
      <c r="E231" s="13">
        <f t="shared" ca="1" si="7"/>
        <v>1.377043354655294E-2</v>
      </c>
      <c r="F231" s="7">
        <f t="shared" ca="1" si="8"/>
        <v>0.22936867054514121</v>
      </c>
    </row>
    <row r="232" spans="2:6" x14ac:dyDescent="0.25">
      <c r="B232" s="5" vm="443">
        <f ca="1"/>
        <v>45611</v>
      </c>
      <c r="C232" vm="444">
        <f ca="1"/>
        <v>225</v>
      </c>
      <c r="E232" s="13">
        <f t="shared" ca="1" si="7"/>
        <v>-1.4109192884059207E-2</v>
      </c>
      <c r="F232" s="7">
        <f t="shared" ca="1" si="8"/>
        <v>0.21202327084680039</v>
      </c>
    </row>
    <row r="233" spans="2:6" x14ac:dyDescent="0.25">
      <c r="B233" s="5" vm="445">
        <f ca="1"/>
        <v>45614</v>
      </c>
      <c r="C233" vm="446">
        <f ca="1"/>
        <v>228.02</v>
      </c>
      <c r="E233" s="13">
        <f t="shared" ca="1" si="7"/>
        <v>1.3422222222222224E-2</v>
      </c>
      <c r="F233" s="7">
        <f t="shared" ca="1" si="8"/>
        <v>0.22829131652661072</v>
      </c>
    </row>
    <row r="234" spans="2:6" x14ac:dyDescent="0.25">
      <c r="B234" s="5" vm="447">
        <f ca="1"/>
        <v>45615</v>
      </c>
      <c r="C234" vm="448">
        <f ca="1"/>
        <v>228.28</v>
      </c>
      <c r="E234" s="13">
        <f t="shared" ca="1" si="7"/>
        <v>1.1402508551880963E-3</v>
      </c>
      <c r="F234" s="7">
        <f t="shared" ca="1" si="8"/>
        <v>0.22969187675070035</v>
      </c>
    </row>
    <row r="235" spans="2:6" x14ac:dyDescent="0.25">
      <c r="B235" s="5" vm="449">
        <f ca="1"/>
        <v>45616</v>
      </c>
      <c r="C235" vm="25">
        <f ca="1"/>
        <v>229</v>
      </c>
      <c r="E235" s="13">
        <f t="shared" ca="1" si="7"/>
        <v>3.1540213772560666E-3</v>
      </c>
      <c r="F235" s="7">
        <f t="shared" ca="1" si="8"/>
        <v>0.2335703512174101</v>
      </c>
    </row>
    <row r="236" spans="2:6" x14ac:dyDescent="0.25">
      <c r="B236" s="5" vm="450">
        <f ca="1"/>
        <v>45617</v>
      </c>
      <c r="C236" vm="451">
        <f ca="1"/>
        <v>228.52</v>
      </c>
      <c r="E236" s="13">
        <f t="shared" ca="1" si="7"/>
        <v>-2.0960698689955759E-3</v>
      </c>
      <c r="F236" s="7">
        <f t="shared" ca="1" si="8"/>
        <v>0.23098470157293693</v>
      </c>
    </row>
    <row r="237" spans="2:6" x14ac:dyDescent="0.25">
      <c r="B237" s="5" vm="452">
        <f ca="1"/>
        <v>45618</v>
      </c>
      <c r="C237" vm="453">
        <f ca="1"/>
        <v>229.87</v>
      </c>
      <c r="E237" s="13">
        <f t="shared" ca="1" si="7"/>
        <v>5.9075792053211451E-3</v>
      </c>
      <c r="F237" s="7">
        <f t="shared" ca="1" si="8"/>
        <v>0.23825684119801771</v>
      </c>
    </row>
    <row r="238" spans="2:6" x14ac:dyDescent="0.25">
      <c r="B238" s="5" vm="454">
        <f ca="1"/>
        <v>45621</v>
      </c>
      <c r="C238" vm="455">
        <f ca="1"/>
        <v>232.87</v>
      </c>
      <c r="E238" s="13">
        <f t="shared" ca="1" si="7"/>
        <v>1.3050854830991332E-2</v>
      </c>
      <c r="F238" s="7">
        <f t="shared" ca="1" si="8"/>
        <v>0.25441715147597521</v>
      </c>
    </row>
    <row r="239" spans="2:6" x14ac:dyDescent="0.25">
      <c r="B239" s="5" vm="456">
        <f ca="1"/>
        <v>45622</v>
      </c>
      <c r="C239" vm="457">
        <f ca="1"/>
        <v>235.06</v>
      </c>
      <c r="E239" s="13">
        <f t="shared" ca="1" si="7"/>
        <v>9.4043887147334804E-3</v>
      </c>
      <c r="F239" s="7">
        <f t="shared" ca="1" si="8"/>
        <v>0.26621417797888403</v>
      </c>
    </row>
    <row r="240" spans="2:6" x14ac:dyDescent="0.25">
      <c r="B240" s="5" vm="458">
        <f ca="1"/>
        <v>45623</v>
      </c>
      <c r="C240" vm="459">
        <f ca="1"/>
        <v>234.93</v>
      </c>
      <c r="E240" s="13">
        <f t="shared" ca="1" si="7"/>
        <v>-5.530502850336072E-4</v>
      </c>
      <c r="F240" s="7">
        <f t="shared" ca="1" si="8"/>
        <v>0.26551389786683921</v>
      </c>
    </row>
    <row r="241" spans="2:6" x14ac:dyDescent="0.25">
      <c r="B241" s="5" vm="460">
        <f ca="1"/>
        <v>45625</v>
      </c>
      <c r="C241" vm="34">
        <f ca="1"/>
        <v>237.33</v>
      </c>
      <c r="E241" s="13">
        <f t="shared" ca="1" si="7"/>
        <v>1.0215808964372464E-2</v>
      </c>
      <c r="F241" s="7">
        <f t="shared" ca="1" si="8"/>
        <v>0.27844214608920503</v>
      </c>
    </row>
    <row r="242" spans="2:6" x14ac:dyDescent="0.25">
      <c r="B242" s="5" vm="461">
        <f ca="1"/>
        <v>45628</v>
      </c>
      <c r="C242" vm="462">
        <f ca="1"/>
        <v>239.59</v>
      </c>
      <c r="E242" s="13">
        <f t="shared" ca="1" si="7"/>
        <v>9.5226056545738569E-3</v>
      </c>
      <c r="F242" s="7">
        <f t="shared" ca="1" si="8"/>
        <v>0.29061624649859952</v>
      </c>
    </row>
    <row r="243" spans="2:6" x14ac:dyDescent="0.25">
      <c r="B243" s="5" vm="463">
        <f ca="1"/>
        <v>45629</v>
      </c>
      <c r="C243" vm="464">
        <f ca="1"/>
        <v>242.65</v>
      </c>
      <c r="E243" s="13">
        <f t="shared" ca="1" si="7"/>
        <v>1.2771818523310774E-2</v>
      </c>
      <c r="F243" s="7">
        <f t="shared" ca="1" si="8"/>
        <v>0.30709976298211594</v>
      </c>
    </row>
    <row r="244" spans="2:6" x14ac:dyDescent="0.25">
      <c r="B244" s="5" vm="465">
        <f ca="1"/>
        <v>45630</v>
      </c>
      <c r="C244" vm="466">
        <f ca="1"/>
        <v>243.01</v>
      </c>
      <c r="E244" s="13">
        <f t="shared" ca="1" si="7"/>
        <v>1.4836183803832448E-3</v>
      </c>
      <c r="F244" s="7">
        <f t="shared" ca="1" si="8"/>
        <v>0.30903900021547082</v>
      </c>
    </row>
    <row r="245" spans="2:6" x14ac:dyDescent="0.25">
      <c r="B245" s="5" vm="467">
        <f ca="1"/>
        <v>45631</v>
      </c>
      <c r="C245" vm="468">
        <f ca="1"/>
        <v>243.04</v>
      </c>
      <c r="E245" s="13">
        <f t="shared" ca="1" si="7"/>
        <v>1.2345170980609943E-4</v>
      </c>
      <c r="F245" s="7">
        <f t="shared" ca="1" si="8"/>
        <v>0.30920060331825039</v>
      </c>
    </row>
    <row r="246" spans="2:6" x14ac:dyDescent="0.25">
      <c r="B246" s="5" vm="469">
        <f ca="1"/>
        <v>45632</v>
      </c>
      <c r="C246" vm="470">
        <f ca="1"/>
        <v>242.84</v>
      </c>
      <c r="E246" s="13">
        <f t="shared" ca="1" si="7"/>
        <v>-8.2290980908483746E-4</v>
      </c>
      <c r="F246" s="7">
        <f t="shared" ca="1" si="8"/>
        <v>0.3081232492997199</v>
      </c>
    </row>
    <row r="247" spans="2:6" x14ac:dyDescent="0.25">
      <c r="B247" s="5" vm="471">
        <f ca="1"/>
        <v>45635</v>
      </c>
      <c r="C247" vm="472">
        <f ca="1"/>
        <v>246.75</v>
      </c>
      <c r="E247" s="13">
        <f t="shared" ca="1" si="7"/>
        <v>1.6101136550815243E-2</v>
      </c>
      <c r="F247" s="7">
        <f t="shared" ca="1" si="8"/>
        <v>0.32918552036199111</v>
      </c>
    </row>
    <row r="248" spans="2:6" x14ac:dyDescent="0.25">
      <c r="B248" s="5" vm="473">
        <f ca="1"/>
        <v>45636</v>
      </c>
      <c r="C248" vm="474">
        <f ca="1"/>
        <v>247.77</v>
      </c>
      <c r="E248" s="13">
        <f t="shared" ca="1" si="7"/>
        <v>4.1337386018236444E-3</v>
      </c>
      <c r="F248" s="7">
        <f t="shared" ca="1" si="8"/>
        <v>0.33468002585649659</v>
      </c>
    </row>
    <row r="249" spans="2:6" x14ac:dyDescent="0.25">
      <c r="B249" s="5" vm="475">
        <f ca="1"/>
        <v>45637</v>
      </c>
      <c r="C249" vm="476">
        <f ca="1"/>
        <v>246.49</v>
      </c>
      <c r="E249" s="13">
        <f t="shared" ca="1" si="7"/>
        <v>-5.1660814465027682E-3</v>
      </c>
      <c r="F249" s="7">
        <f t="shared" ca="1" si="8"/>
        <v>0.32778496013790148</v>
      </c>
    </row>
    <row r="250" spans="2:6" x14ac:dyDescent="0.25">
      <c r="B250" s="5" vm="477">
        <f ca="1"/>
        <v>45638</v>
      </c>
      <c r="C250" vm="478">
        <f ca="1"/>
        <v>247.96</v>
      </c>
      <c r="E250" s="13">
        <f t="shared" ca="1" si="7"/>
        <v>5.9637307801534423E-3</v>
      </c>
      <c r="F250" s="7">
        <f t="shared" ca="1" si="8"/>
        <v>0.33570351217410055</v>
      </c>
    </row>
    <row r="251" spans="2:6" x14ac:dyDescent="0.25">
      <c r="B251" s="5" vm="479">
        <f ca="1"/>
        <v>45639</v>
      </c>
      <c r="C251" vm="480">
        <f ca="1"/>
        <v>248.13</v>
      </c>
      <c r="E251" s="13">
        <f t="shared" ca="1" si="7"/>
        <v>6.85594450717808E-4</v>
      </c>
      <c r="F251" s="7">
        <f t="shared" ca="1" si="8"/>
        <v>0.33661926308985146</v>
      </c>
    </row>
    <row r="252" spans="2:6" x14ac:dyDescent="0.25">
      <c r="B252" s="5" vm="481">
        <f ca="1"/>
        <v>45642</v>
      </c>
      <c r="C252" vm="482">
        <f ca="1"/>
        <v>251.04</v>
      </c>
      <c r="E252" s="13">
        <f t="shared" ca="1" si="7"/>
        <v>1.1727723370813736E-2</v>
      </c>
      <c r="F252" s="7">
        <f t="shared" ca="1" si="8"/>
        <v>0.35229476405947002</v>
      </c>
    </row>
    <row r="253" spans="2:6" x14ac:dyDescent="0.25">
      <c r="B253" s="5" vm="483">
        <f ca="1"/>
        <v>45643</v>
      </c>
      <c r="C253" vm="484">
        <f ca="1"/>
        <v>253.48</v>
      </c>
      <c r="E253" s="13">
        <f t="shared" ca="1" si="7"/>
        <v>9.7195666029317174E-3</v>
      </c>
      <c r="F253" s="7">
        <f t="shared" ca="1" si="8"/>
        <v>0.36543848308554194</v>
      </c>
    </row>
    <row r="254" spans="2:6" x14ac:dyDescent="0.25">
      <c r="B254" s="5" vm="485">
        <f ca="1"/>
        <v>45644</v>
      </c>
      <c r="C254" vm="486">
        <f ca="1"/>
        <v>248.05</v>
      </c>
      <c r="E254" s="13">
        <f t="shared" ca="1" si="7"/>
        <v>-2.1421808426700273E-2</v>
      </c>
      <c r="F254" s="7">
        <f t="shared" ca="1" si="8"/>
        <v>0.33618832148243927</v>
      </c>
    </row>
    <row r="255" spans="2:6" x14ac:dyDescent="0.25">
      <c r="B255" s="5" vm="487">
        <f ca="1"/>
        <v>45645</v>
      </c>
      <c r="C255" vm="488">
        <f ca="1"/>
        <v>249.79</v>
      </c>
      <c r="E255" s="13">
        <f t="shared" ca="1" si="7"/>
        <v>7.0147147752468442E-3</v>
      </c>
      <c r="F255" s="7">
        <f t="shared" ca="1" si="8"/>
        <v>0.34556130144365449</v>
      </c>
    </row>
    <row r="256" spans="2:6" x14ac:dyDescent="0.25">
      <c r="B256" s="5" vm="489">
        <f ca="1"/>
        <v>45646</v>
      </c>
      <c r="C256" vm="490">
        <f ca="1"/>
        <v>254.49</v>
      </c>
      <c r="E256" s="13">
        <f t="shared" ca="1" si="7"/>
        <v>1.8815805276432229E-2</v>
      </c>
      <c r="F256" s="7">
        <f t="shared" ca="1" si="8"/>
        <v>0.37087912087912112</v>
      </c>
    </row>
    <row r="257" spans="2:6" x14ac:dyDescent="0.25">
      <c r="B257" s="5" vm="491">
        <f ca="1"/>
        <v>45649</v>
      </c>
      <c r="C257" vm="492">
        <f ca="1"/>
        <v>255.27</v>
      </c>
      <c r="E257" s="13">
        <f t="shared" ca="1" si="7"/>
        <v>3.0649534362843234E-3</v>
      </c>
      <c r="F257" s="7">
        <f t="shared" ca="1" si="8"/>
        <v>0.37508080155139001</v>
      </c>
    </row>
    <row r="258" spans="2:6" x14ac:dyDescent="0.25">
      <c r="B258" s="5" vm="493">
        <f ca="1"/>
        <v>45650</v>
      </c>
      <c r="C258" vm="494">
        <f ca="1"/>
        <v>258.2</v>
      </c>
      <c r="E258" s="13">
        <f t="shared" ca="1" si="7"/>
        <v>1.1478042856583048E-2</v>
      </c>
      <c r="F258" s="7">
        <f t="shared" ca="1" si="8"/>
        <v>0.3908640379228614</v>
      </c>
    </row>
    <row r="259" spans="2:6" x14ac:dyDescent="0.25">
      <c r="B259" s="5" vm="495">
        <f ca="1"/>
        <v>45652</v>
      </c>
      <c r="C259" vm="496">
        <f ca="1"/>
        <v>259.02</v>
      </c>
      <c r="E259" s="13">
        <f t="shared" ca="1" si="7"/>
        <v>3.175832687838831E-3</v>
      </c>
      <c r="F259" s="7">
        <f t="shared" ca="1" si="8"/>
        <v>0.39528118939883639</v>
      </c>
    </row>
    <row r="260" spans="2:6" x14ac:dyDescent="0.25">
      <c r="B260" s="5" vm="497">
        <f ca="1"/>
        <v>45653</v>
      </c>
      <c r="C260" vm="498">
        <f ca="1"/>
        <v>255.59</v>
      </c>
      <c r="E260" s="13">
        <f t="shared" ca="1" si="7"/>
        <v>-1.3242220677939898E-2</v>
      </c>
      <c r="F260" s="7">
        <f t="shared" ca="1" si="8"/>
        <v>0.37680456798103878</v>
      </c>
    </row>
    <row r="261" spans="2:6" x14ac:dyDescent="0.25">
      <c r="B261" s="5" vm="499">
        <f ca="1"/>
        <v>45656</v>
      </c>
      <c r="C261" vm="500">
        <f ca="1"/>
        <v>252.2</v>
      </c>
      <c r="E261" s="13">
        <f t="shared" ca="1" si="7"/>
        <v>-1.3263429711647623E-2</v>
      </c>
      <c r="F261" s="7">
        <f t="shared" ca="1" si="8"/>
        <v>0.35854341736694684</v>
      </c>
    </row>
    <row r="262" spans="2:6" ht="15.75" thickBot="1" x14ac:dyDescent="0.3">
      <c r="B262" s="8" vm="501">
        <f ca="1"/>
        <v>45657</v>
      </c>
      <c r="C262" s="9" vm="37">
        <f ca="1"/>
        <v>250.42</v>
      </c>
      <c r="D262" s="9"/>
      <c r="E262" s="15">
        <f t="shared" ca="1" si="7"/>
        <v>-7.0578905630451771E-3</v>
      </c>
      <c r="F262" s="12">
        <f t="shared" ca="1" si="8"/>
        <v>0.34895496660202552</v>
      </c>
    </row>
  </sheetData>
  <mergeCells count="4">
    <mergeCell ref="B2:F2"/>
    <mergeCell ref="B9:F9"/>
    <mergeCell ref="H9:J9"/>
    <mergeCell ref="H24:I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BB83-98B4-4223-B90A-5604D0752763}">
  <sheetPr>
    <tabColor theme="3" tint="0.749992370372631"/>
  </sheetPr>
  <dimension ref="B1:L33"/>
  <sheetViews>
    <sheetView showGridLines="0" workbookViewId="0">
      <selection activeCell="K14" sqref="K14"/>
    </sheetView>
  </sheetViews>
  <sheetFormatPr defaultRowHeight="15" x14ac:dyDescent="0.25"/>
  <cols>
    <col min="2" max="2" width="10.28515625" bestFit="1" customWidth="1"/>
    <col min="3" max="3" width="20.42578125" bestFit="1" customWidth="1"/>
    <col min="4" max="4" width="21.7109375" bestFit="1" customWidth="1"/>
    <col min="5" max="5" width="23.42578125" bestFit="1" customWidth="1"/>
    <col min="6" max="6" width="21" bestFit="1" customWidth="1"/>
    <col min="7" max="7" width="18.7109375" bestFit="1" customWidth="1"/>
    <col min="8" max="8" width="16.5703125" bestFit="1" customWidth="1"/>
    <col min="9" max="9" width="9.5703125" bestFit="1" customWidth="1"/>
    <col min="10" max="10" width="14.7109375" bestFit="1" customWidth="1"/>
    <col min="11" max="11" width="13.5703125" bestFit="1" customWidth="1"/>
    <col min="12" max="12" width="9.7109375" bestFit="1" customWidth="1"/>
  </cols>
  <sheetData>
    <row r="1" spans="2:9" ht="6" customHeight="1" x14ac:dyDescent="0.25"/>
    <row r="2" spans="2:9" ht="15.75" thickBot="1" x14ac:dyDescent="0.3"/>
    <row r="3" spans="2:9" ht="24.75" thickBot="1" x14ac:dyDescent="0.45">
      <c r="B3" s="106" t="s">
        <v>35</v>
      </c>
      <c r="C3" s="107"/>
      <c r="D3" s="107"/>
      <c r="E3" s="107"/>
      <c r="F3" s="107"/>
      <c r="G3" s="107"/>
      <c r="H3" s="107"/>
      <c r="I3" s="108"/>
    </row>
    <row r="4" spans="2:9" ht="24.75" hidden="1" thickBot="1" x14ac:dyDescent="0.45">
      <c r="B4" s="66"/>
      <c r="C4" s="67"/>
      <c r="D4" s="67"/>
      <c r="E4" s="67"/>
      <c r="F4" s="67"/>
      <c r="G4" s="67"/>
      <c r="H4" s="68">
        <v>100</v>
      </c>
      <c r="I4" s="67"/>
    </row>
    <row r="5" spans="2:9" ht="15.75" thickBot="1" x14ac:dyDescent="0.3">
      <c r="B5" s="69" t="s">
        <v>3</v>
      </c>
      <c r="C5" s="70" t="s">
        <v>36</v>
      </c>
      <c r="D5" s="70" t="s">
        <v>37</v>
      </c>
      <c r="E5" s="70" t="s">
        <v>38</v>
      </c>
      <c r="F5" s="70" t="s">
        <v>39</v>
      </c>
      <c r="G5" s="70" t="s">
        <v>40</v>
      </c>
      <c r="H5" s="70" t="s">
        <v>4</v>
      </c>
      <c r="I5" s="71" t="s">
        <v>41</v>
      </c>
    </row>
    <row r="6" spans="2:9" x14ac:dyDescent="0.25">
      <c r="B6" s="27" cm="1">
        <f t="array" ref="B6:B17">_xlfn.SEQUENCE(12,1,1/1/2024,32)</f>
        <v>4.9407114624505926E-4</v>
      </c>
      <c r="C6" s="25" cm="1">
        <f t="array" aca="1" ref="C6:C17" ca="1">'Parameters 1'!J11:J22</f>
        <v>-6.6795949148888978E-3</v>
      </c>
      <c r="D6" s="65">
        <f>'Parameters 2'!I27</f>
        <v>892.06</v>
      </c>
      <c r="E6" s="64">
        <f>'Parameters 2'!I26</f>
        <v>675.36</v>
      </c>
      <c r="F6" s="13" cm="1">
        <f t="array" ref="F6:F17">E6:E17/D6:D17-1</f>
        <v>-0.24292087976145094</v>
      </c>
      <c r="G6" s="13" cm="1">
        <f t="array" aca="1" ref="G6:G17" ca="1">(1+_xlfn.ANCHORARRAY(C6))*(1+_xlfn.ANCHORARRAY(F6))-1</f>
        <v>-0.24797786160316493</v>
      </c>
      <c r="H6" s="40">
        <f ca="1">H4*(1+G6)</f>
        <v>75.202213839683509</v>
      </c>
      <c r="I6" s="44">
        <f ca="1">_xlfn.STDEV.S(H6:H17)/100</f>
        <v>5.6564791992317079E-2</v>
      </c>
    </row>
    <row r="7" spans="2:9" x14ac:dyDescent="0.25">
      <c r="B7" s="27">
        <v>32.000494071146242</v>
      </c>
      <c r="C7" s="25">
        <f ca="1"/>
        <v>-1.9793926247288485E-2</v>
      </c>
      <c r="D7" s="38">
        <f>'Parameters 2'!I28</f>
        <v>900.09</v>
      </c>
      <c r="E7" s="26">
        <f>'Parameters 2'!I27</f>
        <v>892.06</v>
      </c>
      <c r="F7" s="13">
        <v>-8.921330089213364E-3</v>
      </c>
      <c r="G7" s="13">
        <f ca="1"/>
        <v>-2.8538668186688265E-2</v>
      </c>
      <c r="H7" s="40">
        <f ca="1">H6*(1+G7)</f>
        <v>73.0560428120084</v>
      </c>
      <c r="I7" s="41"/>
    </row>
    <row r="8" spans="2:9" x14ac:dyDescent="0.25">
      <c r="B8" s="27">
        <v>64.00049407114625</v>
      </c>
      <c r="C8" s="25">
        <f ca="1"/>
        <v>-5.1286307053941993E-2</v>
      </c>
      <c r="D8" s="38">
        <f>'Parameters 2'!I29</f>
        <v>924.21</v>
      </c>
      <c r="E8" s="26">
        <f>'Parameters 2'!I28</f>
        <v>900.09</v>
      </c>
      <c r="F8" s="13">
        <v>-2.6097964748271529E-2</v>
      </c>
      <c r="G8" s="13">
        <f ca="1"/>
        <v>-7.6045803568650761E-2</v>
      </c>
      <c r="H8" s="40">
        <f t="shared" ref="H8:H17" ca="1" si="0">H7*(1+G8)</f>
        <v>67.500437330823473</v>
      </c>
      <c r="I8" s="41"/>
    </row>
    <row r="9" spans="2:9" x14ac:dyDescent="0.25">
      <c r="B9" s="27">
        <v>96.00049407114625</v>
      </c>
      <c r="C9" s="25">
        <f ca="1"/>
        <v>-6.7063214369020852E-3</v>
      </c>
      <c r="D9" s="38">
        <f>'Parameters 2'!I30</f>
        <v>930.23</v>
      </c>
      <c r="E9" s="26">
        <f>'Parameters 2'!I29</f>
        <v>924.21</v>
      </c>
      <c r="F9" s="13">
        <v>-6.4715177966738757E-3</v>
      </c>
      <c r="G9" s="13">
        <f ca="1"/>
        <v>-1.3134439155046862E-2</v>
      </c>
      <c r="H9" s="40">
        <f t="shared" ca="1" si="0"/>
        <v>66.613856943762713</v>
      </c>
      <c r="I9" s="41"/>
    </row>
    <row r="10" spans="2:9" x14ac:dyDescent="0.25">
      <c r="B10" s="27">
        <v>128.00049407114625</v>
      </c>
      <c r="C10" s="25">
        <f ca="1"/>
        <v>0.12869136382316682</v>
      </c>
      <c r="D10" s="38">
        <f>'Parameters 2'!I31</f>
        <v>956.02</v>
      </c>
      <c r="E10" s="26">
        <f>'Parameters 2'!I30</f>
        <v>930.23</v>
      </c>
      <c r="F10" s="13">
        <v>-2.6976423087383017E-2</v>
      </c>
      <c r="G10" s="13">
        <f ca="1"/>
        <v>9.8243308057597734E-2</v>
      </c>
      <c r="H10" s="40">
        <f t="shared" ca="1" si="0"/>
        <v>73.158222612393544</v>
      </c>
      <c r="I10" s="41"/>
    </row>
    <row r="11" spans="2:9" x14ac:dyDescent="0.25">
      <c r="B11" s="27">
        <v>160.00049407114625</v>
      </c>
      <c r="C11" s="25">
        <f ca="1"/>
        <v>9.5552665799739867E-2</v>
      </c>
      <c r="D11" s="38">
        <f>'Parameters 2'!I32</f>
        <v>971.82</v>
      </c>
      <c r="E11" s="26">
        <f>'Parameters 2'!I31</f>
        <v>956.02</v>
      </c>
      <c r="F11" s="13">
        <v>-1.6258154802329727E-2</v>
      </c>
      <c r="G11" s="13">
        <f ca="1"/>
        <v>7.7741000965062756E-2</v>
      </c>
      <c r="H11" s="40">
        <f t="shared" ca="1" si="0"/>
        <v>78.845616067105908</v>
      </c>
      <c r="I11" s="41"/>
    </row>
    <row r="12" spans="2:9" x14ac:dyDescent="0.25">
      <c r="B12" s="27">
        <v>192.00049407114625</v>
      </c>
      <c r="C12" s="25">
        <f ca="1"/>
        <v>5.4410787199696165E-2</v>
      </c>
      <c r="D12" s="38">
        <f>'Parameters 2'!I33</f>
        <v>1000</v>
      </c>
      <c r="E12" s="26">
        <f>'Parameters 2'!I32</f>
        <v>971.82</v>
      </c>
      <c r="F12" s="13">
        <v>-2.8179999999999983E-2</v>
      </c>
      <c r="G12" s="13">
        <f ca="1"/>
        <v>2.4697491216408851E-2</v>
      </c>
      <c r="H12" s="40">
        <f t="shared" ca="1" si="0"/>
        <v>80.792904977375599</v>
      </c>
      <c r="I12" s="41"/>
    </row>
    <row r="13" spans="2:9" x14ac:dyDescent="0.25">
      <c r="B13" s="27">
        <v>224.00049407114625</v>
      </c>
      <c r="C13" s="25">
        <f ca="1"/>
        <v>3.115994236311237E-2</v>
      </c>
      <c r="D13" s="38">
        <f>'Parameters 2'!I34</f>
        <v>1035.2</v>
      </c>
      <c r="E13" s="26">
        <f>'Parameters 2'!I33</f>
        <v>1000</v>
      </c>
      <c r="F13" s="13">
        <v>-3.4003091190108248E-2</v>
      </c>
      <c r="G13" s="13">
        <f ca="1"/>
        <v>-3.9026831886472824E-3</v>
      </c>
      <c r="H13" s="40">
        <f t="shared" ca="1" si="0"/>
        <v>80.477595865358424</v>
      </c>
      <c r="I13" s="41"/>
    </row>
    <row r="14" spans="2:9" x14ac:dyDescent="0.25">
      <c r="B14" s="27">
        <v>256.00049407114625</v>
      </c>
      <c r="C14" s="25">
        <f ca="1"/>
        <v>1.7467248908296984E-2</v>
      </c>
      <c r="D14" s="38">
        <f>'Parameters 2'!I35</f>
        <v>1066.0999999999999</v>
      </c>
      <c r="E14" s="26">
        <f>'Parameters 2'!I34</f>
        <v>1035.2</v>
      </c>
      <c r="F14" s="13">
        <v>-2.8984147828533757E-2</v>
      </c>
      <c r="G14" s="13">
        <f ca="1"/>
        <v>-1.2023172244752689E-2</v>
      </c>
      <c r="H14" s="40">
        <f t="shared" ca="1" si="0"/>
        <v>79.509999868425624</v>
      </c>
      <c r="I14" s="41"/>
    </row>
    <row r="15" spans="2:9" x14ac:dyDescent="0.25">
      <c r="B15" s="27">
        <v>288.00049407114625</v>
      </c>
      <c r="C15" s="25">
        <f ca="1"/>
        <v>-3.0429184549356281E-2</v>
      </c>
      <c r="D15" s="38">
        <f>'Parameters 2'!I36</f>
        <v>1067.24</v>
      </c>
      <c r="E15" s="26">
        <f>'Parameters 2'!I35</f>
        <v>1066.0999999999999</v>
      </c>
      <c r="F15" s="13">
        <v>-1.0681758554778042E-3</v>
      </c>
      <c r="G15" s="13">
        <f ca="1"/>
        <v>-3.1464856684596532E-2</v>
      </c>
      <c r="H15" s="40">
        <f t="shared" ca="1" si="0"/>
        <v>77.008229117573322</v>
      </c>
      <c r="I15" s="41"/>
    </row>
    <row r="16" spans="2:9" x14ac:dyDescent="0.25">
      <c r="B16" s="27">
        <v>320.00049407114625</v>
      </c>
      <c r="C16" s="25">
        <f ca="1"/>
        <v>5.0551104422114967E-2</v>
      </c>
      <c r="D16" s="38">
        <f>'Parameters 2'!I37</f>
        <v>1062.7</v>
      </c>
      <c r="E16" s="26">
        <f>'Parameters 2'!I36</f>
        <v>1067.24</v>
      </c>
      <c r="F16" s="13">
        <v>4.2721370095040179E-3</v>
      </c>
      <c r="G16" s="13">
        <f ca="1"/>
        <v>5.5039202675692067E-2</v>
      </c>
      <c r="H16" s="40">
        <f t="shared" ca="1" si="0"/>
        <v>81.246700647671574</v>
      </c>
      <c r="I16" s="41"/>
    </row>
    <row r="17" spans="2:12" x14ac:dyDescent="0.25">
      <c r="B17" s="28">
        <v>352.00049407114625</v>
      </c>
      <c r="C17" s="29">
        <f ca="1"/>
        <v>5.5155269034677268E-2</v>
      </c>
      <c r="D17" s="39">
        <f>'Parameters 2'!I38</f>
        <v>1068.3800000000001</v>
      </c>
      <c r="E17" s="30">
        <f>'Parameters 2'!I37</f>
        <v>1062.7</v>
      </c>
      <c r="F17" s="31">
        <v>-5.3164604354256628E-3</v>
      </c>
      <c r="G17" s="31">
        <f ca="1"/>
        <v>4.9545577793623563E-2</v>
      </c>
      <c r="H17" s="42">
        <f t="shared" ca="1" si="0"/>
        <v>85.272115375086031</v>
      </c>
      <c r="I17" s="43"/>
    </row>
    <row r="19" spans="2:12" ht="15.75" thickBot="1" x14ac:dyDescent="0.3"/>
    <row r="20" spans="2:12" ht="24.75" thickBot="1" x14ac:dyDescent="0.45">
      <c r="B20" s="103" t="s">
        <v>42</v>
      </c>
      <c r="C20" s="104"/>
      <c r="D20" s="104"/>
      <c r="E20" s="104"/>
      <c r="F20" s="104"/>
      <c r="G20" s="104"/>
      <c r="H20" s="104"/>
      <c r="I20" s="104"/>
      <c r="J20" s="104"/>
      <c r="K20" s="104"/>
      <c r="L20" s="105"/>
    </row>
    <row r="21" spans="2:12" ht="15.75" thickBot="1" x14ac:dyDescent="0.3">
      <c r="B21" s="48" t="s">
        <v>3</v>
      </c>
      <c r="C21" s="49" t="s">
        <v>36</v>
      </c>
      <c r="D21" s="49" t="s">
        <v>37</v>
      </c>
      <c r="E21" s="49" t="s">
        <v>38</v>
      </c>
      <c r="F21" s="49" t="s">
        <v>39</v>
      </c>
      <c r="G21" s="49" t="s">
        <v>43</v>
      </c>
      <c r="H21" s="49" t="s">
        <v>44</v>
      </c>
      <c r="I21" s="49" t="s">
        <v>45</v>
      </c>
      <c r="J21" s="49" t="s">
        <v>46</v>
      </c>
      <c r="K21" s="49" t="s">
        <v>5</v>
      </c>
      <c r="L21" s="50" t="s">
        <v>41</v>
      </c>
    </row>
    <row r="22" spans="2:12" x14ac:dyDescent="0.25">
      <c r="B22" s="27" cm="1">
        <f t="array" ref="B22:B33">_xlfn.SEQUENCE(12,1,1/1/2024,32)</f>
        <v>4.9407114624505926E-4</v>
      </c>
      <c r="C22" s="25" cm="1">
        <f t="array" aca="1" ref="C22:C33" ca="1">_xlfn.ANCHORARRAY(C6)</f>
        <v>-6.6795949148888978E-3</v>
      </c>
      <c r="D22" s="64">
        <f>'Parameters 2'!I27</f>
        <v>892.06</v>
      </c>
      <c r="E22" s="26">
        <f>'Parameters 2'!I26</f>
        <v>675.36</v>
      </c>
      <c r="F22" s="13" cm="1">
        <f t="array" ref="F22:F33">E22:E33/D22:D33-1</f>
        <v>-0.24292087976145094</v>
      </c>
      <c r="G22" s="25">
        <f>+'Parameters 2'!$F$4</f>
        <v>4.1666666666666666E-3</v>
      </c>
      <c r="H22" s="25">
        <f>+'Parameters 2'!$F$5</f>
        <v>2.6666666666666668E-2</v>
      </c>
      <c r="I22" s="38">
        <f>E22*(1+G22)/(1+H22)</f>
        <v>660.55909090909097</v>
      </c>
      <c r="J22" s="13">
        <f ca="1">(I22/E22)*(1+C22)-1</f>
        <v>-2.8448792104254106E-2</v>
      </c>
      <c r="K22" s="40">
        <f ca="1">H4*(1+J22)</f>
        <v>97.155120789574596</v>
      </c>
      <c r="L22" s="44">
        <f ca="1">_xlfn.STDEV.S(K22:K33)/100</f>
        <v>6.5699838929978605E-2</v>
      </c>
    </row>
    <row r="23" spans="2:12" x14ac:dyDescent="0.25">
      <c r="B23" s="27">
        <v>32.000494071146242</v>
      </c>
      <c r="C23" s="25">
        <f ca="1"/>
        <v>-1.9793926247288485E-2</v>
      </c>
      <c r="D23" s="26">
        <f>'Parameters 2'!I28</f>
        <v>900.09</v>
      </c>
      <c r="E23" s="26">
        <f>'Parameters 2'!I27</f>
        <v>892.06</v>
      </c>
      <c r="F23" s="13">
        <v>-8.921330089213364E-3</v>
      </c>
      <c r="G23" s="25">
        <f>+'Parameters 2'!$F$4</f>
        <v>4.1666666666666666E-3</v>
      </c>
      <c r="H23" s="25">
        <f>+'Parameters 2'!$F$5</f>
        <v>2.6666666666666668E-2</v>
      </c>
      <c r="I23" s="38">
        <f t="shared" ref="I23:I33" si="1">E23*(1+G23)/(1+H23)</f>
        <v>872.50998376623374</v>
      </c>
      <c r="J23" s="13">
        <f t="shared" ref="J23:J33" ca="1" si="2">(I23/E23)*(1+C23)-1</f>
        <v>-4.1275715201284591E-2</v>
      </c>
      <c r="K23" s="40">
        <f ca="1">K22*(1+J23)</f>
        <v>93.144973693517713</v>
      </c>
      <c r="L23" s="41"/>
    </row>
    <row r="24" spans="2:12" x14ac:dyDescent="0.25">
      <c r="B24" s="27">
        <v>64.00049407114625</v>
      </c>
      <c r="C24" s="25">
        <f ca="1"/>
        <v>-5.1286307053941993E-2</v>
      </c>
      <c r="D24" s="26">
        <f>'Parameters 2'!I29</f>
        <v>924.21</v>
      </c>
      <c r="E24" s="26">
        <f>'Parameters 2'!I28</f>
        <v>900.09</v>
      </c>
      <c r="F24" s="13">
        <v>-2.6097964748271529E-2</v>
      </c>
      <c r="G24" s="25">
        <f>+'Parameters 2'!$F$4</f>
        <v>4.1666666666666666E-3</v>
      </c>
      <c r="H24" s="25">
        <f>+'Parameters 2'!$F$5</f>
        <v>2.6666666666666668E-2</v>
      </c>
      <c r="I24" s="38">
        <f t="shared" si="1"/>
        <v>880.36400162337668</v>
      </c>
      <c r="J24" s="13">
        <f t="shared" ca="1" si="2"/>
        <v>-7.2077922077922185E-2</v>
      </c>
      <c r="K24" s="40">
        <f t="shared" ref="K24:K33" ca="1" si="3">K23*(1+J24)</f>
        <v>86.431277537686228</v>
      </c>
      <c r="L24" s="41"/>
    </row>
    <row r="25" spans="2:12" x14ac:dyDescent="0.25">
      <c r="B25" s="27">
        <v>96.00049407114625</v>
      </c>
      <c r="C25" s="25">
        <f ca="1"/>
        <v>-6.7063214369020852E-3</v>
      </c>
      <c r="D25" s="26">
        <f>'Parameters 2'!I30</f>
        <v>930.23</v>
      </c>
      <c r="E25" s="26">
        <f>'Parameters 2'!I29</f>
        <v>924.21</v>
      </c>
      <c r="F25" s="13">
        <v>-6.4715177966738757E-3</v>
      </c>
      <c r="G25" s="25">
        <f>+'Parameters 2'!$F$4</f>
        <v>4.1666666666666666E-3</v>
      </c>
      <c r="H25" s="25">
        <f>+'Parameters 2'!$F$5</f>
        <v>2.6666666666666668E-2</v>
      </c>
      <c r="I25" s="38">
        <f t="shared" si="1"/>
        <v>903.95539772727273</v>
      </c>
      <c r="J25" s="13">
        <f t="shared" ca="1" si="2"/>
        <v>-2.8474932898918115E-2</v>
      </c>
      <c r="K25" s="40">
        <f t="shared" ca="1" si="3"/>
        <v>83.970152709432838</v>
      </c>
      <c r="L25" s="41"/>
    </row>
    <row r="26" spans="2:12" x14ac:dyDescent="0.25">
      <c r="B26" s="27">
        <v>128.00049407114625</v>
      </c>
      <c r="C26" s="25">
        <f ca="1"/>
        <v>0.12869136382316682</v>
      </c>
      <c r="D26" s="26">
        <f>'Parameters 2'!I31</f>
        <v>956.02</v>
      </c>
      <c r="E26" s="26">
        <f>'Parameters 2'!I30</f>
        <v>930.23</v>
      </c>
      <c r="F26" s="13">
        <v>-2.6976423087383017E-2</v>
      </c>
      <c r="G26" s="25">
        <f>+'Parameters 2'!$F$4</f>
        <v>4.1666666666666666E-3</v>
      </c>
      <c r="H26" s="25">
        <f>+'Parameters 2'!$F$5</f>
        <v>2.6666666666666668E-2</v>
      </c>
      <c r="I26" s="38">
        <f t="shared" si="1"/>
        <v>909.84346590909092</v>
      </c>
      <c r="J26" s="13">
        <f t="shared" ca="1" si="2"/>
        <v>0.10395543296015908</v>
      </c>
      <c r="K26" s="40">
        <f t="shared" ca="1" si="3"/>
        <v>92.699306290072599</v>
      </c>
      <c r="L26" s="41"/>
    </row>
    <row r="27" spans="2:12" x14ac:dyDescent="0.25">
      <c r="B27" s="27">
        <v>160.00049407114625</v>
      </c>
      <c r="C27" s="25">
        <f ca="1"/>
        <v>9.5552665799739867E-2</v>
      </c>
      <c r="D27" s="26">
        <f>'Parameters 2'!I32</f>
        <v>971.82</v>
      </c>
      <c r="E27" s="26">
        <f>'Parameters 2'!I31</f>
        <v>956.02</v>
      </c>
      <c r="F27" s="13">
        <v>-1.6258154802329727E-2</v>
      </c>
      <c r="G27" s="25">
        <f>+'Parameters 2'!$F$4</f>
        <v>4.1666666666666666E-3</v>
      </c>
      <c r="H27" s="25">
        <f>+'Parameters 2'!$F$5</f>
        <v>2.6666666666666668E-2</v>
      </c>
      <c r="I27" s="38">
        <f t="shared" si="1"/>
        <v>935.0682629870131</v>
      </c>
      <c r="J27" s="13">
        <f t="shared" ca="1" si="2"/>
        <v>7.154298887068733E-2</v>
      </c>
      <c r="K27" s="40">
        <f t="shared" ca="1" si="3"/>
        <v>99.331291728303697</v>
      </c>
      <c r="L27" s="41"/>
    </row>
    <row r="28" spans="2:12" x14ac:dyDescent="0.25">
      <c r="B28" s="27">
        <v>192.00049407114625</v>
      </c>
      <c r="C28" s="25">
        <f ca="1"/>
        <v>5.4410787199696165E-2</v>
      </c>
      <c r="D28" s="26">
        <f>'Parameters 2'!I33</f>
        <v>1000</v>
      </c>
      <c r="E28" s="26">
        <f>'Parameters 2'!I32</f>
        <v>971.82</v>
      </c>
      <c r="F28" s="13">
        <v>-2.8179999999999983E-2</v>
      </c>
      <c r="G28" s="25">
        <f>+'Parameters 2'!$F$4</f>
        <v>4.1666666666666666E-3</v>
      </c>
      <c r="H28" s="25">
        <f>+'Parameters 2'!$F$5</f>
        <v>2.6666666666666668E-2</v>
      </c>
      <c r="I28" s="38">
        <f t="shared" si="1"/>
        <v>950.52199675324687</v>
      </c>
      <c r="J28" s="13">
        <f t="shared" ca="1" si="2"/>
        <v>3.1302758584118351E-2</v>
      </c>
      <c r="K28" s="40">
        <f t="shared" ca="1" si="3"/>
        <v>102.44063517312343</v>
      </c>
      <c r="L28" s="41"/>
    </row>
    <row r="29" spans="2:12" x14ac:dyDescent="0.25">
      <c r="B29" s="27">
        <v>224.00049407114625</v>
      </c>
      <c r="C29" s="25">
        <f ca="1"/>
        <v>3.115994236311237E-2</v>
      </c>
      <c r="D29" s="26">
        <f>'Parameters 2'!I34</f>
        <v>1035.2</v>
      </c>
      <c r="E29" s="26">
        <f>'Parameters 2'!I33</f>
        <v>1000</v>
      </c>
      <c r="F29" s="13">
        <v>-3.4003091190108248E-2</v>
      </c>
      <c r="G29" s="25">
        <f>+'Parameters 2'!$F$4</f>
        <v>4.1666666666666666E-3</v>
      </c>
      <c r="H29" s="25">
        <f>+'Parameters 2'!$F$5</f>
        <v>2.6666666666666668E-2</v>
      </c>
      <c r="I29" s="38">
        <f t="shared" si="1"/>
        <v>978.08441558441564</v>
      </c>
      <c r="J29" s="13">
        <f t="shared" ca="1" si="2"/>
        <v>8.561469600284477E-3</v>
      </c>
      <c r="K29" s="40">
        <f t="shared" ca="1" si="3"/>
        <v>103.31767755699195</v>
      </c>
      <c r="L29" s="41"/>
    </row>
    <row r="30" spans="2:12" x14ac:dyDescent="0.25">
      <c r="B30" s="27">
        <v>256.00049407114625</v>
      </c>
      <c r="C30" s="25">
        <f ca="1"/>
        <v>1.7467248908296984E-2</v>
      </c>
      <c r="D30" s="26">
        <f>'Parameters 2'!I35</f>
        <v>1066.0999999999999</v>
      </c>
      <c r="E30" s="26">
        <f>'Parameters 2'!I34</f>
        <v>1035.2</v>
      </c>
      <c r="F30" s="13">
        <v>-2.8984147828533757E-2</v>
      </c>
      <c r="G30" s="25">
        <f>+'Parameters 2'!$F$4</f>
        <v>4.1666666666666666E-3</v>
      </c>
      <c r="H30" s="25">
        <f>+'Parameters 2'!$F$5</f>
        <v>2.6666666666666668E-2</v>
      </c>
      <c r="I30" s="38">
        <f t="shared" si="1"/>
        <v>1012.5129870129871</v>
      </c>
      <c r="J30" s="13">
        <f t="shared" ca="1" si="2"/>
        <v>-4.8311404752452436E-3</v>
      </c>
      <c r="K30" s="40">
        <f t="shared" ca="1" si="3"/>
        <v>102.81853534313804</v>
      </c>
      <c r="L30" s="41"/>
    </row>
    <row r="31" spans="2:12" x14ac:dyDescent="0.25">
      <c r="B31" s="27">
        <v>288.00049407114625</v>
      </c>
      <c r="C31" s="25">
        <f ca="1"/>
        <v>-3.0429184549356281E-2</v>
      </c>
      <c r="D31" s="26">
        <f>'Parameters 2'!I36</f>
        <v>1067.24</v>
      </c>
      <c r="E31" s="26">
        <f>'Parameters 2'!I35</f>
        <v>1066.0999999999999</v>
      </c>
      <c r="F31" s="13">
        <v>-1.0681758554778042E-3</v>
      </c>
      <c r="G31" s="25">
        <f>+'Parameters 2'!$F$4</f>
        <v>4.1666666666666666E-3</v>
      </c>
      <c r="H31" s="25">
        <f>+'Parameters 2'!$F$5</f>
        <v>2.6666666666666668E-2</v>
      </c>
      <c r="I31" s="38">
        <f t="shared" si="1"/>
        <v>1042.7357954545455</v>
      </c>
      <c r="J31" s="13">
        <f t="shared" ca="1" si="2"/>
        <v>-5.1677895602251778E-2</v>
      </c>
      <c r="K31" s="40">
        <f t="shared" ca="1" si="3"/>
        <v>97.505089807698909</v>
      </c>
      <c r="L31" s="41"/>
    </row>
    <row r="32" spans="2:12" x14ac:dyDescent="0.25">
      <c r="B32" s="27">
        <v>320.00049407114625</v>
      </c>
      <c r="C32" s="25">
        <f ca="1"/>
        <v>5.0551104422114967E-2</v>
      </c>
      <c r="D32" s="26">
        <f>'Parameters 2'!I37</f>
        <v>1062.7</v>
      </c>
      <c r="E32" s="26">
        <f>'Parameters 2'!I36</f>
        <v>1067.24</v>
      </c>
      <c r="F32" s="13">
        <v>4.2721370095040179E-3</v>
      </c>
      <c r="G32" s="25">
        <f>+'Parameters 2'!$F$4</f>
        <v>4.1666666666666666E-3</v>
      </c>
      <c r="H32" s="25">
        <f>+'Parameters 2'!$F$5</f>
        <v>2.6666666666666668E-2</v>
      </c>
      <c r="I32" s="38">
        <f t="shared" si="1"/>
        <v>1043.8508116883118</v>
      </c>
      <c r="J32" s="13">
        <f t="shared" ca="1" si="2"/>
        <v>2.7527663010266767E-2</v>
      </c>
      <c r="K32" s="40">
        <f t="shared" ca="1" si="3"/>
        <v>100.18917706171104</v>
      </c>
      <c r="L32" s="41"/>
    </row>
    <row r="33" spans="2:12" x14ac:dyDescent="0.25">
      <c r="B33" s="28">
        <v>352.00049407114625</v>
      </c>
      <c r="C33" s="29">
        <f ca="1"/>
        <v>5.5155269034677268E-2</v>
      </c>
      <c r="D33" s="30">
        <f>'Parameters 2'!I38</f>
        <v>1068.3800000000001</v>
      </c>
      <c r="E33" s="30">
        <f>'Parameters 2'!I37</f>
        <v>1062.7</v>
      </c>
      <c r="F33" s="31">
        <v>-5.3164604354256628E-3</v>
      </c>
      <c r="G33" s="29">
        <f>+'Parameters 2'!$F$4</f>
        <v>4.1666666666666666E-3</v>
      </c>
      <c r="H33" s="29">
        <f>+'Parameters 2'!$F$5</f>
        <v>2.6666666666666668E-2</v>
      </c>
      <c r="I33" s="39">
        <f t="shared" si="1"/>
        <v>1039.4103084415585</v>
      </c>
      <c r="J33" s="31">
        <f t="shared" ca="1" si="2"/>
        <v>3.2030924664599114E-2</v>
      </c>
      <c r="K33" s="42">
        <f t="shared" ca="1" si="3"/>
        <v>103.39832904438288</v>
      </c>
      <c r="L33" s="43"/>
    </row>
  </sheetData>
  <mergeCells count="2">
    <mergeCell ref="B20:L20"/>
    <mergeCell ref="B3:I3"/>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6F266-8635-4661-A564-D170A4FF916A}">
  <sheetPr>
    <tabColor theme="4" tint="0.39997558519241921"/>
  </sheetPr>
  <dimension ref="B1:Q16"/>
  <sheetViews>
    <sheetView showGridLines="0" topLeftCell="A16" zoomScale="120" zoomScaleNormal="120" workbookViewId="0">
      <selection activeCell="S24" sqref="S24"/>
    </sheetView>
  </sheetViews>
  <sheetFormatPr defaultRowHeight="15" x14ac:dyDescent="0.25"/>
  <cols>
    <col min="1" max="1" width="1.28515625" customWidth="1"/>
    <col min="2" max="5" width="2.5703125" customWidth="1"/>
    <col min="6" max="6" width="27" customWidth="1"/>
    <col min="7" max="8" width="12.28515625" customWidth="1"/>
    <col min="10" max="10" width="1.85546875" customWidth="1"/>
    <col min="11" max="11" width="12.7109375" customWidth="1"/>
    <col min="12" max="13" width="13.7109375" customWidth="1"/>
    <col min="15" max="15" width="13.42578125" hidden="1" customWidth="1"/>
    <col min="16" max="16" width="22.7109375" hidden="1" customWidth="1"/>
    <col min="17" max="17" width="20.42578125" hidden="1" customWidth="1"/>
  </cols>
  <sheetData>
    <row r="1" spans="2:17" ht="3" customHeight="1" thickBot="1" x14ac:dyDescent="0.3"/>
    <row r="2" spans="2:17" ht="15.75" thickBot="1" x14ac:dyDescent="0.3">
      <c r="B2" s="109" t="s">
        <v>56</v>
      </c>
      <c r="C2" s="110"/>
      <c r="D2" s="110"/>
      <c r="E2" s="110"/>
      <c r="F2" s="110"/>
      <c r="G2" s="110"/>
      <c r="H2" s="111"/>
      <c r="K2" s="112" t="s">
        <v>58</v>
      </c>
      <c r="L2" s="113"/>
      <c r="M2" s="114"/>
      <c r="O2" s="24" t="s">
        <v>0</v>
      </c>
      <c r="P2" t="s">
        <v>47</v>
      </c>
      <c r="Q2" t="s">
        <v>1</v>
      </c>
    </row>
    <row r="3" spans="2:17" x14ac:dyDescent="0.25">
      <c r="B3" s="60" t="s">
        <v>3</v>
      </c>
      <c r="G3" s="61" t="s">
        <v>50</v>
      </c>
      <c r="H3" s="62" t="s">
        <v>51</v>
      </c>
      <c r="K3" s="81" t="s">
        <v>3</v>
      </c>
      <c r="L3" s="82" t="s">
        <v>4</v>
      </c>
      <c r="M3" s="83" t="s">
        <v>5</v>
      </c>
      <c r="O3" s="80">
        <v>4.9768518518518521E-4</v>
      </c>
      <c r="P3">
        <v>75.202213839683509</v>
      </c>
      <c r="Q3">
        <v>97.155120789574596</v>
      </c>
    </row>
    <row r="4" spans="2:17" x14ac:dyDescent="0.25">
      <c r="B4" s="46"/>
      <c r="C4" t="str" cm="1">
        <f t="array" ref="C4:C15">+'Parameters 1'!H11:H22</f>
        <v>January</v>
      </c>
      <c r="G4" s="13" cm="1">
        <f t="array" aca="1" ref="G4:G15" ca="1">+'Currency Variance Scenario'!J22:J33</f>
        <v>-2.8448792104254106E-2</v>
      </c>
      <c r="H4" s="47" cm="1">
        <f t="array" aca="1" ref="H4:H15" ca="1">+_xlfn.ANCHORARRAY('Currency Variance Scenario'!G6)</f>
        <v>-0.24797786160316493</v>
      </c>
      <c r="K4" s="78" cm="1">
        <f t="array" ref="K4:K15">+_xlfn.SEQUENCE(12,1,1/1/2024,31)</f>
        <v>4.9407114624505926E-4</v>
      </c>
      <c r="L4">
        <v>75.202213839683509</v>
      </c>
      <c r="M4" s="41">
        <v>97.155120789574596</v>
      </c>
      <c r="O4" s="80">
        <v>31.000497685185184</v>
      </c>
      <c r="P4">
        <v>73.0560428120084</v>
      </c>
      <c r="Q4">
        <v>93.144973693517713</v>
      </c>
    </row>
    <row r="5" spans="2:17" x14ac:dyDescent="0.25">
      <c r="B5" s="46"/>
      <c r="C5" s="56" t="str">
        <v>February</v>
      </c>
      <c r="G5" s="13">
        <f ca="1"/>
        <v>-4.1275715201284591E-2</v>
      </c>
      <c r="H5" s="47">
        <f ca="1"/>
        <v>-2.8538668186688265E-2</v>
      </c>
      <c r="K5" s="78">
        <v>31.000494071146246</v>
      </c>
      <c r="L5">
        <v>73.0560428120084</v>
      </c>
      <c r="M5" s="41">
        <v>93.144973693517713</v>
      </c>
      <c r="O5" s="80">
        <v>62.000497685185188</v>
      </c>
      <c r="P5">
        <v>67.500437330823473</v>
      </c>
      <c r="Q5">
        <v>86.431277537686228</v>
      </c>
    </row>
    <row r="6" spans="2:17" x14ac:dyDescent="0.25">
      <c r="B6" s="46"/>
      <c r="C6" s="56" t="str">
        <v>March</v>
      </c>
      <c r="G6" s="13">
        <f ca="1"/>
        <v>-7.2077922077922185E-2</v>
      </c>
      <c r="H6" s="47">
        <f ca="1"/>
        <v>-7.6045803568650761E-2</v>
      </c>
      <c r="K6" s="78">
        <v>62.00049407114625</v>
      </c>
      <c r="L6">
        <v>67.500437330823473</v>
      </c>
      <c r="M6" s="41">
        <v>86.431277537686228</v>
      </c>
      <c r="O6" s="80">
        <v>93.000497685185181</v>
      </c>
      <c r="P6">
        <v>66.613856943762713</v>
      </c>
      <c r="Q6">
        <v>83.970152709432838</v>
      </c>
    </row>
    <row r="7" spans="2:17" x14ac:dyDescent="0.25">
      <c r="B7" s="46"/>
      <c r="C7" s="56" t="str">
        <v>April</v>
      </c>
      <c r="G7" s="13">
        <f ca="1"/>
        <v>-2.8474932898918115E-2</v>
      </c>
      <c r="H7" s="47">
        <f ca="1"/>
        <v>-1.3134439155046862E-2</v>
      </c>
      <c r="K7" s="78">
        <v>93.00049407114625</v>
      </c>
      <c r="L7">
        <v>66.613856943762713</v>
      </c>
      <c r="M7" s="41">
        <v>83.970152709432838</v>
      </c>
      <c r="O7" s="80">
        <v>124.00049768518518</v>
      </c>
      <c r="P7">
        <v>73.158222612393544</v>
      </c>
      <c r="Q7">
        <v>92.699306290072599</v>
      </c>
    </row>
    <row r="8" spans="2:17" x14ac:dyDescent="0.25">
      <c r="B8" s="46"/>
      <c r="C8" s="56" t="str">
        <v>May</v>
      </c>
      <c r="G8" s="13">
        <f ca="1"/>
        <v>0.10395543296015908</v>
      </c>
      <c r="H8" s="47">
        <f ca="1"/>
        <v>9.8243308057597734E-2</v>
      </c>
      <c r="K8" s="78">
        <v>124.00049407114625</v>
      </c>
      <c r="L8">
        <v>73.158222612393544</v>
      </c>
      <c r="M8" s="41">
        <v>92.699306290072599</v>
      </c>
      <c r="O8" s="80">
        <v>155.00049768518519</v>
      </c>
      <c r="P8">
        <v>78.845616067105908</v>
      </c>
      <c r="Q8">
        <v>99.331291728303697</v>
      </c>
    </row>
    <row r="9" spans="2:17" x14ac:dyDescent="0.25">
      <c r="B9" s="46"/>
      <c r="C9" s="56" t="str">
        <v>June</v>
      </c>
      <c r="G9" s="13">
        <f ca="1"/>
        <v>7.154298887068733E-2</v>
      </c>
      <c r="H9" s="47">
        <f ca="1"/>
        <v>7.7741000965062756E-2</v>
      </c>
      <c r="K9" s="78">
        <v>155.00049407114625</v>
      </c>
      <c r="L9">
        <v>78.845616067105908</v>
      </c>
      <c r="M9" s="41">
        <v>99.331291728303697</v>
      </c>
      <c r="O9" s="80">
        <v>186.00049768518519</v>
      </c>
      <c r="P9">
        <v>80.792904977375599</v>
      </c>
      <c r="Q9">
        <v>102.44063517312343</v>
      </c>
    </row>
    <row r="10" spans="2:17" x14ac:dyDescent="0.25">
      <c r="B10" s="46"/>
      <c r="C10" s="56" t="str">
        <v>July</v>
      </c>
      <c r="G10" s="13">
        <f ca="1"/>
        <v>3.1302758584118351E-2</v>
      </c>
      <c r="H10" s="47">
        <f ca="1"/>
        <v>2.4697491216408851E-2</v>
      </c>
      <c r="K10" s="78">
        <v>186.00049407114625</v>
      </c>
      <c r="L10">
        <v>80.792904977375599</v>
      </c>
      <c r="M10" s="41">
        <v>102.44063517312343</v>
      </c>
      <c r="O10" s="80">
        <v>217.00049768518519</v>
      </c>
      <c r="P10">
        <v>80.477595865358424</v>
      </c>
      <c r="Q10">
        <v>103.31767755699195</v>
      </c>
    </row>
    <row r="11" spans="2:17" x14ac:dyDescent="0.25">
      <c r="B11" s="46"/>
      <c r="C11" s="56" t="str">
        <v>August</v>
      </c>
      <c r="G11" s="13">
        <f ca="1"/>
        <v>8.561469600284477E-3</v>
      </c>
      <c r="H11" s="47">
        <f ca="1"/>
        <v>-3.9026831886472824E-3</v>
      </c>
      <c r="K11" s="78">
        <v>217.00049407114625</v>
      </c>
      <c r="L11">
        <v>80.477595865358424</v>
      </c>
      <c r="M11" s="41">
        <v>103.31767755699195</v>
      </c>
      <c r="O11" s="80">
        <v>248.00049768518519</v>
      </c>
      <c r="P11">
        <v>79.509999868425624</v>
      </c>
      <c r="Q11">
        <v>102.81853534313804</v>
      </c>
    </row>
    <row r="12" spans="2:17" x14ac:dyDescent="0.25">
      <c r="B12" s="46"/>
      <c r="C12" s="56" t="str">
        <v>September</v>
      </c>
      <c r="G12" s="13">
        <f ca="1"/>
        <v>-4.8311404752452436E-3</v>
      </c>
      <c r="H12" s="47">
        <f ca="1"/>
        <v>-1.2023172244752689E-2</v>
      </c>
      <c r="K12" s="78">
        <v>248.00049407114625</v>
      </c>
      <c r="L12">
        <v>79.509999868425624</v>
      </c>
      <c r="M12" s="41">
        <v>102.81853534313804</v>
      </c>
      <c r="O12" s="80">
        <v>279.00049768518517</v>
      </c>
      <c r="P12">
        <v>77.008229117573322</v>
      </c>
      <c r="Q12">
        <v>97.505089807698909</v>
      </c>
    </row>
    <row r="13" spans="2:17" x14ac:dyDescent="0.25">
      <c r="B13" s="46"/>
      <c r="C13" s="56" t="str">
        <v>October</v>
      </c>
      <c r="G13" s="13">
        <f ca="1"/>
        <v>-5.1677895602251778E-2</v>
      </c>
      <c r="H13" s="47">
        <f ca="1"/>
        <v>-3.1464856684596532E-2</v>
      </c>
      <c r="K13" s="78">
        <v>279.00049407114625</v>
      </c>
      <c r="L13">
        <v>77.008229117573322</v>
      </c>
      <c r="M13" s="41">
        <v>97.505089807698909</v>
      </c>
      <c r="O13" s="80">
        <v>310.00049768518517</v>
      </c>
      <c r="P13">
        <v>81.246700647671574</v>
      </c>
      <c r="Q13">
        <v>100.18917706171104</v>
      </c>
    </row>
    <row r="14" spans="2:17" x14ac:dyDescent="0.25">
      <c r="B14" s="46"/>
      <c r="C14" s="56" t="str">
        <v>November</v>
      </c>
      <c r="G14" s="13">
        <f ca="1"/>
        <v>2.7527663010266767E-2</v>
      </c>
      <c r="H14" s="47">
        <f ca="1"/>
        <v>5.5039202675692067E-2</v>
      </c>
      <c r="K14" s="78">
        <v>310.00049407114625</v>
      </c>
      <c r="L14">
        <v>81.246700647671574</v>
      </c>
      <c r="M14" s="41">
        <v>100.18917706171104</v>
      </c>
      <c r="O14" s="80">
        <v>341.00049768518517</v>
      </c>
      <c r="P14">
        <v>85.272115375086031</v>
      </c>
      <c r="Q14">
        <v>103.39832904438288</v>
      </c>
    </row>
    <row r="15" spans="2:17" x14ac:dyDescent="0.25">
      <c r="B15" s="46"/>
      <c r="C15" s="56" t="str">
        <v>December</v>
      </c>
      <c r="G15" s="13">
        <f ca="1"/>
        <v>3.2030924664599114E-2</v>
      </c>
      <c r="H15" s="47">
        <f ca="1"/>
        <v>4.9545577793623563E-2</v>
      </c>
      <c r="K15" s="79">
        <v>341.00049407114625</v>
      </c>
      <c r="L15" s="45">
        <v>85.272115375086031</v>
      </c>
      <c r="M15" s="43">
        <v>103.39832904438288</v>
      </c>
      <c r="O15" s="80" t="s">
        <v>2</v>
      </c>
      <c r="P15">
        <v>918.68393545726838</v>
      </c>
      <c r="Q15">
        <v>1162.4015667356339</v>
      </c>
    </row>
    <row r="16" spans="2:17" x14ac:dyDescent="0.25">
      <c r="B16" s="57" t="s">
        <v>52</v>
      </c>
      <c r="C16" s="45"/>
      <c r="D16" s="45"/>
      <c r="E16" s="45"/>
      <c r="F16" s="45"/>
      <c r="G16" s="58">
        <f ca="1">('Currency Variance Scenario'!K33-100)/100</f>
        <v>3.3983290443828765E-2</v>
      </c>
      <c r="H16" s="59">
        <f ca="1">('Currency Variance Scenario'!H17-100)/100</f>
        <v>-0.1472788462491397</v>
      </c>
    </row>
  </sheetData>
  <mergeCells count="2">
    <mergeCell ref="B2:H2"/>
    <mergeCell ref="K2:M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Parameters 1</vt:lpstr>
      <vt:lpstr>Hedged vs Unhedged Returns</vt:lpstr>
      <vt:lpstr>PNL 1</vt:lpstr>
      <vt:lpstr>Parameters 2</vt:lpstr>
      <vt:lpstr>Currency Variance Scenario</vt:lpstr>
      <vt:lpstr>PNL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Caleb Gartner</dc:creator>
  <cp:keywords/>
  <dc:description/>
  <cp:lastModifiedBy>Gartner, Caleb</cp:lastModifiedBy>
  <cp:revision/>
  <dcterms:created xsi:type="dcterms:W3CDTF">2025-08-25T21:09:38Z</dcterms:created>
  <dcterms:modified xsi:type="dcterms:W3CDTF">2026-05-01T19:08:18Z</dcterms:modified>
  <cp:category/>
  <cp:contentStatus/>
</cp:coreProperties>
</file>