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leb\Desktop\GitHub Models\"/>
    </mc:Choice>
  </mc:AlternateContent>
  <xr:revisionPtr revIDLastSave="0" documentId="8_{C84FC925-30C9-4BD0-8FE2-8ED02D84996D}" xr6:coauthVersionLast="47" xr6:coauthVersionMax="47" xr10:uidLastSave="{00000000-0000-0000-0000-000000000000}"/>
  <bookViews>
    <workbookView xWindow="28680" yWindow="-120" windowWidth="29040" windowHeight="15720" firstSheet="1" activeTab="7" xr2:uid="{DD0F9678-9DBC-4FF6-AF90-D38A9E18B0E2}"/>
  </bookViews>
  <sheets>
    <sheet name="Formulas" sheetId="1" r:id="rId1"/>
    <sheet name="HockeyStickTemplate" sheetId="2" r:id="rId2"/>
    <sheet name="Call Spread" sheetId="3" r:id="rId3"/>
    <sheet name="Covered Call" sheetId="4" r:id="rId4"/>
    <sheet name="Put Spread" sheetId="5" r:id="rId5"/>
    <sheet name="Straddle" sheetId="6" r:id="rId6"/>
    <sheet name="Strangle" sheetId="7" r:id="rId7"/>
    <sheet name="Butterfly" sheetId="8" r:id="rId8"/>
  </sheets>
  <definedNames>
    <definedName name="Bud">_xlfn.LAMBDA(_xlpm.limit,_xlpm.beers,_xlpm.limit+8-IF(_xlpm.beers&gt;3,7,0))</definedName>
    <definedName name="CallDelta">_xlfn.LAMBDA(_xlpm.spot,_xlpm.strike,_xlpm.time,_xlpm.interest,_xlpm.implied,_xlpm.divyld,+EXP(-_xlpm.divyld*_xlpm.time)*_xlfn.NORM.S.DIST((LN(_xlpm.spot/_xlpm.strike)+_xlpm.time*(_xlpm.interest-_xlpm.divyld+(_xlpm.implied^2/2)))/(_xlpm.implied*SQRT(_xlpm.time)),TRUE))</definedName>
    <definedName name="CallPayout">_xlfn.LAMBDA(_xlpm.spot,_xlpm.strike,MAX(0,_xlpm.spot-_xlpm.strike))</definedName>
    <definedName name="CallPrice">_xlfn.LAMBDA(_xlpm.S,_xlpm.K,_xlpm.T,_xlpm.r,_xlpm.sigma,_xlpm.q, _xlpm.S * EXP(-_xlpm.q * _xlpm.T) * _xlfn.NORM.S.DIST((LN(_xlpm.S / _xlpm.K) + (_xlpm.r - _xlpm.q + (_xlpm.sigma^2) / 2) * _xlpm.T) / (_xlpm.sigma * SQRT(_xlpm.T)), TRUE) - _xlpm.K * EXP(-_xlpm.r * _xlpm.T) * _xlfn.NORM.S.DIST(((LN(_xlpm.S / _xlpm.K) + (_xlpm.r - _xlpm.q + (_xlpm.sigma^2) / 2) * _xlpm.T) / (_xlpm.sigma * SQRT(_xlpm.T))) - _xlpm.sigma * SQRT(_xlpm.T), TRUE))</definedName>
    <definedName name="DivYield" localSheetId="7">Butterfly!$G$7</definedName>
    <definedName name="DivYield" localSheetId="2">'Call Spread'!$G$7</definedName>
    <definedName name="DivYield" localSheetId="3">'Covered Call'!$G$7</definedName>
    <definedName name="DivYield" localSheetId="4">'Put Spread'!$G$7</definedName>
    <definedName name="DivYield" localSheetId="5">Straddle!$G$7</definedName>
    <definedName name="DivYield" localSheetId="6">Strangle!$G$7</definedName>
    <definedName name="DivYield">HockeyStickTemplate!$G$7</definedName>
    <definedName name="Expiry" localSheetId="7">Butterfly!$H$5</definedName>
    <definedName name="Expiry" localSheetId="2">'Call Spread'!$H$5</definedName>
    <definedName name="Expiry" localSheetId="3">'Covered Call'!$H$5</definedName>
    <definedName name="Expiry" localSheetId="4">'Put Spread'!$H$5</definedName>
    <definedName name="Expiry" localSheetId="5">Straddle!$H$5</definedName>
    <definedName name="Expiry" localSheetId="6">Strangle!$H$5</definedName>
    <definedName name="Expiry">HockeyStickTemplate!$H$5</definedName>
    <definedName name="GFAM">_xlfn.LAMBDA(_xlpm.limit,_xlpm.limit+8)</definedName>
    <definedName name="Payout">_xlfn.LAMBDA(_xlpm.type,_xlpm.spot,_xlpm.strike,_xlfn.IFS(_xlpm.type="Call",CallPayout(_xlpm.spot,_xlpm.strike),_xlpm.type="Put",PutPayout(_xlpm.spot,_xlpm.strike),_xlpm.type="Spot",(_xlpm.spot-_xlpm.strike)))</definedName>
    <definedName name="PutDelta">_xlfn.LAMBDA(_xlpm.spot,_xlpm.strike,_xlpm.time,_xlpm.interest,_xlpm.implied,_xlpm.divyld,+EXP(-_xlpm.divyld*_xlpm.time)*(-1+_xlfn.NORM.S.DIST((LN(_xlpm.spot/_xlpm.strike)+_xlpm.time*(_xlpm.interest-_xlpm.divyld+(_xlpm.implied^2/2)))/(_xlpm.implied*SQRT(_xlpm.time)),TRUE)))</definedName>
    <definedName name="PutPayout">_xlfn.LAMBDA(_xlpm.spot,_xlpm.strike,MAX(0,_xlpm.strike-_xlpm.spot))</definedName>
    <definedName name="PutPrice">_xlfn.LAMBDA(_xlpm.spot1,_xlpm.strike1,_xlpm.expiry1,_xlpm.riskfree1,_xlpm.volatility1,_xlpm.divyld1,-_xlpm.spot1*EXP(-_xlpm.divyld1*_xlpm.expiry1)*_xlfn.NORM.S.DIST(-(LN(_xlpm.spot1/_xlpm.strike1)+(_xlpm.riskfree1-_xlpm.divyld1+(_xlpm.volatility1^2)/2)*_xlpm.expiry1)/(_xlpm.volatility1*SQRT(_xlpm.expiry1)),TRUE)+_xlpm.strike1*EXP(-_xlpm.riskfree1*_xlpm.expiry1)*_xlfn.NORM.S.DIST(-((LN(_xlpm.spot1/_xlpm.strike1)+(_xlpm.riskfree1-_xlpm.divyld1+(_xlpm.volatility1^2)/2)*_xlpm.expiry1)/(_xlpm.volatility1*SQRT(_xlpm.expiry1))-(_xlpm.volatility1*SQRT(_xlpm.expiry1))),TRUE))</definedName>
    <definedName name="Riskfree" localSheetId="7">Butterfly!$G$6</definedName>
    <definedName name="Riskfree" localSheetId="2">'Call Spread'!$G$6</definedName>
    <definedName name="Riskfree" localSheetId="3">'Covered Call'!$G$6</definedName>
    <definedName name="Riskfree" localSheetId="4">'Put Spread'!$G$6</definedName>
    <definedName name="Riskfree" localSheetId="5">Straddle!$G$6</definedName>
    <definedName name="Riskfree" localSheetId="6">Strangle!$G$6</definedName>
    <definedName name="Riskfree">HockeyStickTemplate!$G$6</definedName>
    <definedName name="Spot" localSheetId="7">Butterfly!$G$3</definedName>
    <definedName name="Spot" localSheetId="2">'Call Spread'!$G$3</definedName>
    <definedName name="Spot" localSheetId="3">'Covered Call'!$G$3</definedName>
    <definedName name="Spot" localSheetId="4">'Put Spread'!$G$3</definedName>
    <definedName name="Spot" localSheetId="5">Straddle!$G$3</definedName>
    <definedName name="Spot" localSheetId="6">Strangle!$G$3</definedName>
    <definedName name="Spot">HockeyStickTemplate!$G$3</definedName>
    <definedName name="Strike" localSheetId="7">Butterfly!$G$4</definedName>
    <definedName name="Strike" localSheetId="2">'Call Spread'!$G$4</definedName>
    <definedName name="Strike" localSheetId="3">'Covered Call'!$G$4</definedName>
    <definedName name="Strike" localSheetId="4">'Put Spread'!$G$4</definedName>
    <definedName name="Strike" localSheetId="5">Straddle!$G$4</definedName>
    <definedName name="Strike" localSheetId="6">Strangle!$G$4</definedName>
    <definedName name="Strike">HockeyStickTemplate!$G$4</definedName>
    <definedName name="Vol" localSheetId="7">Butterfly!$G$8</definedName>
    <definedName name="Vol" localSheetId="2">'Call Spread'!$G$8</definedName>
    <definedName name="Vol" localSheetId="3">'Covered Call'!$G$8</definedName>
    <definedName name="Vol" localSheetId="4">'Put Spread'!$G$8</definedName>
    <definedName name="Vol" localSheetId="5">Straddle!$G$8</definedName>
    <definedName name="Vol" localSheetId="6">Strangle!$G$8</definedName>
    <definedName name="Vol">HockeyStickTemplate!$G$8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8" l="1" a="1"/>
  <c r="K20" i="8" a="1"/>
  <c r="K20" i="8"/>
  <c r="J20" i="8" a="1"/>
  <c r="J20" i="8"/>
  <c r="I20" i="8" a="1"/>
  <c r="I20" i="8"/>
  <c r="H20" i="8" a="1"/>
  <c r="H20" i="8"/>
  <c r="K19" i="8" a="1"/>
  <c r="K19" i="8"/>
  <c r="J19" i="8" a="1"/>
  <c r="J19" i="8"/>
  <c r="H5" i="8"/>
  <c r="I19" i="8" a="1"/>
  <c r="I19" i="8"/>
  <c r="F21" i="7" a="1"/>
  <c r="K20" i="7"/>
  <c r="K20" i="7" a="1"/>
  <c r="J20" i="7" a="1"/>
  <c r="J20" i="7"/>
  <c r="I20" i="7" a="1"/>
  <c r="I20" i="7"/>
  <c r="H20" i="7" a="1"/>
  <c r="H20" i="7"/>
  <c r="H5" i="7"/>
  <c r="F21" i="6" a="1"/>
  <c r="K20" i="6" a="1"/>
  <c r="K20" i="6"/>
  <c r="J20" i="6" a="1"/>
  <c r="J20" i="6"/>
  <c r="I20" i="6" a="1"/>
  <c r="I20" i="6"/>
  <c r="H20" i="6" a="1"/>
  <c r="H20" i="6"/>
  <c r="K19" i="6" a="1"/>
  <c r="K19" i="6"/>
  <c r="J19" i="6" a="1"/>
  <c r="J19" i="6"/>
  <c r="I19" i="6" a="1"/>
  <c r="I19" i="6"/>
  <c r="H19" i="6" a="1"/>
  <c r="H19" i="6"/>
  <c r="H5" i="6"/>
  <c r="H11" i="6" a="1"/>
  <c r="H11" i="6"/>
  <c r="F21" i="5" a="1"/>
  <c r="K20" i="5"/>
  <c r="K20" i="5" a="1"/>
  <c r="J20" i="5" a="1"/>
  <c r="J20" i="5"/>
  <c r="I20" i="5" a="1"/>
  <c r="I20" i="5"/>
  <c r="H20" i="5" a="1"/>
  <c r="H20" i="5"/>
  <c r="H5" i="5"/>
  <c r="F21" i="4" a="1"/>
  <c r="K20" i="4"/>
  <c r="K20" i="4" a="1"/>
  <c r="J20" i="4" a="1"/>
  <c r="J20" i="4"/>
  <c r="I20" i="4" a="1"/>
  <c r="I20" i="4" s="1"/>
  <c r="H20" i="4" a="1"/>
  <c r="H20" i="4" s="1"/>
  <c r="H5" i="4"/>
  <c r="F21" i="3" a="1"/>
  <c r="K20" i="3"/>
  <c r="K20" i="3" a="1"/>
  <c r="J20" i="3" a="1"/>
  <c r="J20" i="3"/>
  <c r="I20" i="3" a="1"/>
  <c r="I20" i="3"/>
  <c r="H20" i="3" a="1"/>
  <c r="H20" i="3"/>
  <c r="H5" i="3"/>
  <c r="I20" i="2" a="1"/>
  <c r="I20" i="2" s="1"/>
  <c r="J20" i="2" a="1"/>
  <c r="J20" i="2" s="1"/>
  <c r="K20" i="2" a="1"/>
  <c r="K20" i="2"/>
  <c r="H20" i="2" a="1"/>
  <c r="H20" i="2"/>
  <c r="F21" i="2" a="1"/>
  <c r="F21" i="2"/>
  <c r="I19" i="2" a="1"/>
  <c r="I19" i="2" s="1"/>
  <c r="J19" i="2" a="1"/>
  <c r="J19" i="2" s="1"/>
  <c r="K19" i="2" a="1"/>
  <c r="K19" i="2"/>
  <c r="K21" i="2" a="1"/>
  <c r="K21" i="2"/>
  <c r="H19" i="2" a="1"/>
  <c r="H19" i="2" s="1"/>
  <c r="H11" i="2" a="1"/>
  <c r="H11" i="2"/>
  <c r="G11" i="2" a="1"/>
  <c r="G11" i="2"/>
  <c r="H10" i="2" a="1"/>
  <c r="H10" i="2"/>
  <c r="G10" i="2" a="1"/>
  <c r="G10" i="2"/>
  <c r="H5" i="2"/>
  <c r="C14" i="1" a="1"/>
  <c r="C14" i="1"/>
  <c r="C13" i="1" a="1"/>
  <c r="C13" i="1"/>
  <c r="C12" i="1" a="1"/>
  <c r="C12" i="1"/>
  <c r="C11" i="1" a="1"/>
  <c r="C11" i="1"/>
  <c r="J28" i="8" a="1"/>
  <c r="J28" i="8"/>
  <c r="G10" i="8" a="1"/>
  <c r="G10" i="8"/>
  <c r="J23" i="8" a="1"/>
  <c r="J23" i="8"/>
  <c r="H10" i="8" a="1"/>
  <c r="H10" i="8"/>
  <c r="I28" i="8" a="1"/>
  <c r="I28" i="8"/>
  <c r="I23" i="8" a="1"/>
  <c r="I23" i="8"/>
  <c r="J25" i="8" a="1"/>
  <c r="J25" i="8"/>
  <c r="I27" i="8" a="1"/>
  <c r="I27" i="8"/>
  <c r="H29" i="8" a="1"/>
  <c r="H29" i="8"/>
  <c r="G29" i="8"/>
  <c r="G11" i="8" a="1"/>
  <c r="G11" i="8"/>
  <c r="H22" i="8" a="1"/>
  <c r="H22" i="8"/>
  <c r="G22" i="8"/>
  <c r="K25" i="8" a="1"/>
  <c r="K25" i="8"/>
  <c r="J27" i="8" a="1"/>
  <c r="J27" i="8"/>
  <c r="I29" i="8" a="1"/>
  <c r="I29" i="8"/>
  <c r="J26" i="8" a="1"/>
  <c r="J26" i="8"/>
  <c r="K26" i="8" a="1"/>
  <c r="K26" i="8"/>
  <c r="J22" i="8" a="1"/>
  <c r="J22" i="8"/>
  <c r="K28" i="8" a="1"/>
  <c r="K28" i="8"/>
  <c r="I25" i="8" a="1"/>
  <c r="I25" i="8"/>
  <c r="I22" i="8" a="1"/>
  <c r="I22" i="8"/>
  <c r="H19" i="8" a="1"/>
  <c r="H19" i="8"/>
  <c r="H28" i="8" a="1"/>
  <c r="H28" i="8"/>
  <c r="G28" i="8"/>
  <c r="I24" i="8" a="1"/>
  <c r="I24" i="8"/>
  <c r="F21" i="8"/>
  <c r="K29" i="8" a="1"/>
  <c r="K29" i="8"/>
  <c r="K24" i="8" a="1"/>
  <c r="K24" i="8"/>
  <c r="H23" i="8" a="1"/>
  <c r="H23" i="8"/>
  <c r="K23" i="8" a="1"/>
  <c r="K23" i="8"/>
  <c r="H11" i="8" a="1"/>
  <c r="H11" i="8"/>
  <c r="K27" i="8" a="1"/>
  <c r="K27" i="8"/>
  <c r="J29" i="8" a="1"/>
  <c r="J29" i="8"/>
  <c r="K22" i="8" a="1"/>
  <c r="K22" i="8"/>
  <c r="J24" i="8" a="1"/>
  <c r="J24" i="8"/>
  <c r="I26" i="8" a="1"/>
  <c r="I26" i="8"/>
  <c r="K19" i="7" a="1"/>
  <c r="K19" i="7"/>
  <c r="K24" i="7" a="1"/>
  <c r="K24" i="7"/>
  <c r="J19" i="7" a="1"/>
  <c r="J19" i="7"/>
  <c r="J23" i="7" a="1"/>
  <c r="J23" i="7"/>
  <c r="I19" i="7" a="1"/>
  <c r="I19" i="7"/>
  <c r="I25" i="7" a="1"/>
  <c r="I25" i="7"/>
  <c r="H19" i="7" a="1"/>
  <c r="H19" i="7"/>
  <c r="H22" i="7" a="1"/>
  <c r="H22" i="7"/>
  <c r="H11" i="7" a="1"/>
  <c r="H11" i="7"/>
  <c r="G11" i="7" a="1"/>
  <c r="G11" i="7"/>
  <c r="H10" i="7" a="1"/>
  <c r="H10" i="7"/>
  <c r="G10" i="7" a="1"/>
  <c r="G10" i="7"/>
  <c r="K26" i="7" a="1"/>
  <c r="K26" i="7"/>
  <c r="K29" i="7" a="1"/>
  <c r="K29" i="7"/>
  <c r="K22" i="7" a="1"/>
  <c r="K22" i="7"/>
  <c r="K25" i="7" a="1"/>
  <c r="K25" i="7"/>
  <c r="K28" i="7" a="1"/>
  <c r="K28" i="7"/>
  <c r="J22" i="7" a="1"/>
  <c r="J22" i="7"/>
  <c r="J25" i="7" a="1"/>
  <c r="J25" i="7"/>
  <c r="J28" i="7" a="1"/>
  <c r="J28" i="7"/>
  <c r="I22" i="7" a="1"/>
  <c r="I22" i="7"/>
  <c r="F21" i="7"/>
  <c r="K23" i="7" a="1"/>
  <c r="K23" i="7"/>
  <c r="I24" i="7" a="1"/>
  <c r="I24" i="7"/>
  <c r="H27" i="7" a="1"/>
  <c r="H27" i="7"/>
  <c r="I27" i="7" a="1"/>
  <c r="I27" i="7"/>
  <c r="H23" i="6" a="1"/>
  <c r="H23" i="6"/>
  <c r="H26" i="6" a="1"/>
  <c r="H26" i="6"/>
  <c r="H29" i="6" a="1"/>
  <c r="H29" i="6"/>
  <c r="H22" i="6" a="1"/>
  <c r="H22" i="6"/>
  <c r="I23" i="6" a="1"/>
  <c r="I23" i="6"/>
  <c r="I26" i="6" a="1"/>
  <c r="I26" i="6"/>
  <c r="I29" i="6" a="1"/>
  <c r="I29" i="6"/>
  <c r="I28" i="6" a="1"/>
  <c r="I28" i="6"/>
  <c r="I25" i="6" a="1"/>
  <c r="I25" i="6"/>
  <c r="I22" i="6" a="1"/>
  <c r="I22" i="6"/>
  <c r="J23" i="6" a="1"/>
  <c r="J23" i="6"/>
  <c r="J26" i="6" a="1"/>
  <c r="J26" i="6"/>
  <c r="J29" i="6" a="1"/>
  <c r="J29" i="6"/>
  <c r="J22" i="6" a="1"/>
  <c r="J22" i="6"/>
  <c r="J25" i="6" a="1"/>
  <c r="J25" i="6"/>
  <c r="K25" i="6" a="1"/>
  <c r="K25" i="6"/>
  <c r="K23" i="6" a="1"/>
  <c r="K23" i="6"/>
  <c r="K26" i="6" a="1"/>
  <c r="K26" i="6"/>
  <c r="K29" i="6" a="1"/>
  <c r="K29" i="6"/>
  <c r="K22" i="6" a="1"/>
  <c r="K22" i="6"/>
  <c r="K28" i="6" a="1"/>
  <c r="K28" i="6"/>
  <c r="H25" i="6" a="1"/>
  <c r="H25" i="6"/>
  <c r="J28" i="6" a="1"/>
  <c r="J28" i="6"/>
  <c r="F21" i="6"/>
  <c r="H27" i="6" a="1"/>
  <c r="H27" i="6"/>
  <c r="H24" i="6" a="1"/>
  <c r="H24" i="6"/>
  <c r="I27" i="6" a="1"/>
  <c r="I27" i="6"/>
  <c r="G10" i="6" a="1"/>
  <c r="G10" i="6"/>
  <c r="I24" i="6" a="1"/>
  <c r="I24" i="6"/>
  <c r="J27" i="6" a="1"/>
  <c r="J27" i="6"/>
  <c r="H10" i="6" a="1"/>
  <c r="H10" i="6"/>
  <c r="J24" i="6" a="1"/>
  <c r="J24" i="6"/>
  <c r="K27" i="6" a="1"/>
  <c r="K27" i="6"/>
  <c r="G11" i="6" a="1"/>
  <c r="G11" i="6"/>
  <c r="K24" i="6" a="1"/>
  <c r="K24" i="6"/>
  <c r="H28" i="6" a="1"/>
  <c r="H28" i="6"/>
  <c r="K19" i="5" a="1"/>
  <c r="K19" i="5"/>
  <c r="K25" i="5" a="1"/>
  <c r="K25" i="5"/>
  <c r="J19" i="5" a="1"/>
  <c r="J19" i="5"/>
  <c r="J22" i="5" a="1"/>
  <c r="J22" i="5"/>
  <c r="I19" i="5" a="1"/>
  <c r="I19" i="5"/>
  <c r="I22" i="5" a="1"/>
  <c r="I22" i="5"/>
  <c r="H19" i="5" a="1"/>
  <c r="H19" i="5"/>
  <c r="H22" i="5" a="1"/>
  <c r="H22" i="5"/>
  <c r="H11" i="5" a="1"/>
  <c r="H11" i="5"/>
  <c r="G11" i="5" a="1"/>
  <c r="G11" i="5"/>
  <c r="H10" i="5" a="1"/>
  <c r="H10" i="5"/>
  <c r="G10" i="5" a="1"/>
  <c r="G10" i="5"/>
  <c r="F21" i="5"/>
  <c r="K19" i="4" a="1"/>
  <c r="K19" i="4"/>
  <c r="K23" i="4" a="1"/>
  <c r="K23" i="4"/>
  <c r="J19" i="4" a="1"/>
  <c r="J19" i="4"/>
  <c r="J22" i="4" a="1"/>
  <c r="J22" i="4"/>
  <c r="I19" i="4" a="1"/>
  <c r="I19" i="4"/>
  <c r="I24" i="4" a="1"/>
  <c r="I24" i="4"/>
  <c r="H19" i="4" a="1"/>
  <c r="H19" i="4" s="1"/>
  <c r="H11" i="4" a="1"/>
  <c r="H11" i="4"/>
  <c r="G11" i="4" a="1"/>
  <c r="G11" i="4"/>
  <c r="H10" i="4" a="1"/>
  <c r="H10" i="4"/>
  <c r="G10" i="4" a="1"/>
  <c r="G10" i="4"/>
  <c r="F21" i="4"/>
  <c r="K19" i="3" a="1"/>
  <c r="K19" i="3"/>
  <c r="K22" i="3" a="1"/>
  <c r="K22" i="3"/>
  <c r="J19" i="3" a="1"/>
  <c r="J19" i="3"/>
  <c r="J22" i="3" a="1"/>
  <c r="J22" i="3"/>
  <c r="I19" i="3" a="1"/>
  <c r="I19" i="3"/>
  <c r="I22" i="3" a="1"/>
  <c r="I22" i="3"/>
  <c r="H19" i="3" a="1"/>
  <c r="H19" i="3"/>
  <c r="H22" i="3" a="1"/>
  <c r="H22" i="3"/>
  <c r="H11" i="3" a="1"/>
  <c r="H11" i="3"/>
  <c r="G11" i="3" a="1"/>
  <c r="G11" i="3"/>
  <c r="H10" i="3" a="1"/>
  <c r="H10" i="3"/>
  <c r="G10" i="3" a="1"/>
  <c r="G10" i="3"/>
  <c r="F21" i="3"/>
  <c r="K28" i="2" a="1"/>
  <c r="K28" i="2"/>
  <c r="K29" i="2" a="1"/>
  <c r="K29" i="2"/>
  <c r="K27" i="2" a="1"/>
  <c r="K27" i="2"/>
  <c r="K26" i="2" a="1"/>
  <c r="K26" i="2"/>
  <c r="K25" i="2" a="1"/>
  <c r="K25" i="2"/>
  <c r="K24" i="2" a="1"/>
  <c r="K24" i="2"/>
  <c r="K23" i="2" a="1"/>
  <c r="K23" i="2"/>
  <c r="K22" i="2" a="1"/>
  <c r="K22" i="2"/>
  <c r="J27" i="7" a="1"/>
  <c r="J27" i="7"/>
  <c r="I29" i="7" a="1"/>
  <c r="I29" i="7"/>
  <c r="H27" i="8" a="1"/>
  <c r="H27" i="8"/>
  <c r="G27" i="8"/>
  <c r="G22" i="7"/>
  <c r="K27" i="7" a="1"/>
  <c r="K27" i="7"/>
  <c r="G27" i="7"/>
  <c r="I23" i="7" a="1"/>
  <c r="I23" i="7"/>
  <c r="J24" i="7" a="1"/>
  <c r="J24" i="7"/>
  <c r="I26" i="7" a="1"/>
  <c r="I26" i="7"/>
  <c r="H26" i="8" a="1"/>
  <c r="H26" i="8"/>
  <c r="G26" i="8"/>
  <c r="J29" i="7" a="1"/>
  <c r="J29" i="7"/>
  <c r="H25" i="8" a="1"/>
  <c r="H25" i="8"/>
  <c r="G25" i="8"/>
  <c r="G23" i="8"/>
  <c r="H29" i="7" a="1"/>
  <c r="H29" i="7"/>
  <c r="G29" i="7"/>
  <c r="H24" i="8" a="1"/>
  <c r="H24" i="8"/>
  <c r="G24" i="8"/>
  <c r="H23" i="7" a="1"/>
  <c r="H23" i="7"/>
  <c r="G23" i="7"/>
  <c r="J26" i="7" a="1"/>
  <c r="J26" i="7"/>
  <c r="K21" i="8" a="1"/>
  <c r="K21" i="8"/>
  <c r="J21" i="8" a="1"/>
  <c r="J21" i="8"/>
  <c r="I21" i="8" a="1"/>
  <c r="I21" i="8"/>
  <c r="H21" i="8" a="1"/>
  <c r="H21" i="8"/>
  <c r="H24" i="7" a="1"/>
  <c r="H24" i="7"/>
  <c r="H26" i="7" a="1"/>
  <c r="H26" i="7"/>
  <c r="I28" i="7" a="1"/>
  <c r="I28" i="7"/>
  <c r="I27" i="5" a="1"/>
  <c r="I27" i="5"/>
  <c r="H27" i="5" a="1"/>
  <c r="H27" i="5"/>
  <c r="I24" i="5" a="1"/>
  <c r="I24" i="5"/>
  <c r="H24" i="5" a="1"/>
  <c r="H24" i="5"/>
  <c r="K23" i="5" a="1"/>
  <c r="K23" i="5"/>
  <c r="J27" i="5" a="1"/>
  <c r="J27" i="5"/>
  <c r="J24" i="5" a="1"/>
  <c r="J24" i="5"/>
  <c r="K27" i="5" a="1"/>
  <c r="K27" i="5"/>
  <c r="G27" i="5"/>
  <c r="K24" i="5" a="1"/>
  <c r="K24" i="5"/>
  <c r="K22" i="5" a="1"/>
  <c r="K22" i="5"/>
  <c r="H29" i="5" a="1"/>
  <c r="H29" i="5"/>
  <c r="H26" i="5" a="1"/>
  <c r="H26" i="5"/>
  <c r="G24" i="6"/>
  <c r="H23" i="5" a="1"/>
  <c r="H23" i="5"/>
  <c r="G24" i="7"/>
  <c r="I29" i="5" a="1"/>
  <c r="I29" i="5"/>
  <c r="I26" i="5" a="1"/>
  <c r="I26" i="5"/>
  <c r="K21" i="7" a="1"/>
  <c r="K21" i="7"/>
  <c r="J21" i="7" a="1"/>
  <c r="J21" i="7"/>
  <c r="I21" i="7" a="1"/>
  <c r="I21" i="7"/>
  <c r="H21" i="7" a="1"/>
  <c r="H21" i="7"/>
  <c r="G21" i="7"/>
  <c r="I23" i="5" a="1"/>
  <c r="I23" i="5"/>
  <c r="G25" i="6"/>
  <c r="J29" i="5" a="1"/>
  <c r="J29" i="5"/>
  <c r="K29" i="4" a="1"/>
  <c r="K29" i="4"/>
  <c r="J26" i="5" a="1"/>
  <c r="J26" i="5"/>
  <c r="K26" i="4" a="1"/>
  <c r="K26" i="4"/>
  <c r="J23" i="5" a="1"/>
  <c r="J23" i="5"/>
  <c r="K29" i="5" a="1"/>
  <c r="K29" i="5"/>
  <c r="H28" i="7" a="1"/>
  <c r="H28" i="7"/>
  <c r="K26" i="5" a="1"/>
  <c r="K26" i="5"/>
  <c r="H25" i="7" a="1"/>
  <c r="H25" i="7"/>
  <c r="G25" i="7"/>
  <c r="G27" i="6"/>
  <c r="K21" i="6" a="1"/>
  <c r="K21" i="6"/>
  <c r="J21" i="6" a="1"/>
  <c r="J21" i="6"/>
  <c r="I21" i="6" a="1"/>
  <c r="I21" i="6"/>
  <c r="H21" i="6" a="1"/>
  <c r="H21" i="6"/>
  <c r="G21" i="6"/>
  <c r="I27" i="4" a="1"/>
  <c r="I27" i="4" s="1"/>
  <c r="G22" i="5"/>
  <c r="J27" i="4" a="1"/>
  <c r="J27" i="4"/>
  <c r="J24" i="4" a="1"/>
  <c r="J24" i="4"/>
  <c r="I28" i="5" a="1"/>
  <c r="I28" i="5"/>
  <c r="G28" i="6"/>
  <c r="K27" i="4" a="1"/>
  <c r="K27" i="4"/>
  <c r="I25" i="5" a="1"/>
  <c r="I25" i="5"/>
  <c r="K24" i="4" a="1"/>
  <c r="K24" i="4"/>
  <c r="I26" i="4" a="1"/>
  <c r="I26" i="4" s="1"/>
  <c r="J28" i="5" a="1"/>
  <c r="J28" i="5"/>
  <c r="I23" i="4" a="1"/>
  <c r="I23" i="4" s="1"/>
  <c r="J25" i="5" a="1"/>
  <c r="J25" i="5"/>
  <c r="G22" i="6"/>
  <c r="J29" i="4" a="1"/>
  <c r="J29" i="4"/>
  <c r="G29" i="6"/>
  <c r="J26" i="4" a="1"/>
  <c r="J26" i="4"/>
  <c r="K28" i="5" a="1"/>
  <c r="K28" i="5"/>
  <c r="G26" i="6"/>
  <c r="J23" i="4" a="1"/>
  <c r="J23" i="4"/>
  <c r="G23" i="6"/>
  <c r="I27" i="3" a="1"/>
  <c r="I27" i="3"/>
  <c r="H27" i="3" a="1"/>
  <c r="H27" i="3"/>
  <c r="I24" i="3" a="1"/>
  <c r="I24" i="3"/>
  <c r="H24" i="3" a="1"/>
  <c r="H24" i="3"/>
  <c r="K23" i="3" a="1"/>
  <c r="K23" i="3"/>
  <c r="J27" i="3" a="1"/>
  <c r="J27" i="3"/>
  <c r="J24" i="3" a="1"/>
  <c r="J24" i="3"/>
  <c r="I28" i="4" a="1"/>
  <c r="I28" i="4" s="1"/>
  <c r="K27" i="3" a="1"/>
  <c r="K27" i="3"/>
  <c r="I25" i="4" a="1"/>
  <c r="I25" i="4"/>
  <c r="K24" i="3" a="1"/>
  <c r="K24" i="3"/>
  <c r="I22" i="4" a="1"/>
  <c r="I22" i="4" s="1"/>
  <c r="H26" i="3" a="1"/>
  <c r="H26" i="3"/>
  <c r="J28" i="4" a="1"/>
  <c r="J28" i="4"/>
  <c r="H23" i="3" a="1"/>
  <c r="H23" i="3"/>
  <c r="J25" i="4" a="1"/>
  <c r="J25" i="4"/>
  <c r="I29" i="3" a="1"/>
  <c r="I29" i="3"/>
  <c r="K21" i="5" a="1"/>
  <c r="K21" i="5"/>
  <c r="J21" i="5" a="1"/>
  <c r="J21" i="5"/>
  <c r="I21" i="5" a="1"/>
  <c r="I21" i="5"/>
  <c r="H21" i="5" a="1"/>
  <c r="H21" i="5"/>
  <c r="G21" i="5"/>
  <c r="I26" i="3" a="1"/>
  <c r="I26" i="3"/>
  <c r="K28" i="4" a="1"/>
  <c r="K28" i="4"/>
  <c r="I23" i="3" a="1"/>
  <c r="I23" i="3"/>
  <c r="K25" i="4" a="1"/>
  <c r="K25" i="4"/>
  <c r="J29" i="3" a="1"/>
  <c r="J29" i="3"/>
  <c r="K22" i="4" a="1"/>
  <c r="K22" i="4"/>
  <c r="J26" i="3" a="1"/>
  <c r="J26" i="3"/>
  <c r="J23" i="3" a="1"/>
  <c r="J23" i="3"/>
  <c r="H28" i="5" a="1"/>
  <c r="H28" i="5"/>
  <c r="K29" i="3" a="1"/>
  <c r="K29" i="3"/>
  <c r="H25" i="5" a="1"/>
  <c r="H25" i="5"/>
  <c r="K26" i="3" a="1"/>
  <c r="K26" i="3"/>
  <c r="I29" i="4" a="1"/>
  <c r="I29" i="4" s="1"/>
  <c r="G22" i="3"/>
  <c r="I28" i="3" a="1"/>
  <c r="I28" i="3"/>
  <c r="I25" i="3" a="1"/>
  <c r="I25" i="3"/>
  <c r="K21" i="4" a="1"/>
  <c r="K21" i="4"/>
  <c r="J21" i="4" a="1"/>
  <c r="J21" i="4"/>
  <c r="I21" i="4" a="1"/>
  <c r="I21" i="4" s="1"/>
  <c r="J28" i="3" a="1"/>
  <c r="J28" i="3"/>
  <c r="J25" i="3" a="1"/>
  <c r="J25" i="3"/>
  <c r="K28" i="3" a="1"/>
  <c r="K28" i="3"/>
  <c r="K25" i="3" a="1"/>
  <c r="K25" i="3"/>
  <c r="H29" i="3" a="1"/>
  <c r="H29" i="3"/>
  <c r="K21" i="3" a="1"/>
  <c r="K21" i="3"/>
  <c r="J21" i="3" a="1"/>
  <c r="J21" i="3"/>
  <c r="I21" i="3" a="1"/>
  <c r="I21" i="3"/>
  <c r="H21" i="3" a="1"/>
  <c r="H21" i="3"/>
  <c r="H28" i="3" a="1"/>
  <c r="H28" i="3"/>
  <c r="H25" i="3" a="1"/>
  <c r="H25" i="3"/>
  <c r="G24" i="5"/>
  <c r="G28" i="7"/>
  <c r="G23" i="5"/>
  <c r="G26" i="7"/>
  <c r="G26" i="5"/>
  <c r="G21" i="8"/>
  <c r="G29" i="5"/>
  <c r="G25" i="5"/>
  <c r="G28" i="5"/>
  <c r="G21" i="3"/>
  <c r="G24" i="3"/>
  <c r="G27" i="3"/>
  <c r="G29" i="3"/>
  <c r="G23" i="3"/>
  <c r="G26" i="3"/>
  <c r="G25" i="3"/>
  <c r="G28" i="3"/>
  <c r="D13" i="1"/>
  <c r="D12" i="1"/>
  <c r="D14" i="1"/>
  <c r="D11" i="1"/>
  <c r="J22" i="2" l="1" a="1"/>
  <c r="J22" i="2" s="1"/>
  <c r="J21" i="2" a="1"/>
  <c r="J21" i="2" s="1"/>
  <c r="J24" i="2" a="1"/>
  <c r="J24" i="2" s="1"/>
  <c r="J29" i="2" a="1"/>
  <c r="J29" i="2" s="1"/>
  <c r="J23" i="2" a="1"/>
  <c r="J23" i="2" s="1"/>
  <c r="J27" i="2" a="1"/>
  <c r="J27" i="2" s="1"/>
  <c r="J26" i="2" a="1"/>
  <c r="J26" i="2" s="1"/>
  <c r="J28" i="2" a="1"/>
  <c r="J28" i="2" s="1"/>
  <c r="J25" i="2" a="1"/>
  <c r="J25" i="2" s="1"/>
  <c r="H29" i="2" a="1"/>
  <c r="H29" i="2" s="1"/>
  <c r="H23" i="2" a="1"/>
  <c r="H23" i="2" s="1"/>
  <c r="H22" i="2" a="1"/>
  <c r="H22" i="2" s="1"/>
  <c r="H24" i="2" a="1"/>
  <c r="H24" i="2" s="1"/>
  <c r="H27" i="2" a="1"/>
  <c r="H27" i="2" s="1"/>
  <c r="H25" i="2" a="1"/>
  <c r="H25" i="2" s="1"/>
  <c r="H26" i="2" a="1"/>
  <c r="H26" i="2" s="1"/>
  <c r="H21" i="2" a="1"/>
  <c r="H21" i="2" s="1"/>
  <c r="H28" i="2" a="1"/>
  <c r="H28" i="2" s="1"/>
  <c r="I24" i="2" a="1"/>
  <c r="I24" i="2" s="1"/>
  <c r="I23" i="2" a="1"/>
  <c r="I23" i="2" s="1"/>
  <c r="I27" i="2" a="1"/>
  <c r="I27" i="2" s="1"/>
  <c r="I26" i="2" a="1"/>
  <c r="I26" i="2" s="1"/>
  <c r="I29" i="2" a="1"/>
  <c r="I29" i="2" s="1"/>
  <c r="I21" i="2" a="1"/>
  <c r="I21" i="2" s="1"/>
  <c r="I28" i="2" a="1"/>
  <c r="I28" i="2" s="1"/>
  <c r="I22" i="2" a="1"/>
  <c r="I22" i="2" s="1"/>
  <c r="I25" i="2" a="1"/>
  <c r="I25" i="2" s="1"/>
  <c r="H29" i="4" a="1"/>
  <c r="H29" i="4" s="1"/>
  <c r="G29" i="4" s="1"/>
  <c r="H21" i="4" a="1"/>
  <c r="H21" i="4" s="1"/>
  <c r="G21" i="4" s="1"/>
  <c r="H26" i="4" a="1"/>
  <c r="H26" i="4" s="1"/>
  <c r="G26" i="4" s="1"/>
  <c r="H28" i="4" a="1"/>
  <c r="H28" i="4" s="1"/>
  <c r="G28" i="4" s="1"/>
  <c r="H25" i="4" a="1"/>
  <c r="H25" i="4" s="1"/>
  <c r="G25" i="4" s="1"/>
  <c r="H24" i="4" a="1"/>
  <c r="H24" i="4" s="1"/>
  <c r="G24" i="4" s="1"/>
  <c r="H22" i="4" a="1"/>
  <c r="H22" i="4" s="1"/>
  <c r="G22" i="4" s="1"/>
  <c r="H27" i="4" a="1"/>
  <c r="H27" i="4" s="1"/>
  <c r="G27" i="4" s="1"/>
  <c r="H23" i="4" a="1"/>
  <c r="H23" i="4" s="1"/>
  <c r="G23" i="4" s="1"/>
  <c r="G27" i="2" l="1"/>
  <c r="G26" i="2"/>
  <c r="G24" i="2"/>
  <c r="G23" i="2"/>
  <c r="G28" i="2"/>
  <c r="G29" i="2"/>
  <c r="G25" i="2"/>
  <c r="G22" i="2"/>
  <c r="G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<sst xmlns="http://schemas.openxmlformats.org/spreadsheetml/2006/main" count="212" uniqueCount="43">
  <si>
    <t>CallPrice</t>
  </si>
  <si>
    <t>=LAMBDA(S,K,T,r,sigma,q, S * EXP(-q * T) * NORM.S.DIST((LN(S / K) + (r - q + (sigma^2) / 2) * T) / (sigma * SQRT(T)), TRUE) - K * EXP(-r * T) * NORM.S.DIST(((LN(S / K) + (r - q + (sigma^2) / 2) * T) / (sigma * SQRT(T))) - sigma * SQRT(T), TRUE))</t>
  </si>
  <si>
    <t>PutPrice</t>
  </si>
  <si>
    <t>=LAMBDA(spot1,strike1,expiry1,riskfree1,volatility1,divyld1,-spot1*EXP(-divyld1*expiry1)*NORM.S.DIST(-(LN(spot1/strike1)+(riskfree1-divyld1+(volatility1^2)/2)*expiry1)/(volatility1*SQRT(expiry1)),TRUE)+strike1*EXP(-riskfree1*expiry1)*NORM.S.DIST(-((LN(spot1/strike1)+(riskfree1-divyld1+(volatility1^2)/2)*expiry1)/(volatility1*SQRT(expiry1))-(volatility1*SQRT(expiry1))),TRUE))</t>
  </si>
  <si>
    <t>CallDelta</t>
  </si>
  <si>
    <t>=LAMBDA(spot,strike,time,interest,implied,divyld,+EXP(-divyld*time)*NORM.S.DIST((LN(spot/strike)+time*(interest-divyld+(implied^2/2)))/(implied*SQRT(time)),TRUE))</t>
  </si>
  <si>
    <t>PutDelta</t>
  </si>
  <si>
    <t>=LAMBDA(spot,strike,time,interest,implied,divyld,+EXP(-divyld*time)*(-1+NORM.S.DIST((LN(spot/strike)+time*(interest-divyld+(implied^2/2)))/(implied*SQRT(time)),TRUE)))</t>
  </si>
  <si>
    <t>CallPayout</t>
  </si>
  <si>
    <t>=LAMBDA(spot,strike,max(0,spot-strike))</t>
  </si>
  <si>
    <t>PutPayout</t>
  </si>
  <si>
    <t>=LAMBDA(spot,strike,max(0,strike-spot))</t>
  </si>
  <si>
    <t>Payout</t>
  </si>
  <si>
    <t>=LAMBDA(type,spot,strike,ifs(type="Call",CallPayout(spot,strike),type="Put",PutPayout(spot,strike),type="Spot",(spot-strike)))</t>
  </si>
  <si>
    <t xml:space="preserve">Strike </t>
  </si>
  <si>
    <t>Spot</t>
  </si>
  <si>
    <t>Expiry</t>
  </si>
  <si>
    <t>RiskFree</t>
  </si>
  <si>
    <t>DivYield</t>
  </si>
  <si>
    <t>Vol</t>
  </si>
  <si>
    <t>Put</t>
  </si>
  <si>
    <t>Call</t>
  </si>
  <si>
    <t>Black Scholes Merton Option Pricing Tool</t>
  </si>
  <si>
    <t>Option Parameters</t>
  </si>
  <si>
    <t>Fixed</t>
  </si>
  <si>
    <t>Stock Price (S) (aka Spot)</t>
  </si>
  <si>
    <t>Strike Price (K) (aka deductible)</t>
  </si>
  <si>
    <t>Expiration (Expiry) (years)</t>
  </si>
  <si>
    <t>Riskfree Rate (r) (aka t-bills)</t>
  </si>
  <si>
    <t>Dividend Yield (q)</t>
  </si>
  <si>
    <t>MKT</t>
  </si>
  <si>
    <t>Implied Volatility (Sigma) (aka vol) (aka stdev)</t>
  </si>
  <si>
    <t>Calc</t>
  </si>
  <si>
    <t>Price</t>
  </si>
  <si>
    <t>Delta</t>
  </si>
  <si>
    <t>Position</t>
  </si>
  <si>
    <t>Type of Position</t>
  </si>
  <si>
    <t>Position Size</t>
  </si>
  <si>
    <t>Strike Price (K)</t>
  </si>
  <si>
    <t>Vol Price (aka implied volatility)</t>
  </si>
  <si>
    <t>Option Premium</t>
  </si>
  <si>
    <t>Stock Price @ Expiration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</si>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</sst>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&quot; months&quot;"/>
    <numFmt numFmtId="165" formatCode="0.00&quot; years&quot;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9" fontId="0" fillId="0" borderId="0" xfId="0" applyNumberFormat="1"/>
    <xf numFmtId="0" fontId="2" fillId="0" borderId="0" xfId="2"/>
    <xf numFmtId="0" fontId="0" fillId="3" borderId="1" xfId="0" applyFill="1" applyBorder="1" applyAlignment="1">
      <alignment textRotation="255"/>
    </xf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164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vertical="center"/>
    </xf>
    <xf numFmtId="0" fontId="0" fillId="7" borderId="8" xfId="0" applyFill="1" applyBorder="1"/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166" fontId="0" fillId="7" borderId="3" xfId="3" applyNumberFormat="1" applyFont="1" applyFill="1" applyBorder="1"/>
    <xf numFmtId="166" fontId="0" fillId="7" borderId="4" xfId="3" applyNumberFormat="1" applyFont="1" applyFill="1" applyBorder="1"/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44" fontId="0" fillId="6" borderId="8" xfId="0" applyNumberFormat="1" applyFill="1" applyBorder="1"/>
    <xf numFmtId="44" fontId="0" fillId="6" borderId="0" xfId="0" applyNumberFormat="1" applyFill="1"/>
    <xf numFmtId="44" fontId="0" fillId="6" borderId="9" xfId="0" applyNumberFormat="1" applyFill="1" applyBorder="1"/>
    <xf numFmtId="44" fontId="0" fillId="6" borderId="10" xfId="0" applyNumberFormat="1" applyFill="1" applyBorder="1"/>
    <xf numFmtId="44" fontId="0" fillId="6" borderId="11" xfId="0" applyNumberFormat="1" applyFill="1" applyBorder="1"/>
    <xf numFmtId="44" fontId="0" fillId="6" borderId="12" xfId="0" applyNumberFormat="1" applyFill="1" applyBorder="1"/>
    <xf numFmtId="0" fontId="0" fillId="12" borderId="13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right"/>
    </xf>
    <xf numFmtId="0" fontId="0" fillId="12" borderId="0" xfId="0" applyFill="1" applyAlignment="1">
      <alignment horizontal="right"/>
    </xf>
    <xf numFmtId="0" fontId="0" fillId="12" borderId="9" xfId="0" applyFill="1" applyBorder="1" applyAlignment="1">
      <alignment horizontal="right"/>
    </xf>
    <xf numFmtId="0" fontId="0" fillId="12" borderId="8" xfId="0" applyFill="1" applyBorder="1"/>
    <xf numFmtId="0" fontId="0" fillId="12" borderId="0" xfId="0" applyFill="1"/>
    <xf numFmtId="0" fontId="0" fillId="12" borderId="9" xfId="0" applyFill="1" applyBorder="1"/>
    <xf numFmtId="9" fontId="0" fillId="12" borderId="8" xfId="0" applyNumberFormat="1" applyFill="1" applyBorder="1"/>
    <xf numFmtId="9" fontId="0" fillId="12" borderId="0" xfId="0" applyNumberFormat="1" applyFill="1"/>
    <xf numFmtId="9" fontId="0" fillId="12" borderId="9" xfId="0" applyNumberFormat="1" applyFill="1" applyBorder="1"/>
    <xf numFmtId="44" fontId="0" fillId="12" borderId="10" xfId="1" applyFont="1" applyFill="1" applyBorder="1"/>
    <xf numFmtId="44" fontId="0" fillId="12" borderId="11" xfId="1" applyFont="1" applyFill="1" applyBorder="1"/>
    <xf numFmtId="44" fontId="0" fillId="12" borderId="12" xfId="1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0" xfId="0" applyFill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44" fontId="0" fillId="8" borderId="8" xfId="1" applyFont="1" applyFill="1" applyBorder="1"/>
    <xf numFmtId="9" fontId="0" fillId="8" borderId="9" xfId="1" applyNumberFormat="1" applyFont="1" applyFill="1" applyBorder="1"/>
    <xf numFmtId="44" fontId="0" fillId="8" borderId="10" xfId="1" applyFont="1" applyFill="1" applyBorder="1"/>
    <xf numFmtId="9" fontId="0" fillId="8" borderId="12" xfId="1" applyNumberFormat="1" applyFont="1" applyFill="1" applyBorder="1"/>
    <xf numFmtId="0" fontId="0" fillId="9" borderId="13" xfId="0" applyFill="1" applyBorder="1" applyAlignment="1">
      <alignment horizontal="right"/>
    </xf>
    <xf numFmtId="0" fontId="0" fillId="9" borderId="15" xfId="0" applyFill="1" applyBorder="1" applyAlignment="1">
      <alignment horizontal="right"/>
    </xf>
    <xf numFmtId="0" fontId="0" fillId="8" borderId="3" xfId="0" applyFill="1" applyBorder="1"/>
    <xf numFmtId="0" fontId="0" fillId="8" borderId="4" xfId="0" applyFill="1" applyBorder="1"/>
    <xf numFmtId="0" fontId="3" fillId="9" borderId="2" xfId="0" applyFont="1" applyFill="1" applyBorder="1" applyAlignment="1">
      <alignment horizontal="right"/>
    </xf>
    <xf numFmtId="0" fontId="0" fillId="2" borderId="2" xfId="0" applyFill="1" applyBorder="1" applyAlignment="1">
      <alignment horizontal="center" textRotation="255"/>
    </xf>
    <xf numFmtId="0" fontId="0" fillId="2" borderId="3" xfId="0" applyFill="1" applyBorder="1" applyAlignment="1">
      <alignment horizontal="center" textRotation="255"/>
    </xf>
    <xf numFmtId="0" fontId="0" fillId="2" borderId="4" xfId="0" applyFill="1" applyBorder="1" applyAlignment="1">
      <alignment horizontal="center" textRotation="255"/>
    </xf>
    <xf numFmtId="0" fontId="0" fillId="4" borderId="2" xfId="0" applyFill="1" applyBorder="1" applyAlignment="1">
      <alignment horizontal="center" textRotation="255"/>
    </xf>
    <xf numFmtId="0" fontId="0" fillId="4" borderId="3" xfId="0" applyFill="1" applyBorder="1" applyAlignment="1">
      <alignment horizontal="center" textRotation="255"/>
    </xf>
    <xf numFmtId="0" fontId="0" fillId="4" borderId="4" xfId="0" applyFill="1" applyBorder="1" applyAlignment="1">
      <alignment horizontal="center" textRotation="255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Option @ Expiration Template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HockeyStickTemplate!$G$20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HockeyStickTemplate!$F$20:$F$29</c15:sqref>
                  </c15:fullRef>
                </c:ext>
              </c:extLst>
              <c:f>HockeyStickTemplate!$F$21:$F$29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HockeyStickTemplate!$G$21:$G$29</c15:sqref>
                  </c15:fullRef>
                </c:ext>
              </c:extLst>
              <c:f>HockeyStickTemplate!$G$22:$G$29</c:f>
              <c:numCache>
                <c:formatCode>_(* #,##0_);_(* \(#,##0\);_(* "-"??_);_(@_)</c:formatCode>
                <c:ptCount val="8"/>
                <c:pt idx="0">
                  <c:v>5.1019383432528826</c:v>
                </c:pt>
                <c:pt idx="1">
                  <c:v>0.10193834325288265</c:v>
                </c:pt>
                <c:pt idx="2">
                  <c:v>-4.8980616567471174</c:v>
                </c:pt>
                <c:pt idx="3">
                  <c:v>-9.8980616567471174</c:v>
                </c:pt>
                <c:pt idx="4">
                  <c:v>-4.8980616567471174</c:v>
                </c:pt>
                <c:pt idx="5">
                  <c:v>0.10193834325288265</c:v>
                </c:pt>
                <c:pt idx="6">
                  <c:v>5.1019383432528826</c:v>
                </c:pt>
                <c:pt idx="7">
                  <c:v>10.101938343252883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2-4BEA-B8D8-FF6A4CC42A10}"/>
            </c:ext>
          </c:extLst>
        </c:ser>
        <c:ser>
          <c:idx val="1"/>
          <c:order val="1"/>
          <c:tx>
            <c:strRef>
              <c:f>HockeyStickTemplate!$H$20</c:f>
              <c:strCache>
                <c:ptCount val="1"/>
                <c:pt idx="0">
                  <c:v>Long Put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HockeyStickTemplate!$F$20:$F$29</c15:sqref>
                  </c15:fullRef>
                </c:ext>
              </c:extLst>
              <c:f>HockeyStickTemplate!$F$21:$F$29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HockeyStickTemplate!$H$21:$H$29</c15:sqref>
                  </c15:fullRef>
                </c:ext>
              </c:extLst>
              <c:f>HockeyStickTemplate!$H$22:$H$29</c:f>
              <c:numCache>
                <c:formatCode>_("$"* #,##0.00_);_("$"* \(#,##0.00\);_("$"* "-"??_);_(@_)</c:formatCode>
                <c:ptCount val="8"/>
                <c:pt idx="0">
                  <c:v>10.422703106566487</c:v>
                </c:pt>
                <c:pt idx="1">
                  <c:v>5.4227031065664875</c:v>
                </c:pt>
                <c:pt idx="2">
                  <c:v>0.42270310656648746</c:v>
                </c:pt>
                <c:pt idx="3">
                  <c:v>-4.5772968934335125</c:v>
                </c:pt>
                <c:pt idx="4">
                  <c:v>-4.5772968934335125</c:v>
                </c:pt>
                <c:pt idx="5">
                  <c:v>-4.5772968934335125</c:v>
                </c:pt>
                <c:pt idx="6">
                  <c:v>-4.5772968934335125</c:v>
                </c:pt>
                <c:pt idx="7">
                  <c:v>-4.5772968934335125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2-4BEA-B8D8-FF6A4CC42A10}"/>
            </c:ext>
          </c:extLst>
        </c:ser>
        <c:ser>
          <c:idx val="2"/>
          <c:order val="2"/>
          <c:tx>
            <c:strRef>
              <c:f>HockeyStickTemplate!$I$20</c:f>
              <c:strCache>
                <c:ptCount val="1"/>
                <c:pt idx="0">
                  <c:v>Long Call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HockeyStickTemplate!$F$20:$F$29</c15:sqref>
                  </c15:fullRef>
                </c:ext>
              </c:extLst>
              <c:f>HockeyStickTemplate!$F$21:$F$29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HockeyStickTemplate!$I$21:$I$29</c15:sqref>
                  </c15:fullRef>
                </c:ext>
              </c:extLst>
              <c:f>HockeyStickTemplate!$I$22:$I$29</c:f>
              <c:numCache>
                <c:formatCode>_("$"* #,##0.00_);_("$"* \(#,##0.00\);_("$"* "-"??_);_(@_)</c:formatCode>
                <c:ptCount val="8"/>
                <c:pt idx="0">
                  <c:v>-5.3207647633136048</c:v>
                </c:pt>
                <c:pt idx="1">
                  <c:v>-5.3207647633136048</c:v>
                </c:pt>
                <c:pt idx="2">
                  <c:v>-5.3207647633136048</c:v>
                </c:pt>
                <c:pt idx="3">
                  <c:v>-5.3207647633136048</c:v>
                </c:pt>
                <c:pt idx="4">
                  <c:v>-0.32076476331360482</c:v>
                </c:pt>
                <c:pt idx="5">
                  <c:v>4.6792352366863952</c:v>
                </c:pt>
                <c:pt idx="6">
                  <c:v>9.6792352366863952</c:v>
                </c:pt>
                <c:pt idx="7">
                  <c:v>14.679235236686395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2-4BEA-B8D8-FF6A4CC42A10}"/>
            </c:ext>
          </c:extLst>
        </c:ser>
        <c:ser>
          <c:idx val="3"/>
          <c:order val="3"/>
          <c:tx>
            <c:strRef>
              <c:f>HockeyStickTemplate!$J$20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HockeyStickTemplate!$F$20:$F$29</c15:sqref>
                  </c15:fullRef>
                </c:ext>
              </c:extLst>
              <c:f>HockeyStickTemplate!$F$21:$F$29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HockeyStickTemplate!$J$21:$J$29</c15:sqref>
                  </c15:fullRef>
                </c:ext>
              </c:extLst>
              <c:f>HockeyStickTemplate!$J$22:$J$29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2-4BEA-B8D8-FF6A4CC42A10}"/>
            </c:ext>
          </c:extLst>
        </c:ser>
        <c:ser>
          <c:idx val="4"/>
          <c:order val="4"/>
          <c:tx>
            <c:strRef>
              <c:f>HockeyStickTemplate!$K$20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HockeyStickTemplate!$F$20:$F$29</c15:sqref>
                  </c15:fullRef>
                </c:ext>
              </c:extLst>
              <c:f>HockeyStickTemplate!$F$21:$F$29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HockeyStickTemplate!$K$21:$K$29</c15:sqref>
                  </c15:fullRef>
                </c:ext>
              </c:extLst>
              <c:f>HockeyStickTemplate!$K$22:$K$29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2-4BEA-B8D8-FF6A4CC4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Call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Spread'!$G$20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'Call Spread'!$F$20:$F$29</c15:sqref>
                  </c15:fullRef>
                </c:ext>
              </c:extLst>
              <c:f>'Call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'Call Spread'!$G$21:$G$29</c15:sqref>
                  </c15:fullRef>
                </c:ext>
              </c:extLst>
              <c:f>'Call Spread'!$G$22:$G$29</c:f>
              <c:numCache>
                <c:formatCode>_(* #,##0_);_(* \(#,##0\);_(* "-"??_);_(@_)</c:formatCode>
                <c:ptCount val="8"/>
                <c:pt idx="0">
                  <c:v>-2.6313511879222418</c:v>
                </c:pt>
                <c:pt idx="1">
                  <c:v>-2.6313511879222418</c:v>
                </c:pt>
                <c:pt idx="2">
                  <c:v>-2.6313511879222418</c:v>
                </c:pt>
                <c:pt idx="3">
                  <c:v>-2.6313511879222418</c:v>
                </c:pt>
                <c:pt idx="4">
                  <c:v>2.3686488120777582</c:v>
                </c:pt>
                <c:pt idx="5">
                  <c:v>7.3686488120777582</c:v>
                </c:pt>
                <c:pt idx="6">
                  <c:v>7.3686488120777582</c:v>
                </c:pt>
                <c:pt idx="7">
                  <c:v>7.3686488120777582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1-44D5-85BB-3E5AD2EA45AF}"/>
            </c:ext>
          </c:extLst>
        </c:ser>
        <c:ser>
          <c:idx val="1"/>
          <c:order val="1"/>
          <c:tx>
            <c:strRef>
              <c:f>'Call Spread'!$H$20</c:f>
              <c:strCache>
                <c:ptCount val="1"/>
                <c:pt idx="0">
                  <c:v>Long Call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'Call Spread'!$F$20:$F$29</c15:sqref>
                  </c15:fullRef>
                </c:ext>
              </c:extLst>
              <c:f>'Call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'Call Spread'!$H$21:$H$29</c15:sqref>
                  </c15:fullRef>
                </c:ext>
              </c:extLst>
              <c:f>'Call Spread'!$H$22:$H$29</c:f>
              <c:numCache>
                <c:formatCode>_("$"* #,##0.00_);_("$"* \(#,##0.00\);_("$"* "-"??_);_(@_)</c:formatCode>
                <c:ptCount val="8"/>
                <c:pt idx="0">
                  <c:v>-5.3207647633136048</c:v>
                </c:pt>
                <c:pt idx="1">
                  <c:v>-5.3207647633136048</c:v>
                </c:pt>
                <c:pt idx="2">
                  <c:v>-5.3207647633136048</c:v>
                </c:pt>
                <c:pt idx="3">
                  <c:v>-5.3207647633136048</c:v>
                </c:pt>
                <c:pt idx="4">
                  <c:v>-0.32076476331360482</c:v>
                </c:pt>
                <c:pt idx="5">
                  <c:v>4.6792352366863952</c:v>
                </c:pt>
                <c:pt idx="6">
                  <c:v>9.6792352366863952</c:v>
                </c:pt>
                <c:pt idx="7">
                  <c:v>14.679235236686395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1-44D5-85BB-3E5AD2EA45AF}"/>
            </c:ext>
          </c:extLst>
        </c:ser>
        <c:ser>
          <c:idx val="2"/>
          <c:order val="2"/>
          <c:tx>
            <c:strRef>
              <c:f>'Call Spread'!$I$20</c:f>
              <c:strCache>
                <c:ptCount val="1"/>
                <c:pt idx="0">
                  <c:v>Short Call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'Call Spread'!$F$20:$F$29</c15:sqref>
                  </c15:fullRef>
                </c:ext>
              </c:extLst>
              <c:f>'Call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'Call Spread'!$I$21:$I$29</c15:sqref>
                  </c15:fullRef>
                </c:ext>
              </c:extLst>
              <c:f>'Call Spread'!$I$22:$I$29</c:f>
              <c:numCache>
                <c:formatCode>_("$"* #,##0.00_);_("$"* \(#,##0.00\);_("$"* "-"??_);_(@_)</c:formatCode>
                <c:ptCount val="8"/>
                <c:pt idx="0">
                  <c:v>2.6894135753913631</c:v>
                </c:pt>
                <c:pt idx="1">
                  <c:v>2.6894135753913631</c:v>
                </c:pt>
                <c:pt idx="2">
                  <c:v>2.6894135753913631</c:v>
                </c:pt>
                <c:pt idx="3">
                  <c:v>2.6894135753913631</c:v>
                </c:pt>
                <c:pt idx="4">
                  <c:v>2.6894135753913631</c:v>
                </c:pt>
                <c:pt idx="5">
                  <c:v>2.6894135753913631</c:v>
                </c:pt>
                <c:pt idx="6">
                  <c:v>-2.3105864246086369</c:v>
                </c:pt>
                <c:pt idx="7">
                  <c:v>-7.3105864246086369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21-44D5-85BB-3E5AD2EA45AF}"/>
            </c:ext>
          </c:extLst>
        </c:ser>
        <c:ser>
          <c:idx val="3"/>
          <c:order val="3"/>
          <c:tx>
            <c:strRef>
              <c:f>'Call Spread'!$J$20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'Call Spread'!$F$20:$F$29</c15:sqref>
                  </c15:fullRef>
                </c:ext>
              </c:extLst>
              <c:f>'Call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'Call Spread'!$J$21:$J$29</c15:sqref>
                  </c15:fullRef>
                </c:ext>
              </c:extLst>
              <c:f>'Call Spread'!$J$22:$J$29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21-44D5-85BB-3E5AD2EA45AF}"/>
            </c:ext>
          </c:extLst>
        </c:ser>
        <c:ser>
          <c:idx val="4"/>
          <c:order val="4"/>
          <c:tx>
            <c:strRef>
              <c:f>'Call Spread'!$K$20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'Call Spread'!$F$20:$F$29</c15:sqref>
                  </c15:fullRef>
                </c:ext>
              </c:extLst>
              <c:f>'Call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'Call Spread'!$K$21:$K$29</c15:sqref>
                  </c15:fullRef>
                </c:ext>
              </c:extLst>
              <c:f>'Call Spread'!$K$22:$K$29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21-44D5-85BB-3E5AD2EA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Covered 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'Covered Call'!$G$20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'Covered Call'!$F$20:$F$29</c15:sqref>
                  </c15:fullRef>
                </c:ext>
              </c:extLst>
              <c:f>'Covered Call'!$F$21:$F$29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'Covered Call'!$G$21:$G$29</c15:sqref>
                  </c15:fullRef>
                </c:ext>
              </c:extLst>
              <c:f>'Covered Call'!$G$22:$G$29</c:f>
              <c:numCache>
                <c:formatCode>_(* #,##0_);_(* \(#,##0\);_(* "-"??_);_(@_)</c:formatCode>
                <c:ptCount val="8"/>
                <c:pt idx="0">
                  <c:v>-12.310586424608637</c:v>
                </c:pt>
                <c:pt idx="1">
                  <c:v>-7.3105864246086369</c:v>
                </c:pt>
                <c:pt idx="2">
                  <c:v>-2.3105864246086369</c:v>
                </c:pt>
                <c:pt idx="3">
                  <c:v>2.6894135753913631</c:v>
                </c:pt>
                <c:pt idx="4">
                  <c:v>7.6894135753913631</c:v>
                </c:pt>
                <c:pt idx="5">
                  <c:v>12.689413575391363</c:v>
                </c:pt>
                <c:pt idx="6">
                  <c:v>12.689413575391363</c:v>
                </c:pt>
                <c:pt idx="7">
                  <c:v>12.689413575391363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E-4E59-A684-9CE32020AC60}"/>
            </c:ext>
          </c:extLst>
        </c:ser>
        <c:ser>
          <c:idx val="1"/>
          <c:order val="1"/>
          <c:tx>
            <c:strRef>
              <c:f>'Covered Call'!$H$20</c:f>
              <c:strCache>
                <c:ptCount val="1"/>
                <c:pt idx="0">
                  <c:v>Long Spot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'Covered Call'!$F$20:$F$29</c15:sqref>
                  </c15:fullRef>
                </c:ext>
              </c:extLst>
              <c:f>'Covered Call'!$F$21:$F$29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'Covered Call'!$H$21:$H$29</c15:sqref>
                  </c15:fullRef>
                </c:ext>
              </c:extLst>
              <c:f>'Covered Call'!$H$22:$H$29</c:f>
              <c:numCache>
                <c:formatCode>_("$"* #,##0.00_);_("$"* \(#,##0.00\);_("$"* "-"??_);_(@_)</c:formatCode>
                <c:ptCount val="8"/>
                <c:pt idx="0">
                  <c:v>-15</c:v>
                </c:pt>
                <c:pt idx="1">
                  <c:v>-10</c:v>
                </c:pt>
                <c:pt idx="2">
                  <c:v>-5</c:v>
                </c:pt>
                <c:pt idx="3">
                  <c:v>0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E-4E59-A684-9CE32020AC60}"/>
            </c:ext>
          </c:extLst>
        </c:ser>
        <c:ser>
          <c:idx val="2"/>
          <c:order val="2"/>
          <c:tx>
            <c:strRef>
              <c:f>'Covered Call'!$I$20</c:f>
              <c:strCache>
                <c:ptCount val="1"/>
                <c:pt idx="0">
                  <c:v>Short Call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'Covered Call'!$F$20:$F$29</c15:sqref>
                  </c15:fullRef>
                </c:ext>
              </c:extLst>
              <c:f>'Covered Call'!$F$21:$F$29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'Covered Call'!$I$21:$I$29</c15:sqref>
                  </c15:fullRef>
                </c:ext>
              </c:extLst>
              <c:f>'Covered Call'!$I$22:$I$29</c:f>
              <c:numCache>
                <c:formatCode>_("$"* #,##0.00_);_("$"* \(#,##0.00\);_("$"* "-"??_);_(@_)</c:formatCode>
                <c:ptCount val="8"/>
                <c:pt idx="0">
                  <c:v>2.6894135753913631</c:v>
                </c:pt>
                <c:pt idx="1">
                  <c:v>2.6894135753913631</c:v>
                </c:pt>
                <c:pt idx="2">
                  <c:v>2.6894135753913631</c:v>
                </c:pt>
                <c:pt idx="3">
                  <c:v>2.6894135753913631</c:v>
                </c:pt>
                <c:pt idx="4">
                  <c:v>2.6894135753913631</c:v>
                </c:pt>
                <c:pt idx="5">
                  <c:v>2.6894135753913631</c:v>
                </c:pt>
                <c:pt idx="6">
                  <c:v>-2.3105864246086369</c:v>
                </c:pt>
                <c:pt idx="7">
                  <c:v>-7.3105864246086369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6E-4E59-A684-9CE32020AC60}"/>
            </c:ext>
          </c:extLst>
        </c:ser>
        <c:ser>
          <c:idx val="3"/>
          <c:order val="3"/>
          <c:tx>
            <c:strRef>
              <c:f>'Covered Call'!$J$20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'Covered Call'!$F$20:$F$29</c15:sqref>
                  </c15:fullRef>
                </c:ext>
              </c:extLst>
              <c:f>'Covered Call'!$F$21:$F$29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'Covered Call'!$J$21:$J$29</c15:sqref>
                  </c15:fullRef>
                </c:ext>
              </c:extLst>
              <c:f>'Covered Call'!$J$22:$J$29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6E-4E59-A684-9CE32020AC60}"/>
            </c:ext>
          </c:extLst>
        </c:ser>
        <c:ser>
          <c:idx val="4"/>
          <c:order val="4"/>
          <c:tx>
            <c:strRef>
              <c:f>'Covered Call'!$K$20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'Covered Call'!$F$20:$F$29</c15:sqref>
                  </c15:fullRef>
                </c:ext>
              </c:extLst>
              <c:f>'Covered Call'!$F$21:$F$29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'Covered Call'!$K$21:$K$29</c15:sqref>
                  </c15:fullRef>
                </c:ext>
              </c:extLst>
              <c:f>'Covered Call'!$K$22:$K$29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6E-4E59-A684-9CE32020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Put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'Put Spread'!$G$20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'Put Spread'!$F$20:$F$29</c15:sqref>
                  </c15:fullRef>
                </c:ext>
              </c:extLst>
              <c:f>'Put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'Put Spread'!$G$21:$G$29</c15:sqref>
                  </c15:fullRef>
                </c:ext>
              </c:extLst>
              <c:f>'Put Spread'!$G$22:$G$29</c:f>
              <c:numCache>
                <c:formatCode>_(* #,##0_);_(* \(#,##0\);_(* "-"??_);_(@_)</c:formatCode>
                <c:ptCount val="8"/>
                <c:pt idx="0">
                  <c:v>7.2623144460983617</c:v>
                </c:pt>
                <c:pt idx="1">
                  <c:v>7.2623144460983617</c:v>
                </c:pt>
                <c:pt idx="2">
                  <c:v>2.2623144460983617</c:v>
                </c:pt>
                <c:pt idx="3">
                  <c:v>-2.7376855539016383</c:v>
                </c:pt>
                <c:pt idx="4">
                  <c:v>-2.7376855539016383</c:v>
                </c:pt>
                <c:pt idx="5">
                  <c:v>-2.7376855539016383</c:v>
                </c:pt>
                <c:pt idx="6">
                  <c:v>-2.7376855539016383</c:v>
                </c:pt>
                <c:pt idx="7">
                  <c:v>-2.7376855539016383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4-4829-887E-93E64329E09A}"/>
            </c:ext>
          </c:extLst>
        </c:ser>
        <c:ser>
          <c:idx val="1"/>
          <c:order val="1"/>
          <c:tx>
            <c:strRef>
              <c:f>'Put Spread'!$H$20</c:f>
              <c:strCache>
                <c:ptCount val="1"/>
                <c:pt idx="0">
                  <c:v>Long Put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'Put Spread'!$F$20:$F$29</c15:sqref>
                  </c15:fullRef>
                </c:ext>
              </c:extLst>
              <c:f>'Put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'Put Spread'!$H$21:$H$29</c15:sqref>
                  </c15:fullRef>
                </c:ext>
              </c:extLst>
              <c:f>'Put Spread'!$H$22:$H$29</c:f>
              <c:numCache>
                <c:formatCode>_("$"* #,##0.00_);_("$"* \(#,##0.00\);_("$"* "-"??_);_(@_)</c:formatCode>
                <c:ptCount val="8"/>
                <c:pt idx="0">
                  <c:v>10.422703106566487</c:v>
                </c:pt>
                <c:pt idx="1">
                  <c:v>5.4227031065664875</c:v>
                </c:pt>
                <c:pt idx="2">
                  <c:v>0.42270310656648746</c:v>
                </c:pt>
                <c:pt idx="3">
                  <c:v>-4.5772968934335125</c:v>
                </c:pt>
                <c:pt idx="4">
                  <c:v>-4.5772968934335125</c:v>
                </c:pt>
                <c:pt idx="5">
                  <c:v>-4.5772968934335125</c:v>
                </c:pt>
                <c:pt idx="6">
                  <c:v>-4.5772968934335125</c:v>
                </c:pt>
                <c:pt idx="7">
                  <c:v>-4.5772968934335125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4-4829-887E-93E64329E09A}"/>
            </c:ext>
          </c:extLst>
        </c:ser>
        <c:ser>
          <c:idx val="2"/>
          <c:order val="2"/>
          <c:tx>
            <c:strRef>
              <c:f>'Put Spread'!$I$20</c:f>
              <c:strCache>
                <c:ptCount val="1"/>
                <c:pt idx="0">
                  <c:v>Short Put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'Put Spread'!$F$20:$F$29</c15:sqref>
                  </c15:fullRef>
                </c:ext>
              </c:extLst>
              <c:f>'Put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'Put Spread'!$I$21:$I$29</c15:sqref>
                  </c15:fullRef>
                </c:ext>
              </c:extLst>
              <c:f>'Put Spread'!$I$22:$I$29</c:f>
              <c:numCache>
                <c:formatCode>_("$"* #,##0.00_);_("$"* \(#,##0.00\);_("$"* "-"??_);_(@_)</c:formatCode>
                <c:ptCount val="8"/>
                <c:pt idx="0">
                  <c:v>-3.1603886604681257</c:v>
                </c:pt>
                <c:pt idx="1">
                  <c:v>1.8396113395318743</c:v>
                </c:pt>
                <c:pt idx="2">
                  <c:v>1.8396113395318743</c:v>
                </c:pt>
                <c:pt idx="3">
                  <c:v>1.8396113395318743</c:v>
                </c:pt>
                <c:pt idx="4">
                  <c:v>1.8396113395318743</c:v>
                </c:pt>
                <c:pt idx="5">
                  <c:v>1.8396113395318743</c:v>
                </c:pt>
                <c:pt idx="6">
                  <c:v>1.8396113395318743</c:v>
                </c:pt>
                <c:pt idx="7">
                  <c:v>1.8396113395318743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F4-4829-887E-93E64329E09A}"/>
            </c:ext>
          </c:extLst>
        </c:ser>
        <c:ser>
          <c:idx val="3"/>
          <c:order val="3"/>
          <c:tx>
            <c:strRef>
              <c:f>'Put Spread'!$J$20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'Put Spread'!$F$20:$F$29</c15:sqref>
                  </c15:fullRef>
                </c:ext>
              </c:extLst>
              <c:f>'Put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'Put Spread'!$J$21:$J$29</c15:sqref>
                  </c15:fullRef>
                </c:ext>
              </c:extLst>
              <c:f>'Put Spread'!$J$22:$J$29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F4-4829-887E-93E64329E09A}"/>
            </c:ext>
          </c:extLst>
        </c:ser>
        <c:ser>
          <c:idx val="4"/>
          <c:order val="4"/>
          <c:tx>
            <c:strRef>
              <c:f>'Put Spread'!$K$20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'Put Spread'!$F$20:$F$29</c15:sqref>
                  </c15:fullRef>
                </c:ext>
              </c:extLst>
              <c:f>'Put Spread'!$F$21:$F$29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'Put Spread'!$K$21:$K$29</c15:sqref>
                  </c15:fullRef>
                </c:ext>
              </c:extLst>
              <c:f>'Put Spread'!$K$22:$K$29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F4-4829-887E-93E64329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Straddle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Straddle!$G$20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Straddle!$F$20:$F$29</c15:sqref>
                  </c15:fullRef>
                </c:ext>
              </c:extLst>
              <c:f>Straddle!$F$21:$F$29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Straddle!$G$21:$G$29</c15:sqref>
                  </c15:fullRef>
                </c:ext>
              </c:extLst>
              <c:f>Straddle!$G$22:$G$29</c:f>
              <c:numCache>
                <c:formatCode>_(* #,##0_);_(* \(#,##0\);_(* "-"??_);_(@_)</c:formatCode>
                <c:ptCount val="8"/>
                <c:pt idx="0">
                  <c:v>0.80352235450462928</c:v>
                </c:pt>
                <c:pt idx="1">
                  <c:v>5.8035223545046293</c:v>
                </c:pt>
                <c:pt idx="2">
                  <c:v>10.803522354504629</c:v>
                </c:pt>
                <c:pt idx="3">
                  <c:v>15.803522354504629</c:v>
                </c:pt>
                <c:pt idx="4">
                  <c:v>10.803522354504629</c:v>
                </c:pt>
                <c:pt idx="5">
                  <c:v>5.8035223545046293</c:v>
                </c:pt>
                <c:pt idx="6">
                  <c:v>0.80352235450462928</c:v>
                </c:pt>
                <c:pt idx="7">
                  <c:v>-4.1964776454953707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A-4D12-B3F0-B892AAF5047A}"/>
            </c:ext>
          </c:extLst>
        </c:ser>
        <c:ser>
          <c:idx val="1"/>
          <c:order val="1"/>
          <c:tx>
            <c:strRef>
              <c:f>Straddle!$H$20</c:f>
              <c:strCache>
                <c:ptCount val="1"/>
                <c:pt idx="0">
                  <c:v>Short Call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Straddle!$F$20:$F$29</c15:sqref>
                  </c15:fullRef>
                </c:ext>
              </c:extLst>
              <c:f>Straddle!$F$21:$F$29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Straddle!$H$21:$H$29</c15:sqref>
                  </c15:fullRef>
                </c:ext>
              </c:extLst>
              <c:f>Straddle!$H$22:$H$29</c:f>
              <c:numCache>
                <c:formatCode>_("$"* #,##0.00_);_("$"* \(#,##0.00\);_("$"* "-"??_);_(@_)</c:formatCode>
                <c:ptCount val="8"/>
                <c:pt idx="0">
                  <c:v>8.2734951121923643</c:v>
                </c:pt>
                <c:pt idx="1">
                  <c:v>8.2734951121923643</c:v>
                </c:pt>
                <c:pt idx="2">
                  <c:v>8.2734951121923643</c:v>
                </c:pt>
                <c:pt idx="3">
                  <c:v>8.2734951121923643</c:v>
                </c:pt>
                <c:pt idx="4">
                  <c:v>3.2734951121923643</c:v>
                </c:pt>
                <c:pt idx="5">
                  <c:v>-1.7265048878076357</c:v>
                </c:pt>
                <c:pt idx="6">
                  <c:v>-6.7265048878076357</c:v>
                </c:pt>
                <c:pt idx="7">
                  <c:v>-11.726504887807636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A-4D12-B3F0-B892AAF5047A}"/>
            </c:ext>
          </c:extLst>
        </c:ser>
        <c:ser>
          <c:idx val="2"/>
          <c:order val="2"/>
          <c:tx>
            <c:strRef>
              <c:f>Straddle!$I$20</c:f>
              <c:strCache>
                <c:ptCount val="1"/>
                <c:pt idx="0">
                  <c:v>Short Put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Straddle!$F$20:$F$29</c15:sqref>
                  </c15:fullRef>
                </c:ext>
              </c:extLst>
              <c:f>Straddle!$F$21:$F$29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Straddle!$I$21:$I$29</c15:sqref>
                  </c15:fullRef>
                </c:ext>
              </c:extLst>
              <c:f>Straddle!$I$22:$I$29</c:f>
              <c:numCache>
                <c:formatCode>_("$"* #,##0.00_);_("$"* \(#,##0.00\);_("$"* "-"??_);_(@_)</c:formatCode>
                <c:ptCount val="8"/>
                <c:pt idx="0">
                  <c:v>-7.4699727576877351</c:v>
                </c:pt>
                <c:pt idx="1">
                  <c:v>-2.4699727576877351</c:v>
                </c:pt>
                <c:pt idx="2">
                  <c:v>2.5300272423122649</c:v>
                </c:pt>
                <c:pt idx="3">
                  <c:v>7.5300272423122649</c:v>
                </c:pt>
                <c:pt idx="4">
                  <c:v>7.5300272423122649</c:v>
                </c:pt>
                <c:pt idx="5">
                  <c:v>7.5300272423122649</c:v>
                </c:pt>
                <c:pt idx="6">
                  <c:v>7.5300272423122649</c:v>
                </c:pt>
                <c:pt idx="7">
                  <c:v>7.5300272423122649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A-4D12-B3F0-B892AAF5047A}"/>
            </c:ext>
          </c:extLst>
        </c:ser>
        <c:ser>
          <c:idx val="3"/>
          <c:order val="3"/>
          <c:tx>
            <c:strRef>
              <c:f>Straddle!$J$20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Straddle!$F$20:$F$29</c15:sqref>
                  </c15:fullRef>
                </c:ext>
              </c:extLst>
              <c:f>Straddle!$F$21:$F$29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Straddle!$J$21:$J$29</c15:sqref>
                  </c15:fullRef>
                </c:ext>
              </c:extLst>
              <c:f>Straddle!$J$22:$J$29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DA-4D12-B3F0-B892AAF5047A}"/>
            </c:ext>
          </c:extLst>
        </c:ser>
        <c:ser>
          <c:idx val="4"/>
          <c:order val="4"/>
          <c:tx>
            <c:strRef>
              <c:f>Straddle!$K$20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Straddle!$F$20:$F$29</c15:sqref>
                  </c15:fullRef>
                </c:ext>
              </c:extLst>
              <c:f>Straddle!$F$21:$F$29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Straddle!$K$21:$K$29</c15:sqref>
                  </c15:fullRef>
                </c:ext>
              </c:extLst>
              <c:f>Straddle!$K$22:$K$29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DA-4D12-B3F0-B892AAF50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Strangle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Strangle!$G$20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Strangle!$F$20:$F$29</c15:sqref>
                  </c15:fullRef>
                </c:ext>
              </c:extLst>
              <c:f>Strangle!$F$21:$F$29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Strangle!$G$21:$G$29</c15:sqref>
                  </c15:fullRef>
                </c:ext>
              </c:extLst>
              <c:f>Strangle!$G$22:$G$29</c:f>
              <c:numCache>
                <c:formatCode>_(* #,##0_);_(* \(#,##0\);_(* "-"??_);_(@_)</c:formatCode>
                <c:ptCount val="8"/>
                <c:pt idx="0">
                  <c:v>-0.47097508507676267</c:v>
                </c:pt>
                <c:pt idx="1">
                  <c:v>4.5290249149232373</c:v>
                </c:pt>
                <c:pt idx="2">
                  <c:v>4.5290249149232373</c:v>
                </c:pt>
                <c:pt idx="3">
                  <c:v>4.5290249149232373</c:v>
                </c:pt>
                <c:pt idx="4">
                  <c:v>4.5290249149232373</c:v>
                </c:pt>
                <c:pt idx="5">
                  <c:v>4.5290249149232373</c:v>
                </c:pt>
                <c:pt idx="6">
                  <c:v>-0.47097508507676267</c:v>
                </c:pt>
                <c:pt idx="7">
                  <c:v>-5.4709750850767627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1-4076-965C-AEC79993051C}"/>
            </c:ext>
          </c:extLst>
        </c:ser>
        <c:ser>
          <c:idx val="1"/>
          <c:order val="1"/>
          <c:tx>
            <c:strRef>
              <c:f>Strangle!$H$20</c:f>
              <c:strCache>
                <c:ptCount val="1"/>
                <c:pt idx="0">
                  <c:v>Short Call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Strangle!$F$20:$F$29</c15:sqref>
                  </c15:fullRef>
                </c:ext>
              </c:extLst>
              <c:f>Strangle!$F$21:$F$29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Strangle!$H$21:$H$29</c15:sqref>
                  </c15:fullRef>
                </c:ext>
              </c:extLst>
              <c:f>Strangle!$H$22:$H$29</c:f>
              <c:numCache>
                <c:formatCode>_("$"* #,##0.00_);_("$"* \(#,##0.00\);_("$"* "-"??_);_(@_)</c:formatCode>
                <c:ptCount val="8"/>
                <c:pt idx="0">
                  <c:v>2.6894135753913631</c:v>
                </c:pt>
                <c:pt idx="1">
                  <c:v>2.6894135753913631</c:v>
                </c:pt>
                <c:pt idx="2">
                  <c:v>2.6894135753913631</c:v>
                </c:pt>
                <c:pt idx="3">
                  <c:v>2.6894135753913631</c:v>
                </c:pt>
                <c:pt idx="4">
                  <c:v>2.6894135753913631</c:v>
                </c:pt>
                <c:pt idx="5">
                  <c:v>2.6894135753913631</c:v>
                </c:pt>
                <c:pt idx="6">
                  <c:v>-2.3105864246086369</c:v>
                </c:pt>
                <c:pt idx="7">
                  <c:v>-7.3105864246086369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1-4076-965C-AEC79993051C}"/>
            </c:ext>
          </c:extLst>
        </c:ser>
        <c:ser>
          <c:idx val="2"/>
          <c:order val="2"/>
          <c:tx>
            <c:strRef>
              <c:f>Strangle!$I$20</c:f>
              <c:strCache>
                <c:ptCount val="1"/>
                <c:pt idx="0">
                  <c:v>Short Put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Strangle!$F$20:$F$29</c15:sqref>
                  </c15:fullRef>
                </c:ext>
              </c:extLst>
              <c:f>Strangle!$F$21:$F$29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Strangle!$I$21:$I$29</c15:sqref>
                  </c15:fullRef>
                </c:ext>
              </c:extLst>
              <c:f>Strangle!$I$22:$I$29</c:f>
              <c:numCache>
                <c:formatCode>_("$"* #,##0.00_);_("$"* \(#,##0.00\);_("$"* "-"??_);_(@_)</c:formatCode>
                <c:ptCount val="8"/>
                <c:pt idx="0">
                  <c:v>-3.1603886604681257</c:v>
                </c:pt>
                <c:pt idx="1">
                  <c:v>1.8396113395318743</c:v>
                </c:pt>
                <c:pt idx="2">
                  <c:v>1.8396113395318743</c:v>
                </c:pt>
                <c:pt idx="3">
                  <c:v>1.8396113395318743</c:v>
                </c:pt>
                <c:pt idx="4">
                  <c:v>1.8396113395318743</c:v>
                </c:pt>
                <c:pt idx="5">
                  <c:v>1.8396113395318743</c:v>
                </c:pt>
                <c:pt idx="6">
                  <c:v>1.8396113395318743</c:v>
                </c:pt>
                <c:pt idx="7">
                  <c:v>1.8396113395318743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81-4076-965C-AEC79993051C}"/>
            </c:ext>
          </c:extLst>
        </c:ser>
        <c:ser>
          <c:idx val="3"/>
          <c:order val="3"/>
          <c:tx>
            <c:strRef>
              <c:f>Strangle!$J$20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Strangle!$F$20:$F$29</c15:sqref>
                  </c15:fullRef>
                </c:ext>
              </c:extLst>
              <c:f>Strangle!$F$21:$F$29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Strangle!$J$21:$J$29</c15:sqref>
                  </c15:fullRef>
                </c:ext>
              </c:extLst>
              <c:f>Strangle!$J$22:$J$29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81-4076-965C-AEC79993051C}"/>
            </c:ext>
          </c:extLst>
        </c:ser>
        <c:ser>
          <c:idx val="4"/>
          <c:order val="4"/>
          <c:tx>
            <c:strRef>
              <c:f>Strangle!$K$20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Strangle!$F$20:$F$29</c15:sqref>
                  </c15:fullRef>
                </c:ext>
              </c:extLst>
              <c:f>Strangle!$F$21:$F$29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Strangle!$K$21:$K$29</c15:sqref>
                  </c15:fullRef>
                </c:ext>
              </c:extLst>
              <c:f>Strangle!$K$22:$K$29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81-4076-965C-AEC79993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Option @ Expiration Template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Butterfly!$G$20</c:f>
              <c:strCache>
                <c:ptCount val="1"/>
                <c:pt idx="0">
                  <c:v>Portfolio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Butterfly!$F$20:$F$29</c15:sqref>
                  </c15:fullRef>
                </c:ext>
              </c:extLst>
              <c:f>Butterfly!$F$21:$F$29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Butterfly!$G$21:$G$29</c15:sqref>
                  </c15:fullRef>
                </c:ext>
              </c:extLst>
              <c:f>Butterfly!$G$22:$G$29</c:f>
              <c:numCache>
                <c:formatCode>_(* #,##0_);_(* \(#,##0\);_(* "-"??_);_(@_)</c:formatCode>
                <c:ptCount val="8"/>
                <c:pt idx="0">
                  <c:v>-0.38403019700051644</c:v>
                </c:pt>
                <c:pt idx="1">
                  <c:v>0.61596980299948356</c:v>
                </c:pt>
                <c:pt idx="2">
                  <c:v>5.6159698029994836</c:v>
                </c:pt>
                <c:pt idx="3">
                  <c:v>10.615969802999484</c:v>
                </c:pt>
                <c:pt idx="4">
                  <c:v>5.6159698029994836</c:v>
                </c:pt>
                <c:pt idx="5">
                  <c:v>0.61596980299948356</c:v>
                </c:pt>
                <c:pt idx="6">
                  <c:v>-2.3840301970005164</c:v>
                </c:pt>
                <c:pt idx="7">
                  <c:v>-2.3840301970005164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2-474A-90AF-EABE26AAC677}"/>
            </c:ext>
          </c:extLst>
        </c:ser>
        <c:ser>
          <c:idx val="1"/>
          <c:order val="1"/>
          <c:tx>
            <c:strRef>
              <c:f>Butterfly!$H$20</c:f>
              <c:strCache>
                <c:ptCount val="1"/>
                <c:pt idx="0">
                  <c:v>Long Call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Butterfly!$F$20:$F$29</c15:sqref>
                  </c15:fullRef>
                </c:ext>
              </c:extLst>
              <c:f>Butterfly!$F$21:$F$29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Butterfly!$H$21:$H$29</c15:sqref>
                  </c15:fullRef>
                </c:ext>
              </c:extLst>
              <c:f>Butterfly!$H$22:$H$29</c:f>
              <c:numCache>
                <c:formatCode>_("$"* #,##0.00_);_("$"* \(#,##0.00\);_("$"* "-"??_);_(@_)</c:formatCode>
                <c:ptCount val="8"/>
                <c:pt idx="0">
                  <c:v>-12.375800891824454</c:v>
                </c:pt>
                <c:pt idx="1">
                  <c:v>-11.375800891824454</c:v>
                </c:pt>
                <c:pt idx="2">
                  <c:v>-6.3758008918244542</c:v>
                </c:pt>
                <c:pt idx="3">
                  <c:v>-1.3758008918244542</c:v>
                </c:pt>
                <c:pt idx="4">
                  <c:v>3.6241991081755458</c:v>
                </c:pt>
                <c:pt idx="5">
                  <c:v>8.6241991081755458</c:v>
                </c:pt>
                <c:pt idx="6">
                  <c:v>13.624199108175546</c:v>
                </c:pt>
                <c:pt idx="7">
                  <c:v>18.624199108175546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2-474A-90AF-EABE26AAC677}"/>
            </c:ext>
          </c:extLst>
        </c:ser>
        <c:ser>
          <c:idx val="2"/>
          <c:order val="2"/>
          <c:tx>
            <c:strRef>
              <c:f>Butterfly!$I$20</c:f>
              <c:strCache>
                <c:ptCount val="1"/>
                <c:pt idx="0">
                  <c:v>Long Call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Butterfly!$F$20:$F$29</c15:sqref>
                  </c15:fullRef>
                </c:ext>
              </c:extLst>
              <c:f>Butterfly!$F$21:$F$29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Butterfly!$I$21:$I$29</c15:sqref>
                  </c15:fullRef>
                </c:ext>
              </c:extLst>
              <c:f>Butterfly!$I$22:$I$29</c:f>
              <c:numCache>
                <c:formatCode>_("$"* #,##0.00_);_("$"* \(#,##0.00\);_("$"* "-"??_);_(@_)</c:formatCode>
                <c:ptCount val="8"/>
                <c:pt idx="0">
                  <c:v>-1.0132975574054548</c:v>
                </c:pt>
                <c:pt idx="1">
                  <c:v>-1.0132975574054548</c:v>
                </c:pt>
                <c:pt idx="2">
                  <c:v>-1.0132975574054548</c:v>
                </c:pt>
                <c:pt idx="3">
                  <c:v>-1.0132975574054548</c:v>
                </c:pt>
                <c:pt idx="4">
                  <c:v>-1.0132975574054548</c:v>
                </c:pt>
                <c:pt idx="5">
                  <c:v>-1.0132975574054548</c:v>
                </c:pt>
                <c:pt idx="6">
                  <c:v>0.9867024425945452</c:v>
                </c:pt>
                <c:pt idx="7">
                  <c:v>5.9867024425945452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2-474A-90AF-EABE26AAC677}"/>
            </c:ext>
          </c:extLst>
        </c:ser>
        <c:ser>
          <c:idx val="3"/>
          <c:order val="3"/>
          <c:tx>
            <c:strRef>
              <c:f>Butterfly!$J$20</c:f>
              <c:strCache>
                <c:ptCount val="1"/>
                <c:pt idx="0">
                  <c:v>Short Call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Butterfly!$F$20:$F$29</c15:sqref>
                  </c15:fullRef>
                </c:ext>
              </c:extLst>
              <c:f>Butterfly!$F$21:$F$29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Butterfly!$J$21:$J$29</c15:sqref>
                  </c15:fullRef>
                </c:ext>
              </c:extLst>
              <c:f>Butterfly!$J$22:$J$29</c:f>
              <c:numCache>
                <c:formatCode>_("$"* #,##0.00_);_("$"* \(#,##0.00\);_("$"* "-"??_);_(@_)</c:formatCode>
                <c:ptCount val="8"/>
                <c:pt idx="0">
                  <c:v>13.005068252229393</c:v>
                </c:pt>
                <c:pt idx="1">
                  <c:v>13.005068252229393</c:v>
                </c:pt>
                <c:pt idx="2">
                  <c:v>13.005068252229393</c:v>
                </c:pt>
                <c:pt idx="3">
                  <c:v>13.005068252229393</c:v>
                </c:pt>
                <c:pt idx="4">
                  <c:v>3.0050682522293926</c:v>
                </c:pt>
                <c:pt idx="5">
                  <c:v>-6.9949317477706074</c:v>
                </c:pt>
                <c:pt idx="6">
                  <c:v>-16.994931747770607</c:v>
                </c:pt>
                <c:pt idx="7">
                  <c:v>-26.994931747770607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2-474A-90AF-EABE26AAC677}"/>
            </c:ext>
          </c:extLst>
        </c:ser>
        <c:ser>
          <c:idx val="4"/>
          <c:order val="4"/>
          <c:tx>
            <c:strRef>
              <c:f>Butterfly!$K$20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Butterfly!$F$20:$F$29</c15:sqref>
                  </c15:fullRef>
                </c:ext>
              </c:extLst>
              <c:f>Butterfly!$F$21:$F$29</c:f>
              <c:strCache>
                <c:ptCount val="9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Butterfly!$K$21:$K$29</c15:sqref>
                  </c15:fullRef>
                </c:ext>
              </c:extLst>
              <c:f>Butterfly!$K$22:$K$29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62-474A-90AF-EABE26AAC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1584755872"/>
        <c:axId val="1584755392"/>
      </c:lineChart>
      <c:catAx>
        <c:axId val="1584755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392"/>
        <c:crosses val="autoZero"/>
        <c:auto val="1"/>
        <c:lblAlgn val="ctr"/>
        <c:lblOffset val="100"/>
        <c:noMultiLvlLbl val="0"/>
      </c:catAx>
      <c:valAx>
        <c:axId val="1584755392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  <a:prstDash val="dash"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7936</xdr:colOff>
      <xdr:row>12</xdr:row>
      <xdr:rowOff>1</xdr:rowOff>
    </xdr:from>
    <xdr:to>
      <xdr:col>15</xdr:col>
      <xdr:colOff>611187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DD67C2-B8AF-6426-9FAE-7EE40BBCA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12</xdr:row>
      <xdr:rowOff>1</xdr:rowOff>
    </xdr:from>
    <xdr:to>
      <xdr:col>15</xdr:col>
      <xdr:colOff>1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DFD92-2DC9-4554-A830-9369598BC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12</xdr:row>
      <xdr:rowOff>1</xdr:rowOff>
    </xdr:from>
    <xdr:to>
      <xdr:col>15</xdr:col>
      <xdr:colOff>1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55C90-3D00-4305-A097-774B1FCF3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12</xdr:row>
      <xdr:rowOff>1</xdr:rowOff>
    </xdr:from>
    <xdr:to>
      <xdr:col>15</xdr:col>
      <xdr:colOff>7327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DCBCA-7393-4A28-82C3-EAB1FA92C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12</xdr:row>
      <xdr:rowOff>1</xdr:rowOff>
    </xdr:from>
    <xdr:to>
      <xdr:col>15</xdr:col>
      <xdr:colOff>7327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9C2D8-621C-4DEE-B1EC-386508E7F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12</xdr:row>
      <xdr:rowOff>1</xdr:rowOff>
    </xdr:from>
    <xdr:to>
      <xdr:col>15</xdr:col>
      <xdr:colOff>7327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30C7D-A534-4B31-9D8B-E9013532A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7936</xdr:colOff>
      <xdr:row>12</xdr:row>
      <xdr:rowOff>1</xdr:rowOff>
    </xdr:from>
    <xdr:to>
      <xdr:col>15</xdr:col>
      <xdr:colOff>611187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EE0BB-8BEB-445C-B237-A15372464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11F5-DC40-4EF9-AE87-4CC4DF125257}">
  <sheetPr>
    <tabColor theme="1"/>
  </sheetPr>
  <dimension ref="A1:D20"/>
  <sheetViews>
    <sheetView zoomScale="120" zoomScaleNormal="120" workbookViewId="0">
      <selection activeCell="I16" sqref="I16"/>
    </sheetView>
  </sheetViews>
  <sheetFormatPr defaultRowHeight="15" x14ac:dyDescent="0.25"/>
  <cols>
    <col min="1" max="1" width="11.5703125" customWidth="1"/>
  </cols>
  <sheetData>
    <row r="1" spans="1:4" x14ac:dyDescent="0.25">
      <c r="A1" t="s">
        <v>0</v>
      </c>
      <c r="B1" s="1" t="s">
        <v>1</v>
      </c>
    </row>
    <row r="2" spans="1:4" x14ac:dyDescent="0.25">
      <c r="A2" t="s">
        <v>2</v>
      </c>
      <c r="B2" s="1" t="s">
        <v>3</v>
      </c>
    </row>
    <row r="3" spans="1:4" x14ac:dyDescent="0.25">
      <c r="A3" t="s">
        <v>4</v>
      </c>
      <c r="B3" s="1" t="s">
        <v>5</v>
      </c>
    </row>
    <row r="4" spans="1:4" x14ac:dyDescent="0.25">
      <c r="A4" t="s">
        <v>6</v>
      </c>
      <c r="B4" s="1" t="s">
        <v>7</v>
      </c>
    </row>
    <row r="5" spans="1:4" x14ac:dyDescent="0.25">
      <c r="A5" t="s">
        <v>8</v>
      </c>
      <c r="B5" s="1" t="s">
        <v>9</v>
      </c>
    </row>
    <row r="6" spans="1:4" x14ac:dyDescent="0.25">
      <c r="A6" t="s">
        <v>10</v>
      </c>
      <c r="B6" s="1" t="s">
        <v>11</v>
      </c>
    </row>
    <row r="7" spans="1:4" x14ac:dyDescent="0.25">
      <c r="A7" t="s">
        <v>12</v>
      </c>
      <c r="B7" s="1" t="s">
        <v>13</v>
      </c>
    </row>
    <row r="11" spans="1:4" x14ac:dyDescent="0.25">
      <c r="A11" t="s">
        <v>14</v>
      </c>
      <c r="B11">
        <v>100</v>
      </c>
      <c r="C11" cm="1">
        <f t="array" ref="C11">CallPrice(B12,B11,B13,B14,B16,B15)</f>
        <v>7.5770821464272728</v>
      </c>
      <c r="D11" t="str">
        <f ca="1">_xlfn.FORMULATEXT(C11)</f>
        <v>=CallPrice(B12,B11,B13,B14,B16,B15)</v>
      </c>
    </row>
    <row r="12" spans="1:4" x14ac:dyDescent="0.25">
      <c r="A12" t="s">
        <v>15</v>
      </c>
      <c r="B12">
        <v>100</v>
      </c>
      <c r="C12" cm="1">
        <f t="array" ref="C12">PutPrice(B12,B11,B13,B14,B16,B15)</f>
        <v>7.5770821464272728</v>
      </c>
      <c r="D12" t="str">
        <f ca="1">_xlfn.FORMULATEXT(C12)</f>
        <v>=PutPrice(B12,B11,B13,B14,B16,B15)</v>
      </c>
    </row>
    <row r="13" spans="1:4" x14ac:dyDescent="0.25">
      <c r="A13" t="s">
        <v>16</v>
      </c>
      <c r="B13">
        <v>1</v>
      </c>
      <c r="C13" cm="1">
        <f t="array" ref="C13">CallDelta(B12,B11,B13,B14,B16,B15)</f>
        <v>0.51350012298249337</v>
      </c>
      <c r="D13" t="str">
        <f ca="1">_xlfn.FORMULATEXT(C13)</f>
        <v>=CallDelta(B12,B11,B13,B14,B16,B15)</v>
      </c>
    </row>
    <row r="14" spans="1:4" x14ac:dyDescent="0.25">
      <c r="A14" t="s">
        <v>17</v>
      </c>
      <c r="B14" s="2">
        <v>0.05</v>
      </c>
      <c r="C14" cm="1">
        <f t="array" ref="C14">PutDelta(B12,B11,B13,B14,B16,B15)</f>
        <v>-0.43772930151822065</v>
      </c>
      <c r="D14" t="str">
        <f ca="1">_xlfn.FORMULATEXT(C14)</f>
        <v>=PutDelta(B12,B11,B13,B14,B16,B15)</v>
      </c>
    </row>
    <row r="15" spans="1:4" x14ac:dyDescent="0.25">
      <c r="A15" t="s">
        <v>18</v>
      </c>
      <c r="B15" s="2">
        <v>0.05</v>
      </c>
    </row>
    <row r="16" spans="1:4" x14ac:dyDescent="0.25">
      <c r="A16" t="s">
        <v>19</v>
      </c>
      <c r="B16" s="2">
        <v>0.2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8158-4503-4E39-A5AF-CD1934E1971C}">
  <sheetPr>
    <tabColor theme="2" tint="-0.499984740745262"/>
    <pageSetUpPr fitToPage="1"/>
  </sheetPr>
  <dimension ref="A1:K29"/>
  <sheetViews>
    <sheetView topLeftCell="A3" zoomScale="120" zoomScaleNormal="120" workbookViewId="0">
      <selection activeCell="S8" sqref="S8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20</v>
      </c>
      <c r="I15" s="36" t="s">
        <v>21</v>
      </c>
      <c r="J15" s="36" t="s">
        <v>21</v>
      </c>
      <c r="K15" s="37" t="s">
        <v>21</v>
      </c>
    </row>
    <row r="16" spans="1:11" x14ac:dyDescent="0.25">
      <c r="G16" s="18" t="s">
        <v>37</v>
      </c>
      <c r="H16" s="38">
        <v>1</v>
      </c>
      <c r="I16" s="39">
        <v>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100</v>
      </c>
      <c r="I17" s="42">
        <v>100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0.25</v>
      </c>
      <c r="I18" s="45">
        <v>0.25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4.5772968934335125</v>
      </c>
      <c r="I19" s="48" cm="1">
        <f t="array" ref="I19">_xlfn.IFS(I15="Spot",0,I15="Call",CallPrice(Spot,I17,Expiry,Riskfree,I18,DivYield),I15="Put",PutPrice(Spot,I17,Expiry,Riskfree,I18,DivYield))</f>
        <v>5.3207647633136048</v>
      </c>
      <c r="J19" s="48" cm="1">
        <f t="array" ref="J19">_xlfn.IFS(J15="Spot",0,J15="Call",CallPrice(Spot,J17,Expiry,Riskfree,J18,DivYield),J15="Put",PutPrice(Spot,J17,Expiry,Riskfree,J18,DivYield))</f>
        <v>5.3207647633136048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66" t="s">
        <v>41</v>
      </c>
      <c r="G20" s="20" t="s">
        <v>42</v>
      </c>
      <c r="H20" s="23" t="str" cm="1">
        <f t="array" ref="H20">_xlfn.IFS(H16&lt;0,"Short ",H16&gt;0,"Long ",H16=0,"")&amp;IF(H16=0,"None",H15)</f>
        <v>Long Put</v>
      </c>
      <c r="I20" s="24" t="str" cm="1">
        <f t="array" ref="I20">_xlfn.IFS(I16&lt;0,"Short ",I16&gt;0,"Long ",I16=0,"")&amp;IF(I16=0,"None",I15)</f>
        <v>Long Call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10.101938343252883</v>
      </c>
      <c r="H21" s="26" cm="1">
        <f t="array" ref="H21">H$16*(Payout(H$15,$F21,H$17)-H$19)</f>
        <v>15.422703106566487</v>
      </c>
      <c r="I21" s="27" cm="1">
        <f t="array" ref="I21">I$16*(Payout(I$15,$F21,I$17)-I$19)</f>
        <v>-5.3207647633136048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5.1019383432528826</v>
      </c>
      <c r="H22" s="26" cm="1">
        <f t="array" ref="H22">H$16*(Payout(H$15,$F22,H$17)-H$19)</f>
        <v>10.422703106566487</v>
      </c>
      <c r="I22" s="27" cm="1">
        <f t="array" ref="I22">I$16*(Payout(I$15,$F22,I$17)-I$19)</f>
        <v>-5.3207647633136048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0.10193834325288265</v>
      </c>
      <c r="H23" s="26" cm="1">
        <f t="array" ref="H23">H$16*(Payout(H$15,$F23,H$17)-H$19)</f>
        <v>5.4227031065664875</v>
      </c>
      <c r="I23" s="27" cm="1">
        <f t="array" ref="I23">I$16*(Payout(I$15,$F23,I$17)-I$19)</f>
        <v>-5.3207647633136048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-4.8980616567471174</v>
      </c>
      <c r="H24" s="26" cm="1">
        <f t="array" ref="H24">H$16*(Payout(H$15,$F24,H$17)-H$19)</f>
        <v>0.42270310656648746</v>
      </c>
      <c r="I24" s="27" cm="1">
        <f t="array" ref="I24">I$16*(Payout(I$15,$F24,I$17)-I$19)</f>
        <v>-5.3207647633136048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-9.8980616567471174</v>
      </c>
      <c r="H25" s="26" cm="1">
        <f t="array" ref="H25">H$16*(Payout(H$15,$F25,H$17)-H$19)</f>
        <v>-4.5772968934335125</v>
      </c>
      <c r="I25" s="27" cm="1">
        <f t="array" ref="I25">I$16*(Payout(I$15,$F25,I$17)-I$19)</f>
        <v>-5.3207647633136048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-4.8980616567471174</v>
      </c>
      <c r="H26" s="26" cm="1">
        <f t="array" ref="H26">H$16*(Payout(H$15,$F26,H$17)-H$19)</f>
        <v>-4.5772968934335125</v>
      </c>
      <c r="I26" s="27" cm="1">
        <f t="array" ref="I26">I$16*(Payout(I$15,$F26,I$17)-I$19)</f>
        <v>-0.32076476331360482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0.10193834325288265</v>
      </c>
      <c r="H27" s="26" cm="1">
        <f t="array" ref="H27">H$16*(Payout(H$15,$F27,H$17)-H$19)</f>
        <v>-4.5772968934335125</v>
      </c>
      <c r="I27" s="27" cm="1">
        <f t="array" ref="I27">I$16*(Payout(I$15,$F27,I$17)-I$19)</f>
        <v>4.6792352366863952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5.1019383432528826</v>
      </c>
      <c r="H28" s="26" cm="1">
        <f t="array" ref="H28">H$16*(Payout(H$15,$F28,H$17)-H$19)</f>
        <v>-4.5772968934335125</v>
      </c>
      <c r="I28" s="27" cm="1">
        <f t="array" ref="I28">I$16*(Payout(I$15,$F28,I$17)-I$19)</f>
        <v>9.6792352366863952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10.101938343252883</v>
      </c>
      <c r="H29" s="29" cm="1">
        <f t="array" ref="H29">H$16*(Payout(H$15,$F29,H$17)-H$19)</f>
        <v>-4.5772968934335125</v>
      </c>
      <c r="I29" s="30" cm="1">
        <f t="array" ref="I29">I$16*(Payout(I$15,$F29,I$17)-I$19)</f>
        <v>14.679235236686395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B9:B11"/>
    <mergeCell ref="C8:F8"/>
    <mergeCell ref="H13:K13"/>
  </mergeCells>
  <dataValidations count="1">
    <dataValidation type="list" allowBlank="1" showInputMessage="1" showErrorMessage="1" sqref="H16:K16" xr:uid="{8D54C25A-0CE5-49A9-B206-BABF8EF85F1E}">
      <formula1>"-2,-1,0,1,2"</formula1>
    </dataValidation>
  </dataValidations>
  <pageMargins left="0.25" right="0.25" top="0.75" bottom="0.75" header="0.3" footer="0.3"/>
  <pageSetup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8CE4B8-C972-44AD-8AE4-5FF5137ACDC4}">
          <x14:formula1>
            <xm:f>Formulas!$A$18:$A$20</xm:f>
          </x14:formula1>
          <xm:sqref>H15:K15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EC8A-5AF0-491B-ADE6-8A4EA633F457}">
  <sheetPr>
    <tabColor theme="9" tint="0.59999389629810485"/>
  </sheetPr>
  <dimension ref="A1:K29"/>
  <sheetViews>
    <sheetView zoomScale="130" zoomScaleNormal="130" workbookViewId="0">
      <selection activeCell="P9" sqref="P9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21</v>
      </c>
      <c r="I15" s="36" t="s">
        <v>21</v>
      </c>
      <c r="J15" s="36" t="s">
        <v>20</v>
      </c>
      <c r="K15" s="37" t="s">
        <v>21</v>
      </c>
    </row>
    <row r="16" spans="1:11" x14ac:dyDescent="0.25">
      <c r="G16" s="18" t="s">
        <v>37</v>
      </c>
      <c r="H16" s="38">
        <v>1</v>
      </c>
      <c r="I16" s="39">
        <v>-1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100</v>
      </c>
      <c r="I17" s="42">
        <v>110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0.25</v>
      </c>
      <c r="I18" s="45">
        <v>0.3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5.3207647633136048</v>
      </c>
      <c r="I19" s="48" cm="1">
        <f t="array" ref="I19">_xlfn.IFS(I15="Spot",0,I15="Call",CallPrice(Spot,I17,Expiry,Riskfree,I18,DivYield),I15="Put",PutPrice(Spot,I17,Expiry,Riskfree,I18,DivYield))</f>
        <v>2.6894135753913631</v>
      </c>
      <c r="J19" s="48" cm="1">
        <f t="array" ref="J19">_xlfn.IFS(J15="Spot",0,J15="Call",CallPrice(Spot,J17,Expiry,Riskfree,J18,DivYield),J15="Put",PutPrice(Spot,J17,Expiry,Riskfree,J18,DivYield))</f>
        <v>4.5772968934335125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19" t="s">
        <v>41</v>
      </c>
      <c r="G20" s="20" t="s">
        <v>42</v>
      </c>
      <c r="H20" s="23" t="str" cm="1">
        <f t="array" ref="H20">_xlfn.IFS(H16&lt;0,"Short ",H16&gt;0,"Long ",H16=0,"")&amp;IF(H16=0,"None",H15)</f>
        <v>Long Call</v>
      </c>
      <c r="I20" s="24" t="str" cm="1">
        <f t="array" ref="I20">_xlfn.IFS(I16&lt;0,"Short ",I16&gt;0,"Long ",I16=0,"")&amp;IF(I16=0,"None",I15)</f>
        <v>Short Call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-2.6313511879222418</v>
      </c>
      <c r="H21" s="26" cm="1">
        <f t="array" ref="H21">H$16*(Payout(H$15,$F21,H$17)-H$19)</f>
        <v>-5.3207647633136048</v>
      </c>
      <c r="I21" s="27" cm="1">
        <f t="array" ref="I21">I$16*(Payout(I$15,$F21,I$17)-I$19)</f>
        <v>2.6894135753913631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-2.6313511879222418</v>
      </c>
      <c r="H22" s="26" cm="1">
        <f t="array" ref="H22">H$16*(Payout(H$15,$F22,H$17)-H$19)</f>
        <v>-5.3207647633136048</v>
      </c>
      <c r="I22" s="27" cm="1">
        <f t="array" ref="I22">I$16*(Payout(I$15,$F22,I$17)-I$19)</f>
        <v>2.6894135753913631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-2.6313511879222418</v>
      </c>
      <c r="H23" s="26" cm="1">
        <f t="array" ref="H23">H$16*(Payout(H$15,$F23,H$17)-H$19)</f>
        <v>-5.3207647633136048</v>
      </c>
      <c r="I23" s="27" cm="1">
        <f t="array" ref="I23">I$16*(Payout(I$15,$F23,I$17)-I$19)</f>
        <v>2.6894135753913631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-2.6313511879222418</v>
      </c>
      <c r="H24" s="26" cm="1">
        <f t="array" ref="H24">H$16*(Payout(H$15,$F24,H$17)-H$19)</f>
        <v>-5.3207647633136048</v>
      </c>
      <c r="I24" s="27" cm="1">
        <f t="array" ref="I24">I$16*(Payout(I$15,$F24,I$17)-I$19)</f>
        <v>2.6894135753913631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-2.6313511879222418</v>
      </c>
      <c r="H25" s="26" cm="1">
        <f t="array" ref="H25">H$16*(Payout(H$15,$F25,H$17)-H$19)</f>
        <v>-5.3207647633136048</v>
      </c>
      <c r="I25" s="27" cm="1">
        <f t="array" ref="I25">I$16*(Payout(I$15,$F25,I$17)-I$19)</f>
        <v>2.6894135753913631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2.3686488120777582</v>
      </c>
      <c r="H26" s="26" cm="1">
        <f t="array" ref="H26">H$16*(Payout(H$15,$F26,H$17)-H$19)</f>
        <v>-0.32076476331360482</v>
      </c>
      <c r="I26" s="27" cm="1">
        <f t="array" ref="I26">I$16*(Payout(I$15,$F26,I$17)-I$19)</f>
        <v>2.6894135753913631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7.3686488120777582</v>
      </c>
      <c r="H27" s="26" cm="1">
        <f t="array" ref="H27">H$16*(Payout(H$15,$F27,H$17)-H$19)</f>
        <v>4.6792352366863952</v>
      </c>
      <c r="I27" s="27" cm="1">
        <f t="array" ref="I27">I$16*(Payout(I$15,$F27,I$17)-I$19)</f>
        <v>2.6894135753913631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7.3686488120777582</v>
      </c>
      <c r="H28" s="26" cm="1">
        <f t="array" ref="H28">H$16*(Payout(H$15,$F28,H$17)-H$19)</f>
        <v>9.6792352366863952</v>
      </c>
      <c r="I28" s="27" cm="1">
        <f t="array" ref="I28">I$16*(Payout(I$15,$F28,I$17)-I$19)</f>
        <v>-2.3105864246086369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7.3686488120777582</v>
      </c>
      <c r="H29" s="29" cm="1">
        <f t="array" ref="H29">H$16*(Payout(H$15,$F29,H$17)-H$19)</f>
        <v>14.679235236686395</v>
      </c>
      <c r="I29" s="30" cm="1">
        <f t="array" ref="I29">I$16*(Payout(I$15,$F29,I$17)-I$19)</f>
        <v>-7.3105864246086369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count="1">
    <dataValidation type="list" allowBlank="1" showInputMessage="1" showErrorMessage="1" sqref="H16:K16" xr:uid="{D23589FC-DAC5-4DDE-B2C3-1831BB28C3D3}">
      <formula1>"-2,-1,0,1,2"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02B73-16B7-4339-A46A-6E9EF6BC7DEB}">
          <x14:formula1>
            <xm:f>Formulas!$A$18:$A$20</xm:f>
          </x14:formula1>
          <xm:sqref>H15:K15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9A23-E1E7-4839-B631-A196BDD9452A}">
  <sheetPr>
    <tabColor theme="9" tint="0.59999389629810485"/>
  </sheetPr>
  <dimension ref="A1:K29"/>
  <sheetViews>
    <sheetView topLeftCell="A8" zoomScale="130" zoomScaleNormal="130" workbookViewId="0">
      <selection activeCell="H15" sqref="H15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15</v>
      </c>
      <c r="I15" s="36" t="s">
        <v>21</v>
      </c>
      <c r="J15" s="36" t="s">
        <v>20</v>
      </c>
      <c r="K15" s="37" t="s">
        <v>21</v>
      </c>
    </row>
    <row r="16" spans="1:11" x14ac:dyDescent="0.25">
      <c r="G16" s="18" t="s">
        <v>37</v>
      </c>
      <c r="H16" s="38">
        <v>1</v>
      </c>
      <c r="I16" s="39">
        <v>-1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100</v>
      </c>
      <c r="I17" s="42">
        <v>110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0.25</v>
      </c>
      <c r="I18" s="45">
        <v>0.3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0</v>
      </c>
      <c r="I19" s="48" cm="1">
        <f t="array" ref="I19">_xlfn.IFS(I15="Spot",0,I15="Call",CallPrice(Spot,I17,Expiry,Riskfree,I18,DivYield),I15="Put",PutPrice(Spot,I17,Expiry,Riskfree,I18,DivYield))</f>
        <v>2.6894135753913631</v>
      </c>
      <c r="J19" s="48" cm="1">
        <f t="array" ref="J19">_xlfn.IFS(J15="Spot",0,J15="Call",CallPrice(Spot,J17,Expiry,Riskfree,J18,DivYield),J15="Put",PutPrice(Spot,J17,Expiry,Riskfree,J18,DivYield))</f>
        <v>4.5772968934335125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19" t="s">
        <v>41</v>
      </c>
      <c r="G20" s="20" t="s">
        <v>42</v>
      </c>
      <c r="H20" s="23" t="str" cm="1">
        <f t="array" ref="H20">_xlfn.IFS(H16&lt;0,"Short ",H16&gt;0,"Long ",H16=0,"")&amp;IF(H16=0,"None",H15)</f>
        <v>Long Spot</v>
      </c>
      <c r="I20" s="24" t="str" cm="1">
        <f t="array" ref="I20">_xlfn.IFS(I16&lt;0,"Short ",I16&gt;0,"Long ",I16=0,"")&amp;IF(I16=0,"None",I15)</f>
        <v>Short Call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-17.310586424608637</v>
      </c>
      <c r="H21" s="26" cm="1">
        <f t="array" ref="H21">H$16*(Payout(H$15,$F21,H$17)-H$19)</f>
        <v>-20</v>
      </c>
      <c r="I21" s="27" cm="1">
        <f t="array" ref="I21">I$16*(Payout(I$15,$F21,I$17)-I$19)</f>
        <v>2.6894135753913631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-12.310586424608637</v>
      </c>
      <c r="H22" s="26" cm="1">
        <f t="array" ref="H22">H$16*(Payout(H$15,$F22,H$17)-H$19)</f>
        <v>-15</v>
      </c>
      <c r="I22" s="27" cm="1">
        <f t="array" ref="I22">I$16*(Payout(I$15,$F22,I$17)-I$19)</f>
        <v>2.6894135753913631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-7.3105864246086369</v>
      </c>
      <c r="H23" s="26" cm="1">
        <f t="array" ref="H23">H$16*(Payout(H$15,$F23,H$17)-H$19)</f>
        <v>-10</v>
      </c>
      <c r="I23" s="27" cm="1">
        <f t="array" ref="I23">I$16*(Payout(I$15,$F23,I$17)-I$19)</f>
        <v>2.6894135753913631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-2.3105864246086369</v>
      </c>
      <c r="H24" s="26" cm="1">
        <f t="array" ref="H24">H$16*(Payout(H$15,$F24,H$17)-H$19)</f>
        <v>-5</v>
      </c>
      <c r="I24" s="27" cm="1">
        <f t="array" ref="I24">I$16*(Payout(I$15,$F24,I$17)-I$19)</f>
        <v>2.6894135753913631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2.6894135753913631</v>
      </c>
      <c r="H25" s="26" cm="1">
        <f t="array" ref="H25">H$16*(Payout(H$15,$F25,H$17)-H$19)</f>
        <v>0</v>
      </c>
      <c r="I25" s="27" cm="1">
        <f t="array" ref="I25">I$16*(Payout(I$15,$F25,I$17)-I$19)</f>
        <v>2.6894135753913631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7.6894135753913631</v>
      </c>
      <c r="H26" s="26" cm="1">
        <f t="array" ref="H26">H$16*(Payout(H$15,$F26,H$17)-H$19)</f>
        <v>5</v>
      </c>
      <c r="I26" s="27" cm="1">
        <f t="array" ref="I26">I$16*(Payout(I$15,$F26,I$17)-I$19)</f>
        <v>2.6894135753913631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12.689413575391363</v>
      </c>
      <c r="H27" s="26" cm="1">
        <f t="array" ref="H27">H$16*(Payout(H$15,$F27,H$17)-H$19)</f>
        <v>10</v>
      </c>
      <c r="I27" s="27" cm="1">
        <f t="array" ref="I27">I$16*(Payout(I$15,$F27,I$17)-I$19)</f>
        <v>2.6894135753913631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12.689413575391363</v>
      </c>
      <c r="H28" s="26" cm="1">
        <f t="array" ref="H28">H$16*(Payout(H$15,$F28,H$17)-H$19)</f>
        <v>15</v>
      </c>
      <c r="I28" s="27" cm="1">
        <f t="array" ref="I28">I$16*(Payout(I$15,$F28,I$17)-I$19)</f>
        <v>-2.3105864246086369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12.689413575391363</v>
      </c>
      <c r="H29" s="29" cm="1">
        <f t="array" ref="H29">H$16*(Payout(H$15,$F29,H$17)-H$19)</f>
        <v>20</v>
      </c>
      <c r="I29" s="30" cm="1">
        <f t="array" ref="I29">I$16*(Payout(I$15,$F29,I$17)-I$19)</f>
        <v>-7.3105864246086369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count="1">
    <dataValidation type="list" allowBlank="1" showInputMessage="1" showErrorMessage="1" sqref="H16:K16" xr:uid="{8BB7945B-3715-4F4B-BB8D-9B38364CBEBE}">
      <formula1>"-2,-1,0,1,2"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77A7C4-8A52-4C84-B11C-8432740961CA}">
          <x14:formula1>
            <xm:f>Formulas!$A$18:$A$20</xm:f>
          </x14:formula1>
          <xm:sqref>H15:K15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DAB5-EE40-4AD6-873A-788CE7DAB074}">
  <sheetPr>
    <tabColor theme="5" tint="0.39997558519241921"/>
  </sheetPr>
  <dimension ref="A1:K29"/>
  <sheetViews>
    <sheetView zoomScale="130" zoomScaleNormal="130" workbookViewId="0">
      <selection activeCell="I10" sqref="I10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20</v>
      </c>
      <c r="I15" s="36" t="s">
        <v>20</v>
      </c>
      <c r="J15" s="36" t="s">
        <v>20</v>
      </c>
      <c r="K15" s="37" t="s">
        <v>21</v>
      </c>
    </row>
    <row r="16" spans="1:11" x14ac:dyDescent="0.25">
      <c r="G16" s="18" t="s">
        <v>37</v>
      </c>
      <c r="H16" s="38">
        <v>1</v>
      </c>
      <c r="I16" s="39">
        <v>-1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100</v>
      </c>
      <c r="I17" s="42">
        <v>90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0.25</v>
      </c>
      <c r="I18" s="45">
        <v>0.3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4.5772968934335125</v>
      </c>
      <c r="I19" s="48" cm="1">
        <f t="array" ref="I19">_xlfn.IFS(I15="Spot",0,I15="Call",CallPrice(Spot,I17,Expiry,Riskfree,I18,DivYield),I15="Put",PutPrice(Spot,I17,Expiry,Riskfree,I18,DivYield))</f>
        <v>1.8396113395318743</v>
      </c>
      <c r="J19" s="48" cm="1">
        <f t="array" ref="J19">_xlfn.IFS(J15="Spot",0,J15="Call",CallPrice(Spot,J17,Expiry,Riskfree,J18,DivYield),J15="Put",PutPrice(Spot,J17,Expiry,Riskfree,J18,DivYield))</f>
        <v>4.5772968934335125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19" t="s">
        <v>41</v>
      </c>
      <c r="G20" s="20" t="s">
        <v>42</v>
      </c>
      <c r="H20" s="23" t="str" cm="1">
        <f t="array" ref="H20">_xlfn.IFS(H16&lt;0,"Short ",H16&gt;0,"Long ",H16=0,"")&amp;IF(H16=0,"None",H15)</f>
        <v>Long Put</v>
      </c>
      <c r="I20" s="24" t="str" cm="1">
        <f t="array" ref="I20">_xlfn.IFS(I16&lt;0,"Short ",I16&gt;0,"Long ",I16=0,"")&amp;IF(I16=0,"None",I15)</f>
        <v>Short Put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7.2623144460983617</v>
      </c>
      <c r="H21" s="26" cm="1">
        <f t="array" ref="H21">H$16*(Payout(H$15,$F21,H$17)-H$19)</f>
        <v>15.422703106566487</v>
      </c>
      <c r="I21" s="27" cm="1">
        <f t="array" ref="I21">I$16*(Payout(I$15,$F21,I$17)-I$19)</f>
        <v>-8.1603886604681257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7.2623144460983617</v>
      </c>
      <c r="H22" s="26" cm="1">
        <f t="array" ref="H22">H$16*(Payout(H$15,$F22,H$17)-H$19)</f>
        <v>10.422703106566487</v>
      </c>
      <c r="I22" s="27" cm="1">
        <f t="array" ref="I22">I$16*(Payout(I$15,$F22,I$17)-I$19)</f>
        <v>-3.1603886604681257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7.2623144460983617</v>
      </c>
      <c r="H23" s="26" cm="1">
        <f t="array" ref="H23">H$16*(Payout(H$15,$F23,H$17)-H$19)</f>
        <v>5.4227031065664875</v>
      </c>
      <c r="I23" s="27" cm="1">
        <f t="array" ref="I23">I$16*(Payout(I$15,$F23,I$17)-I$19)</f>
        <v>1.8396113395318743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2.2623144460983617</v>
      </c>
      <c r="H24" s="26" cm="1">
        <f t="array" ref="H24">H$16*(Payout(H$15,$F24,H$17)-H$19)</f>
        <v>0.42270310656648746</v>
      </c>
      <c r="I24" s="27" cm="1">
        <f t="array" ref="I24">I$16*(Payout(I$15,$F24,I$17)-I$19)</f>
        <v>1.8396113395318743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-2.7376855539016383</v>
      </c>
      <c r="H25" s="26" cm="1">
        <f t="array" ref="H25">H$16*(Payout(H$15,$F25,H$17)-H$19)</f>
        <v>-4.5772968934335125</v>
      </c>
      <c r="I25" s="27" cm="1">
        <f t="array" ref="I25">I$16*(Payout(I$15,$F25,I$17)-I$19)</f>
        <v>1.8396113395318743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-2.7376855539016383</v>
      </c>
      <c r="H26" s="26" cm="1">
        <f t="array" ref="H26">H$16*(Payout(H$15,$F26,H$17)-H$19)</f>
        <v>-4.5772968934335125</v>
      </c>
      <c r="I26" s="27" cm="1">
        <f t="array" ref="I26">I$16*(Payout(I$15,$F26,I$17)-I$19)</f>
        <v>1.8396113395318743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-2.7376855539016383</v>
      </c>
      <c r="H27" s="26" cm="1">
        <f t="array" ref="H27">H$16*(Payout(H$15,$F27,H$17)-H$19)</f>
        <v>-4.5772968934335125</v>
      </c>
      <c r="I27" s="27" cm="1">
        <f t="array" ref="I27">I$16*(Payout(I$15,$F27,I$17)-I$19)</f>
        <v>1.8396113395318743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-2.7376855539016383</v>
      </c>
      <c r="H28" s="26" cm="1">
        <f t="array" ref="H28">H$16*(Payout(H$15,$F28,H$17)-H$19)</f>
        <v>-4.5772968934335125</v>
      </c>
      <c r="I28" s="27" cm="1">
        <f t="array" ref="I28">I$16*(Payout(I$15,$F28,I$17)-I$19)</f>
        <v>1.8396113395318743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-2.7376855539016383</v>
      </c>
      <c r="H29" s="29" cm="1">
        <f t="array" ref="H29">H$16*(Payout(H$15,$F29,H$17)-H$19)</f>
        <v>-4.5772968934335125</v>
      </c>
      <c r="I29" s="30" cm="1">
        <f t="array" ref="I29">I$16*(Payout(I$15,$F29,I$17)-I$19)</f>
        <v>1.8396113395318743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count="1">
    <dataValidation type="list" allowBlank="1" showInputMessage="1" showErrorMessage="1" sqref="H16:K16" xr:uid="{B14101C6-D288-4A06-9172-CA7F15D56785}">
      <formula1>"-2,-1,0,1,2"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8EE2B5-F156-4AB6-A303-A3DBCE10202E}">
          <x14:formula1>
            <xm:f>Formulas!$A$18:$A$20</xm:f>
          </x14:formula1>
          <xm:sqref>H15:K15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46B3-4654-4DC8-8CFE-AC934FCD0B57}">
  <sheetPr>
    <tabColor theme="3" tint="0.749992370372631"/>
  </sheetPr>
  <dimension ref="A1:K29"/>
  <sheetViews>
    <sheetView topLeftCell="A7" zoomScale="130" zoomScaleNormal="130" workbookViewId="0">
      <selection activeCell="I10" sqref="I10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21</v>
      </c>
      <c r="I15" s="36" t="s">
        <v>20</v>
      </c>
      <c r="J15" s="36" t="s">
        <v>20</v>
      </c>
      <c r="K15" s="37" t="s">
        <v>21</v>
      </c>
    </row>
    <row r="16" spans="1:11" x14ac:dyDescent="0.25">
      <c r="G16" s="18" t="s">
        <v>37</v>
      </c>
      <c r="H16" s="38">
        <v>-1</v>
      </c>
      <c r="I16" s="39">
        <v>-1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100</v>
      </c>
      <c r="I17" s="42">
        <v>100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0.4</v>
      </c>
      <c r="I18" s="45">
        <v>0.4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8.2734951121923643</v>
      </c>
      <c r="I19" s="48" cm="1">
        <f t="array" ref="I19">_xlfn.IFS(I15="Spot",0,I15="Call",CallPrice(Spot,I17,Expiry,Riskfree,I18,DivYield),I15="Put",PutPrice(Spot,I17,Expiry,Riskfree,I18,DivYield))</f>
        <v>7.5300272423122649</v>
      </c>
      <c r="J19" s="48" cm="1">
        <f t="array" ref="J19">_xlfn.IFS(J15="Spot",0,J15="Call",CallPrice(Spot,J17,Expiry,Riskfree,J18,DivYield),J15="Put",PutPrice(Spot,J17,Expiry,Riskfree,J18,DivYield))</f>
        <v>4.5772968934335125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19" t="s">
        <v>41</v>
      </c>
      <c r="G20" s="20" t="s">
        <v>42</v>
      </c>
      <c r="H20" s="23" t="str" cm="1">
        <f t="array" ref="H20">_xlfn.IFS(H16&lt;0,"Short ",H16&gt;0,"Long ",H16=0,"")&amp;IF(H16=0,"None",H15)</f>
        <v>Short Call</v>
      </c>
      <c r="I20" s="24" t="str" cm="1">
        <f t="array" ref="I20">_xlfn.IFS(I16&lt;0,"Short ",I16&gt;0,"Long ",I16=0,"")&amp;IF(I16=0,"None",I15)</f>
        <v>Short Put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-4.1964776454953707</v>
      </c>
      <c r="H21" s="26" cm="1">
        <f t="array" ref="H21">H$16*(Payout(H$15,$F21,H$17)-H$19)</f>
        <v>8.2734951121923643</v>
      </c>
      <c r="I21" s="27" cm="1">
        <f t="array" ref="I21">I$16*(Payout(I$15,$F21,I$17)-I$19)</f>
        <v>-12.469972757687735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0.80352235450462928</v>
      </c>
      <c r="H22" s="26" cm="1">
        <f t="array" ref="H22">H$16*(Payout(H$15,$F22,H$17)-H$19)</f>
        <v>8.2734951121923643</v>
      </c>
      <c r="I22" s="27" cm="1">
        <f t="array" ref="I22">I$16*(Payout(I$15,$F22,I$17)-I$19)</f>
        <v>-7.4699727576877351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5.8035223545046293</v>
      </c>
      <c r="H23" s="26" cm="1">
        <f t="array" ref="H23">H$16*(Payout(H$15,$F23,H$17)-H$19)</f>
        <v>8.2734951121923643</v>
      </c>
      <c r="I23" s="27" cm="1">
        <f t="array" ref="I23">I$16*(Payout(I$15,$F23,I$17)-I$19)</f>
        <v>-2.4699727576877351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10.803522354504629</v>
      </c>
      <c r="H24" s="26" cm="1">
        <f t="array" ref="H24">H$16*(Payout(H$15,$F24,H$17)-H$19)</f>
        <v>8.2734951121923643</v>
      </c>
      <c r="I24" s="27" cm="1">
        <f t="array" ref="I24">I$16*(Payout(I$15,$F24,I$17)-I$19)</f>
        <v>2.5300272423122649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15.803522354504629</v>
      </c>
      <c r="H25" s="26" cm="1">
        <f t="array" ref="H25">H$16*(Payout(H$15,$F25,H$17)-H$19)</f>
        <v>8.2734951121923643</v>
      </c>
      <c r="I25" s="27" cm="1">
        <f t="array" ref="I25">I$16*(Payout(I$15,$F25,I$17)-I$19)</f>
        <v>7.5300272423122649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10.803522354504629</v>
      </c>
      <c r="H26" s="26" cm="1">
        <f t="array" ref="H26">H$16*(Payout(H$15,$F26,H$17)-H$19)</f>
        <v>3.2734951121923643</v>
      </c>
      <c r="I26" s="27" cm="1">
        <f t="array" ref="I26">I$16*(Payout(I$15,$F26,I$17)-I$19)</f>
        <v>7.5300272423122649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5.8035223545046293</v>
      </c>
      <c r="H27" s="26" cm="1">
        <f t="array" ref="H27">H$16*(Payout(H$15,$F27,H$17)-H$19)</f>
        <v>-1.7265048878076357</v>
      </c>
      <c r="I27" s="27" cm="1">
        <f t="array" ref="I27">I$16*(Payout(I$15,$F27,I$17)-I$19)</f>
        <v>7.5300272423122649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0.80352235450462928</v>
      </c>
      <c r="H28" s="26" cm="1">
        <f t="array" ref="H28">H$16*(Payout(H$15,$F28,H$17)-H$19)</f>
        <v>-6.7265048878076357</v>
      </c>
      <c r="I28" s="27" cm="1">
        <f t="array" ref="I28">I$16*(Payout(I$15,$F28,I$17)-I$19)</f>
        <v>7.5300272423122649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-4.1964776454953707</v>
      </c>
      <c r="H29" s="29" cm="1">
        <f t="array" ref="H29">H$16*(Payout(H$15,$F29,H$17)-H$19)</f>
        <v>-11.726504887807636</v>
      </c>
      <c r="I29" s="30" cm="1">
        <f t="array" ref="I29">I$16*(Payout(I$15,$F29,I$17)-I$19)</f>
        <v>7.5300272423122649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disablePrompts="1" count="1">
    <dataValidation type="list" allowBlank="1" showInputMessage="1" showErrorMessage="1" sqref="H16:K16" xr:uid="{14DD23A3-3354-428B-A723-829206D22053}">
      <formula1>"-2,-1,0,1,2"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29A0541-DA0B-44E2-B0F7-E1DCDF3195FD}">
          <x14:formula1>
            <xm:f>Formulas!$A$18:$A$20</xm:f>
          </x14:formula1>
          <xm:sqref>H15:K15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F520-61C3-4241-BEC7-37BE6A03A6F6}">
  <sheetPr>
    <tabColor theme="3" tint="0.749992370372631"/>
  </sheetPr>
  <dimension ref="A1:K29"/>
  <sheetViews>
    <sheetView topLeftCell="A9" zoomScale="130" zoomScaleNormal="130" workbookViewId="0">
      <selection activeCell="I10" sqref="I10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21</v>
      </c>
      <c r="I15" s="36" t="s">
        <v>20</v>
      </c>
      <c r="J15" s="36" t="s">
        <v>20</v>
      </c>
      <c r="K15" s="37" t="s">
        <v>21</v>
      </c>
    </row>
    <row r="16" spans="1:11" x14ac:dyDescent="0.25">
      <c r="G16" s="18" t="s">
        <v>37</v>
      </c>
      <c r="H16" s="38">
        <v>-1</v>
      </c>
      <c r="I16" s="39">
        <v>-1</v>
      </c>
      <c r="J16" s="39">
        <v>0</v>
      </c>
      <c r="K16" s="40">
        <v>0</v>
      </c>
    </row>
    <row r="17" spans="6:11" x14ac:dyDescent="0.25">
      <c r="G17" s="18" t="s">
        <v>38</v>
      </c>
      <c r="H17" s="41">
        <v>110</v>
      </c>
      <c r="I17" s="42">
        <v>90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0.3</v>
      </c>
      <c r="I18" s="45">
        <v>0.3</v>
      </c>
      <c r="J18" s="45">
        <v>0.25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2.6894135753913631</v>
      </c>
      <c r="I19" s="48" cm="1">
        <f t="array" ref="I19">_xlfn.IFS(I15="Spot",0,I15="Call",CallPrice(Spot,I17,Expiry,Riskfree,I18,DivYield),I15="Put",PutPrice(Spot,I17,Expiry,Riskfree,I18,DivYield))</f>
        <v>1.8396113395318743</v>
      </c>
      <c r="J19" s="48" cm="1">
        <f t="array" ref="J19">_xlfn.IFS(J15="Spot",0,J15="Call",CallPrice(Spot,J17,Expiry,Riskfree,J18,DivYield),J15="Put",PutPrice(Spot,J17,Expiry,Riskfree,J18,DivYield))</f>
        <v>4.5772968934335125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19" t="s">
        <v>41</v>
      </c>
      <c r="G20" s="20" t="s">
        <v>42</v>
      </c>
      <c r="H20" s="23" t="str" cm="1">
        <f t="array" ref="H20">_xlfn.IFS(H16&lt;0,"Short ",H16&gt;0,"Long ",H16=0,"")&amp;IF(H16=0,"None",H15)</f>
        <v>Short Call</v>
      </c>
      <c r="I20" s="24" t="str" cm="1">
        <f t="array" ref="I20">_xlfn.IFS(I16&lt;0,"Short ",I16&gt;0,"Long ",I16=0,"")&amp;IF(I16=0,"None",I15)</f>
        <v>Short Put</v>
      </c>
      <c r="J20" s="24" t="str" cm="1">
        <f t="array" ref="J20">_xlfn.IFS(J16&lt;0,"Short ",J16&gt;0,"Long ",J16=0,"")&amp;IF(J16=0,"None",J15)</f>
        <v>None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-5.4709750850767627</v>
      </c>
      <c r="H21" s="26" cm="1">
        <f t="array" ref="H21">H$16*(Payout(H$15,$F21,H$17)-H$19)</f>
        <v>2.6894135753913631</v>
      </c>
      <c r="I21" s="27" cm="1">
        <f t="array" ref="I21">I$16*(Payout(I$15,$F21,I$17)-I$19)</f>
        <v>-8.1603886604681257</v>
      </c>
      <c r="J21" s="27" cm="1">
        <f t="array" ref="J21">J$16*(Payout(J$15,$F21,J$17)-J$19)</f>
        <v>0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-0.47097508507676267</v>
      </c>
      <c r="H22" s="26" cm="1">
        <f t="array" ref="H22">H$16*(Payout(H$15,$F22,H$17)-H$19)</f>
        <v>2.6894135753913631</v>
      </c>
      <c r="I22" s="27" cm="1">
        <f t="array" ref="I22">I$16*(Payout(I$15,$F22,I$17)-I$19)</f>
        <v>-3.1603886604681257</v>
      </c>
      <c r="J22" s="27" cm="1">
        <f t="array" ref="J22">J$16*(Payout(J$15,$F22,J$17)-J$19)</f>
        <v>0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4.5290249149232373</v>
      </c>
      <c r="H23" s="26" cm="1">
        <f t="array" ref="H23">H$16*(Payout(H$15,$F23,H$17)-H$19)</f>
        <v>2.6894135753913631</v>
      </c>
      <c r="I23" s="27" cm="1">
        <f t="array" ref="I23">I$16*(Payout(I$15,$F23,I$17)-I$19)</f>
        <v>1.8396113395318743</v>
      </c>
      <c r="J23" s="27" cm="1">
        <f t="array" ref="J23">J$16*(Payout(J$15,$F23,J$17)-J$19)</f>
        <v>0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4.5290249149232373</v>
      </c>
      <c r="H24" s="26" cm="1">
        <f t="array" ref="H24">H$16*(Payout(H$15,$F24,H$17)-H$19)</f>
        <v>2.6894135753913631</v>
      </c>
      <c r="I24" s="27" cm="1">
        <f t="array" ref="I24">I$16*(Payout(I$15,$F24,I$17)-I$19)</f>
        <v>1.8396113395318743</v>
      </c>
      <c r="J24" s="27" cm="1">
        <f t="array" ref="J24">J$16*(Payout(J$15,$F24,J$17)-J$19)</f>
        <v>0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4.5290249149232373</v>
      </c>
      <c r="H25" s="26" cm="1">
        <f t="array" ref="H25">H$16*(Payout(H$15,$F25,H$17)-H$19)</f>
        <v>2.6894135753913631</v>
      </c>
      <c r="I25" s="27" cm="1">
        <f t="array" ref="I25">I$16*(Payout(I$15,$F25,I$17)-I$19)</f>
        <v>1.8396113395318743</v>
      </c>
      <c r="J25" s="27" cm="1">
        <f t="array" ref="J25">J$16*(Payout(J$15,$F25,J$17)-J$19)</f>
        <v>0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4.5290249149232373</v>
      </c>
      <c r="H26" s="26" cm="1">
        <f t="array" ref="H26">H$16*(Payout(H$15,$F26,H$17)-H$19)</f>
        <v>2.6894135753913631</v>
      </c>
      <c r="I26" s="27" cm="1">
        <f t="array" ref="I26">I$16*(Payout(I$15,$F26,I$17)-I$19)</f>
        <v>1.8396113395318743</v>
      </c>
      <c r="J26" s="27" cm="1">
        <f t="array" ref="J26">J$16*(Payout(J$15,$F26,J$17)-J$19)</f>
        <v>0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4.5290249149232373</v>
      </c>
      <c r="H27" s="26" cm="1">
        <f t="array" ref="H27">H$16*(Payout(H$15,$F27,H$17)-H$19)</f>
        <v>2.6894135753913631</v>
      </c>
      <c r="I27" s="27" cm="1">
        <f t="array" ref="I27">I$16*(Payout(I$15,$F27,I$17)-I$19)</f>
        <v>1.8396113395318743</v>
      </c>
      <c r="J27" s="27" cm="1">
        <f t="array" ref="J27">J$16*(Payout(J$15,$F27,J$17)-J$19)</f>
        <v>0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-0.47097508507676267</v>
      </c>
      <c r="H28" s="26" cm="1">
        <f t="array" ref="H28">H$16*(Payout(H$15,$F28,H$17)-H$19)</f>
        <v>-2.3105864246086369</v>
      </c>
      <c r="I28" s="27" cm="1">
        <f t="array" ref="I28">I$16*(Payout(I$15,$F28,I$17)-I$19)</f>
        <v>1.8396113395318743</v>
      </c>
      <c r="J28" s="27" cm="1">
        <f t="array" ref="J28">J$16*(Payout(J$15,$F28,J$17)-J$19)</f>
        <v>0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-5.4709750850767627</v>
      </c>
      <c r="H29" s="29" cm="1">
        <f t="array" ref="H29">H$16*(Payout(H$15,$F29,H$17)-H$19)</f>
        <v>-7.3105864246086369</v>
      </c>
      <c r="I29" s="30" cm="1">
        <f t="array" ref="I29">I$16*(Payout(I$15,$F29,I$17)-I$19)</f>
        <v>1.8396113395318743</v>
      </c>
      <c r="J29" s="30" cm="1">
        <f t="array" ref="J29">J$16*(Payout(J$15,$F29,J$17)-J$19)</f>
        <v>0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count="1">
    <dataValidation type="list" allowBlank="1" showInputMessage="1" showErrorMessage="1" sqref="H16:K16" xr:uid="{295399FD-0B58-4CA0-B54B-31C5D866D690}">
      <formula1>"-2,-1,0,1,2"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5E0B3C-47B4-4151-B0EB-3D7B8E5D6100}">
          <x14:formula1>
            <xm:f>Formulas!$A$18:$A$20</xm:f>
          </x14:formula1>
          <xm:sqref>H15:K15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8309-60D9-4915-9654-066912A1A34B}">
  <sheetPr>
    <tabColor theme="8" tint="0.59999389629810485"/>
    <pageSetUpPr fitToPage="1"/>
  </sheetPr>
  <dimension ref="A1:K29"/>
  <sheetViews>
    <sheetView tabSelected="1" zoomScale="120" zoomScaleNormal="120" workbookViewId="0">
      <selection activeCell="I10" sqref="I10"/>
    </sheetView>
  </sheetViews>
  <sheetFormatPr defaultRowHeight="15" x14ac:dyDescent="0.25"/>
  <cols>
    <col min="1" max="5" width="2.7109375" customWidth="1"/>
    <col min="6" max="6" width="19.28515625" customWidth="1"/>
    <col min="8" max="8" width="9.85546875" bestFit="1" customWidth="1"/>
  </cols>
  <sheetData>
    <row r="1" spans="1:11" ht="24" x14ac:dyDescent="0.4">
      <c r="A1" s="3" t="s">
        <v>22</v>
      </c>
    </row>
    <row r="2" spans="1:11" ht="15.75" thickBot="1" x14ac:dyDescent="0.3">
      <c r="B2" t="s">
        <v>23</v>
      </c>
    </row>
    <row r="3" spans="1:11" ht="15.75" customHeight="1" x14ac:dyDescent="0.25">
      <c r="B3" s="67" t="s">
        <v>24</v>
      </c>
      <c r="C3" s="5" t="s">
        <v>25</v>
      </c>
      <c r="D3" s="6"/>
      <c r="E3" s="6"/>
      <c r="F3" s="7"/>
      <c r="G3">
        <v>100</v>
      </c>
    </row>
    <row r="4" spans="1:11" ht="15.75" customHeight="1" x14ac:dyDescent="0.25">
      <c r="B4" s="68"/>
      <c r="C4" s="8" t="s">
        <v>26</v>
      </c>
      <c r="D4" s="9"/>
      <c r="E4" s="9"/>
      <c r="F4" s="10"/>
      <c r="G4">
        <v>100</v>
      </c>
    </row>
    <row r="5" spans="1:11" ht="15.75" customHeight="1" x14ac:dyDescent="0.25">
      <c r="B5" s="68"/>
      <c r="C5" s="8" t="s">
        <v>27</v>
      </c>
      <c r="D5" s="9"/>
      <c r="E5" s="9"/>
      <c r="F5" s="10"/>
      <c r="G5" s="14">
        <v>3</v>
      </c>
      <c r="H5" s="15">
        <f>+G5/12</f>
        <v>0.25</v>
      </c>
    </row>
    <row r="6" spans="1:11" ht="15.75" customHeight="1" x14ac:dyDescent="0.25">
      <c r="B6" s="68"/>
      <c r="C6" s="8" t="s">
        <v>28</v>
      </c>
      <c r="D6" s="9"/>
      <c r="E6" s="9"/>
      <c r="F6" s="10"/>
      <c r="G6" s="2">
        <v>0.05</v>
      </c>
    </row>
    <row r="7" spans="1:11" ht="15.75" customHeight="1" thickBot="1" x14ac:dyDescent="0.3">
      <c r="B7" s="69"/>
      <c r="C7" s="11" t="s">
        <v>29</v>
      </c>
      <c r="D7" s="12"/>
      <c r="E7" s="12"/>
      <c r="F7" s="13"/>
      <c r="G7" s="2">
        <v>0.02</v>
      </c>
    </row>
    <row r="8" spans="1:11" ht="47.25" thickBot="1" x14ac:dyDescent="0.3">
      <c r="B8" s="4" t="s">
        <v>30</v>
      </c>
      <c r="C8" s="73" t="s">
        <v>31</v>
      </c>
      <c r="D8" s="74"/>
      <c r="E8" s="74"/>
      <c r="F8" s="75"/>
      <c r="G8" s="16">
        <v>0.2</v>
      </c>
    </row>
    <row r="9" spans="1:11" ht="21.75" customHeight="1" thickBot="1" x14ac:dyDescent="0.3">
      <c r="B9" s="70" t="s">
        <v>32</v>
      </c>
      <c r="C9" s="50"/>
      <c r="D9" s="51"/>
      <c r="E9" s="51"/>
      <c r="F9" s="52"/>
      <c r="G9" s="62" t="s">
        <v>33</v>
      </c>
      <c r="H9" s="63" t="s">
        <v>34</v>
      </c>
    </row>
    <row r="10" spans="1:11" ht="21.75" customHeight="1" x14ac:dyDescent="0.25">
      <c r="B10" s="71"/>
      <c r="C10" s="17" t="s">
        <v>21</v>
      </c>
      <c r="D10" s="53"/>
      <c r="E10" s="53"/>
      <c r="F10" s="54"/>
      <c r="G10" s="58" cm="1">
        <f t="array" ref="G10">CallPrice(Spot,Strike,Expiry,Riskfree,Vol,DivYield)</f>
        <v>4.3358856163615798</v>
      </c>
      <c r="H10" s="59" cm="1">
        <f t="array" ref="H10">CallDelta(Spot,Strike,Expiry,Riskfree,Vol,DivYield)</f>
        <v>0.54699639399519484</v>
      </c>
    </row>
    <row r="11" spans="1:11" ht="21.75" customHeight="1" thickBot="1" x14ac:dyDescent="0.3">
      <c r="B11" s="72"/>
      <c r="C11" s="55" t="s">
        <v>20</v>
      </c>
      <c r="D11" s="56"/>
      <c r="E11" s="56"/>
      <c r="F11" s="57"/>
      <c r="G11" s="60" cm="1">
        <f t="array" ref="G11">PutPrice(Spot,Strike,Expiry,Riskfree,Vol,DivYield)</f>
        <v>3.5924177464814875</v>
      </c>
      <c r="H11" s="61" cm="1">
        <f t="array" ref="H11">PutDelta(Spot,Strike,Expiry,Riskfree,Vol,DivYield)</f>
        <v>-0.44801608519748748</v>
      </c>
    </row>
    <row r="12" spans="1:11" ht="15.75" thickBot="1" x14ac:dyDescent="0.3"/>
    <row r="13" spans="1:11" ht="15.75" thickBot="1" x14ac:dyDescent="0.3">
      <c r="H13" s="76" t="s">
        <v>35</v>
      </c>
      <c r="I13" s="77"/>
      <c r="J13" s="77"/>
      <c r="K13" s="78"/>
    </row>
    <row r="14" spans="1:11" ht="15.75" thickBot="1" x14ac:dyDescent="0.3">
      <c r="H14" s="32">
        <v>1</v>
      </c>
      <c r="I14" s="33">
        <v>2</v>
      </c>
      <c r="J14" s="33">
        <v>3</v>
      </c>
      <c r="K14" s="34">
        <v>4</v>
      </c>
    </row>
    <row r="15" spans="1:11" x14ac:dyDescent="0.25">
      <c r="G15" s="18" t="s">
        <v>36</v>
      </c>
      <c r="H15" s="35" t="s">
        <v>21</v>
      </c>
      <c r="I15" s="36" t="s">
        <v>21</v>
      </c>
      <c r="J15" s="36" t="s">
        <v>21</v>
      </c>
      <c r="K15" s="37" t="s">
        <v>21</v>
      </c>
    </row>
    <row r="16" spans="1:11" x14ac:dyDescent="0.25">
      <c r="G16" s="18" t="s">
        <v>37</v>
      </c>
      <c r="H16" s="38">
        <v>1</v>
      </c>
      <c r="I16" s="39">
        <v>1</v>
      </c>
      <c r="J16" s="39">
        <v>-2</v>
      </c>
      <c r="K16" s="40">
        <v>0</v>
      </c>
    </row>
    <row r="17" spans="6:11" x14ac:dyDescent="0.25">
      <c r="G17" s="18" t="s">
        <v>38</v>
      </c>
      <c r="H17" s="41">
        <v>89</v>
      </c>
      <c r="I17" s="42">
        <v>113</v>
      </c>
      <c r="J17" s="42">
        <v>100</v>
      </c>
      <c r="K17" s="43">
        <v>100</v>
      </c>
    </row>
    <row r="18" spans="6:11" x14ac:dyDescent="0.25">
      <c r="G18" s="18" t="s">
        <v>39</v>
      </c>
      <c r="H18" s="44">
        <v>0.23</v>
      </c>
      <c r="I18" s="45">
        <v>0.23</v>
      </c>
      <c r="J18" s="45">
        <v>0.31</v>
      </c>
      <c r="K18" s="46">
        <v>0.25</v>
      </c>
    </row>
    <row r="19" spans="6:11" ht="15.75" thickBot="1" x14ac:dyDescent="0.3">
      <c r="G19" s="18" t="s">
        <v>40</v>
      </c>
      <c r="H19" s="47" cm="1">
        <f t="array" ref="H19">_xlfn.IFS(H15="Spot",0,H15="Call",CallPrice(Spot,H17,Expiry,Riskfree,H18,DivYield),H15="Put",PutPrice(Spot,H17,Expiry,Riskfree,H18,DivYield))</f>
        <v>12.375800891824454</v>
      </c>
      <c r="I19" s="48" cm="1">
        <f t="array" ref="I19">_xlfn.IFS(I15="Spot",0,I15="Call",CallPrice(Spot,I17,Expiry,Riskfree,I18,DivYield),I15="Put",PutPrice(Spot,I17,Expiry,Riskfree,I18,DivYield))</f>
        <v>1.0132975574054548</v>
      </c>
      <c r="J19" s="48" cm="1">
        <f t="array" ref="J19">_xlfn.IFS(J15="Spot",0,J15="Call",CallPrice(Spot,J17,Expiry,Riskfree,J18,DivYield),J15="Put",PutPrice(Spot,J17,Expiry,Riskfree,J18,DivYield))</f>
        <v>6.5025341261146963</v>
      </c>
      <c r="K19" s="49" cm="1">
        <f t="array" ref="K19">_xlfn.IFS(K15="Spot",0,K15="Call",CallPrice(Spot,K17,Expiry,Riskfree,K18,DivYield),K15="Put",PutPrice(Spot,K17,Expiry,Riskfree,K18,DivYield))</f>
        <v>5.3207647633136048</v>
      </c>
    </row>
    <row r="20" spans="6:11" x14ac:dyDescent="0.25">
      <c r="F20" s="66" t="s">
        <v>41</v>
      </c>
      <c r="G20" s="20" t="s">
        <v>42</v>
      </c>
      <c r="H20" s="23" t="str" cm="1">
        <f t="array" ref="H20">_xlfn.IFS(H16&lt;0,"Short ",H16&gt;0,"Long ",H16=0,"")&amp;IF(H16=0,"None",H15)</f>
        <v>Long Call</v>
      </c>
      <c r="I20" s="24" t="str" cm="1">
        <f t="array" ref="I20">_xlfn.IFS(I16&lt;0,"Short ",I16&gt;0,"Long ",I16=0,"")&amp;IF(I16=0,"None",I15)</f>
        <v>Long Call</v>
      </c>
      <c r="J20" s="24" t="str" cm="1">
        <f t="array" ref="J20">_xlfn.IFS(J16&lt;0,"Short ",J16&gt;0,"Long ",J16=0,"")&amp;IF(J16=0,"None",J15)</f>
        <v>Short Call</v>
      </c>
      <c r="K20" s="25" t="str" cm="1">
        <f t="array" ref="K20">_xlfn.IFS(K16&lt;0,"Short ",K16&gt;0,"Long ",K16=0,"")&amp;IF(K16=0,"None",K15)</f>
        <v>None</v>
      </c>
    </row>
    <row r="21" spans="6:11" x14ac:dyDescent="0.25">
      <c r="F21" s="64" cm="1">
        <f t="array" ref="F21:F29">_xlfn.SEQUENCE(9,1,80,5)</f>
        <v>80</v>
      </c>
      <c r="G21" s="21">
        <f>SUM(H21:K21)</f>
        <v>-0.38403019700051644</v>
      </c>
      <c r="H21" s="26" cm="1">
        <f t="array" ref="H21">H$16*(Payout(H$15,$F21,H$17)-H$19)</f>
        <v>-12.375800891824454</v>
      </c>
      <c r="I21" s="27" cm="1">
        <f t="array" ref="I21">I$16*(Payout(I$15,$F21,I$17)-I$19)</f>
        <v>-1.0132975574054548</v>
      </c>
      <c r="J21" s="27" cm="1">
        <f t="array" ref="J21">J$16*(Payout(J$15,$F21,J$17)-J$19)</f>
        <v>13.005068252229393</v>
      </c>
      <c r="K21" s="28" cm="1">
        <f t="array" ref="K21">K$16*(Payout(K$15,$F21,K$17)-K$19)</f>
        <v>0</v>
      </c>
    </row>
    <row r="22" spans="6:11" x14ac:dyDescent="0.25">
      <c r="F22" s="64">
        <v>85</v>
      </c>
      <c r="G22" s="21">
        <f t="shared" ref="G22:G29" si="0">SUM(H22:K22)</f>
        <v>-0.38403019700051644</v>
      </c>
      <c r="H22" s="26" cm="1">
        <f t="array" ref="H22">H$16*(Payout(H$15,$F22,H$17)-H$19)</f>
        <v>-12.375800891824454</v>
      </c>
      <c r="I22" s="27" cm="1">
        <f t="array" ref="I22">I$16*(Payout(I$15,$F22,I$17)-I$19)</f>
        <v>-1.0132975574054548</v>
      </c>
      <c r="J22" s="27" cm="1">
        <f t="array" ref="J22">J$16*(Payout(J$15,$F22,J$17)-J$19)</f>
        <v>13.005068252229393</v>
      </c>
      <c r="K22" s="28" cm="1">
        <f t="array" ref="K22">K$16*(Payout(K$15,$F22,K$17)-K$19)</f>
        <v>0</v>
      </c>
    </row>
    <row r="23" spans="6:11" x14ac:dyDescent="0.25">
      <c r="F23" s="64">
        <v>90</v>
      </c>
      <c r="G23" s="21">
        <f t="shared" si="0"/>
        <v>0.61596980299948356</v>
      </c>
      <c r="H23" s="26" cm="1">
        <f t="array" ref="H23">H$16*(Payout(H$15,$F23,H$17)-H$19)</f>
        <v>-11.375800891824454</v>
      </c>
      <c r="I23" s="27" cm="1">
        <f t="array" ref="I23">I$16*(Payout(I$15,$F23,I$17)-I$19)</f>
        <v>-1.0132975574054548</v>
      </c>
      <c r="J23" s="27" cm="1">
        <f t="array" ref="J23">J$16*(Payout(J$15,$F23,J$17)-J$19)</f>
        <v>13.005068252229393</v>
      </c>
      <c r="K23" s="28" cm="1">
        <f t="array" ref="K23">K$16*(Payout(K$15,$F23,K$17)-K$19)</f>
        <v>0</v>
      </c>
    </row>
    <row r="24" spans="6:11" x14ac:dyDescent="0.25">
      <c r="F24" s="64">
        <v>95</v>
      </c>
      <c r="G24" s="21">
        <f t="shared" si="0"/>
        <v>5.6159698029994836</v>
      </c>
      <c r="H24" s="26" cm="1">
        <f t="array" ref="H24">H$16*(Payout(H$15,$F24,H$17)-H$19)</f>
        <v>-6.3758008918244542</v>
      </c>
      <c r="I24" s="27" cm="1">
        <f t="array" ref="I24">I$16*(Payout(I$15,$F24,I$17)-I$19)</f>
        <v>-1.0132975574054548</v>
      </c>
      <c r="J24" s="27" cm="1">
        <f t="array" ref="J24">J$16*(Payout(J$15,$F24,J$17)-J$19)</f>
        <v>13.005068252229393</v>
      </c>
      <c r="K24" s="28" cm="1">
        <f t="array" ref="K24">K$16*(Payout(K$15,$F24,K$17)-K$19)</f>
        <v>0</v>
      </c>
    </row>
    <row r="25" spans="6:11" x14ac:dyDescent="0.25">
      <c r="F25" s="64">
        <v>100</v>
      </c>
      <c r="G25" s="21">
        <f t="shared" si="0"/>
        <v>10.615969802999484</v>
      </c>
      <c r="H25" s="26" cm="1">
        <f t="array" ref="H25">H$16*(Payout(H$15,$F25,H$17)-H$19)</f>
        <v>-1.3758008918244542</v>
      </c>
      <c r="I25" s="27" cm="1">
        <f t="array" ref="I25">I$16*(Payout(I$15,$F25,I$17)-I$19)</f>
        <v>-1.0132975574054548</v>
      </c>
      <c r="J25" s="27" cm="1">
        <f t="array" ref="J25">J$16*(Payout(J$15,$F25,J$17)-J$19)</f>
        <v>13.005068252229393</v>
      </c>
      <c r="K25" s="28" cm="1">
        <f t="array" ref="K25">K$16*(Payout(K$15,$F25,K$17)-K$19)</f>
        <v>0</v>
      </c>
    </row>
    <row r="26" spans="6:11" x14ac:dyDescent="0.25">
      <c r="F26" s="64">
        <v>105</v>
      </c>
      <c r="G26" s="21">
        <f t="shared" si="0"/>
        <v>5.6159698029994836</v>
      </c>
      <c r="H26" s="26" cm="1">
        <f t="array" ref="H26">H$16*(Payout(H$15,$F26,H$17)-H$19)</f>
        <v>3.6241991081755458</v>
      </c>
      <c r="I26" s="27" cm="1">
        <f t="array" ref="I26">I$16*(Payout(I$15,$F26,I$17)-I$19)</f>
        <v>-1.0132975574054548</v>
      </c>
      <c r="J26" s="27" cm="1">
        <f t="array" ref="J26">J$16*(Payout(J$15,$F26,J$17)-J$19)</f>
        <v>3.0050682522293926</v>
      </c>
      <c r="K26" s="28" cm="1">
        <f t="array" ref="K26">K$16*(Payout(K$15,$F26,K$17)-K$19)</f>
        <v>0</v>
      </c>
    </row>
    <row r="27" spans="6:11" x14ac:dyDescent="0.25">
      <c r="F27" s="64">
        <v>110</v>
      </c>
      <c r="G27" s="21">
        <f t="shared" si="0"/>
        <v>0.61596980299948356</v>
      </c>
      <c r="H27" s="26" cm="1">
        <f t="array" ref="H27">H$16*(Payout(H$15,$F27,H$17)-H$19)</f>
        <v>8.6241991081755458</v>
      </c>
      <c r="I27" s="27" cm="1">
        <f t="array" ref="I27">I$16*(Payout(I$15,$F27,I$17)-I$19)</f>
        <v>-1.0132975574054548</v>
      </c>
      <c r="J27" s="27" cm="1">
        <f t="array" ref="J27">J$16*(Payout(J$15,$F27,J$17)-J$19)</f>
        <v>-6.9949317477706074</v>
      </c>
      <c r="K27" s="28" cm="1">
        <f t="array" ref="K27">K$16*(Payout(K$15,$F27,K$17)-K$19)</f>
        <v>0</v>
      </c>
    </row>
    <row r="28" spans="6:11" x14ac:dyDescent="0.25">
      <c r="F28" s="64">
        <v>115</v>
      </c>
      <c r="G28" s="21">
        <f t="shared" si="0"/>
        <v>-2.3840301970005164</v>
      </c>
      <c r="H28" s="26" cm="1">
        <f t="array" ref="H28">H$16*(Payout(H$15,$F28,H$17)-H$19)</f>
        <v>13.624199108175546</v>
      </c>
      <c r="I28" s="27" cm="1">
        <f t="array" ref="I28">I$16*(Payout(I$15,$F28,I$17)-I$19)</f>
        <v>0.9867024425945452</v>
      </c>
      <c r="J28" s="27" cm="1">
        <f t="array" ref="J28">J$16*(Payout(J$15,$F28,J$17)-J$19)</f>
        <v>-16.994931747770607</v>
      </c>
      <c r="K28" s="28" cm="1">
        <f t="array" ref="K28">K$16*(Payout(K$15,$F28,K$17)-K$19)</f>
        <v>0</v>
      </c>
    </row>
    <row r="29" spans="6:11" ht="15.75" thickBot="1" x14ac:dyDescent="0.3">
      <c r="F29" s="65">
        <v>120</v>
      </c>
      <c r="G29" s="22">
        <f t="shared" si="0"/>
        <v>-2.3840301970005164</v>
      </c>
      <c r="H29" s="29" cm="1">
        <f t="array" ref="H29">H$16*(Payout(H$15,$F29,H$17)-H$19)</f>
        <v>18.624199108175546</v>
      </c>
      <c r="I29" s="30" cm="1">
        <f t="array" ref="I29">I$16*(Payout(I$15,$F29,I$17)-I$19)</f>
        <v>5.9867024425945452</v>
      </c>
      <c r="J29" s="30" cm="1">
        <f t="array" ref="J29">J$16*(Payout(J$15,$F29,J$17)-J$19)</f>
        <v>-26.994931747770607</v>
      </c>
      <c r="K29" s="31" cm="1">
        <f t="array" ref="K29">K$16*(Payout(K$15,$F29,K$17)-K$19)</f>
        <v>0</v>
      </c>
    </row>
  </sheetData>
  <mergeCells count="4">
    <mergeCell ref="B3:B7"/>
    <mergeCell ref="C8:F8"/>
    <mergeCell ref="B9:B11"/>
    <mergeCell ref="H13:K13"/>
  </mergeCells>
  <dataValidations count="1">
    <dataValidation type="list" allowBlank="1" showInputMessage="1" showErrorMessage="1" sqref="H16:K16" xr:uid="{31B79045-6B57-45B6-A17D-CC8DC4987B2D}">
      <formula1>"-2,-1,0,1,2"</formula1>
    </dataValidation>
  </dataValidations>
  <pageMargins left="0.25" right="0.25" top="0.75" bottom="0.75" header="0.3" footer="0.3"/>
  <pageSetup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2B0707-3D2B-4E40-897B-D930CA52506E}">
          <x14:formula1>
            <xm:f>Formulas!$A$18:$A$20</xm:f>
          </x14:formula1>
          <xm:sqref>H15:K15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ee5480-bc57-428c-a521-c1b5a30d11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198C30D334D4799A0A6192774ACA4" ma:contentTypeVersion="13" ma:contentTypeDescription="Create a new document." ma:contentTypeScope="" ma:versionID="c572f7800318d7f69b7325113cd25c40">
  <xsd:schema xmlns:xsd="http://www.w3.org/2001/XMLSchema" xmlns:xs="http://www.w3.org/2001/XMLSchema" xmlns:p="http://schemas.microsoft.com/office/2006/metadata/properties" xmlns:ns3="18ee5480-bc57-428c-a521-c1b5a30d1164" xmlns:ns4="e8d1ac66-52f7-4cba-a3db-9cc4a60ac180" targetNamespace="http://schemas.microsoft.com/office/2006/metadata/properties" ma:root="true" ma:fieldsID="f17c04d4cfd0e1c705f63883a6a92018" ns3:_="" ns4:_="">
    <xsd:import namespace="18ee5480-bc57-428c-a521-c1b5a30d1164"/>
    <xsd:import namespace="e8d1ac66-52f7-4cba-a3db-9cc4a60ac1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e5480-bc57-428c-a521-c1b5a30d1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1ac66-52f7-4cba-a3db-9cc4a60ac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FF54E-E156-45F3-9852-0FDB1474D02B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8d1ac66-52f7-4cba-a3db-9cc4a60ac180"/>
    <ds:schemaRef ds:uri="18ee5480-bc57-428c-a521-c1b5a30d116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58DB31-9D6D-40E2-B160-A32671BF0D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e5480-bc57-428c-a521-c1b5a30d1164"/>
    <ds:schemaRef ds:uri="e8d1ac66-52f7-4cba-a3db-9cc4a60ac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6EB8D7-6534-4661-B1DD-024503A8DB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42</vt:i4>
      </vt:variant>
    </vt:vector>
  </HeadingPairs>
  <TitlesOfParts>
    <vt:vector size="50" baseType="lpstr">
      <vt:lpstr>Formulas</vt:lpstr>
      <vt:lpstr>HockeyStickTemplate</vt:lpstr>
      <vt:lpstr>Call Spread</vt:lpstr>
      <vt:lpstr>Covered Call</vt:lpstr>
      <vt:lpstr>Put Spread</vt:lpstr>
      <vt:lpstr>Straddle</vt:lpstr>
      <vt:lpstr>Strangle</vt:lpstr>
      <vt:lpstr>Butterfly</vt:lpstr>
      <vt:lpstr>Butterfly!DivYield</vt:lpstr>
      <vt:lpstr>'Call Spread'!DivYield</vt:lpstr>
      <vt:lpstr>'Covered Call'!DivYield</vt:lpstr>
      <vt:lpstr>'Put Spread'!DivYield</vt:lpstr>
      <vt:lpstr>Straddle!DivYield</vt:lpstr>
      <vt:lpstr>Strangle!DivYield</vt:lpstr>
      <vt:lpstr>DivYield</vt:lpstr>
      <vt:lpstr>Butterfly!Expiry</vt:lpstr>
      <vt:lpstr>'Call Spread'!Expiry</vt:lpstr>
      <vt:lpstr>'Covered Call'!Expiry</vt:lpstr>
      <vt:lpstr>'Put Spread'!Expiry</vt:lpstr>
      <vt:lpstr>Straddle!Expiry</vt:lpstr>
      <vt:lpstr>Strangle!Expiry</vt:lpstr>
      <vt:lpstr>Expiry</vt:lpstr>
      <vt:lpstr>Butterfly!Riskfree</vt:lpstr>
      <vt:lpstr>'Call Spread'!Riskfree</vt:lpstr>
      <vt:lpstr>'Covered Call'!Riskfree</vt:lpstr>
      <vt:lpstr>'Put Spread'!Riskfree</vt:lpstr>
      <vt:lpstr>Straddle!Riskfree</vt:lpstr>
      <vt:lpstr>Strangle!Riskfree</vt:lpstr>
      <vt:lpstr>Riskfree</vt:lpstr>
      <vt:lpstr>Butterfly!Spot</vt:lpstr>
      <vt:lpstr>'Call Spread'!Spot</vt:lpstr>
      <vt:lpstr>'Covered Call'!Spot</vt:lpstr>
      <vt:lpstr>'Put Spread'!Spot</vt:lpstr>
      <vt:lpstr>Straddle!Spot</vt:lpstr>
      <vt:lpstr>Strangle!Spot</vt:lpstr>
      <vt:lpstr>Spot</vt:lpstr>
      <vt:lpstr>Butterfly!Strike</vt:lpstr>
      <vt:lpstr>'Call Spread'!Strike</vt:lpstr>
      <vt:lpstr>'Covered Call'!Strike</vt:lpstr>
      <vt:lpstr>'Put Spread'!Strike</vt:lpstr>
      <vt:lpstr>Straddle!Strike</vt:lpstr>
      <vt:lpstr>Strangle!Strike</vt:lpstr>
      <vt:lpstr>Strike</vt:lpstr>
      <vt:lpstr>Butterfly!Vol</vt:lpstr>
      <vt:lpstr>'Call Spread'!Vol</vt:lpstr>
      <vt:lpstr>'Covered Call'!Vol</vt:lpstr>
      <vt:lpstr>'Put Spread'!Vol</vt:lpstr>
      <vt:lpstr>Straddle!Vol</vt:lpstr>
      <vt:lpstr>Strangle!Vol</vt:lpstr>
      <vt:lpstr>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Pelleg, David</dc:creator>
  <cp:keywords/>
  <dc:description/>
  <cp:lastModifiedBy>Gartner, Caleb</cp:lastModifiedBy>
  <cp:revision/>
  <dcterms:created xsi:type="dcterms:W3CDTF">2024-10-10T18:11:13Z</dcterms:created>
  <dcterms:modified xsi:type="dcterms:W3CDTF">2026-05-01T19:05:14Z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0x010100E9E198C30D334D4799A0A6192774ACA4</vt:lpwstr>
  </property>
</Properties>
</file>