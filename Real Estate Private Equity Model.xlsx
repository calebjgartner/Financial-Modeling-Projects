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eb\Desktop\GitHub Models\"/>
    </mc:Choice>
  </mc:AlternateContent>
  <xr:revisionPtr revIDLastSave="0" documentId="8_{FD18A74F-3FE2-4AE3-9D06-6B59F85248AC}" xr6:coauthVersionLast="47" xr6:coauthVersionMax="47" xr10:uidLastSave="{00000000-0000-0000-0000-000000000000}"/>
  <bookViews>
    <workbookView xWindow="28680" yWindow="-120" windowWidth="29040" windowHeight="15720" firstSheet="1" activeTab="1" xr2:uid="{1EE5CAE7-C496-43EF-B996-29FD0B36C035}"/>
  </bookViews>
  <sheets>
    <sheet name="Property Summary" sheetId="1" r:id="rId1"/>
    <sheet name="Property Returns" sheetId="12" r:id="rId2"/>
    <sheet name="Rent Roll" sheetId="2" r:id="rId3"/>
    <sheet name="Expenses" sheetId="3" r:id="rId4"/>
    <sheet name="Cash Flow" sheetId="4" r:id="rId5"/>
    <sheet name="Debt" sheetId="13" r:id="rId6"/>
    <sheet name="Calc Modules--&gt;" sheetId="6" r:id="rId7"/>
    <sheet name="Forecast. Monthly Rent" sheetId="5" r:id="rId8"/>
    <sheet name="Forecast.Free Rent" sheetId="7" r:id="rId9"/>
    <sheet name="Forecast.CAPEX" sheetId="8" r:id="rId10"/>
    <sheet name="Forecast.Vacancy" sheetId="10" r:id="rId11"/>
    <sheet name="Forecast.ReLeasing" sheetId="11" r:id="rId12"/>
  </sheets>
  <definedNames>
    <definedName name="Acq.Costs.PCT">'Property Summary'!$G$5</definedName>
    <definedName name="Amort.Period">'Property Summary'!$G$27</definedName>
    <definedName name="Analysis.Period">'Property Summary'!$D$7</definedName>
    <definedName name="Basis">'Property Summary'!$G$6</definedName>
    <definedName name="Debt.Service">Debt!$E$5:$O$5</definedName>
    <definedName name="Discount.Rate">'Property Summary'!$D$11</definedName>
    <definedName name="Estimated.Gross.Revenue">'Cash Flow'!$E$14</definedName>
    <definedName name="Forecast.CapEx">Forecast.CAPEX!$E$22</definedName>
    <definedName name="Forecast.Free.Rent">'Forecast.Free Rent'!$E$22</definedName>
    <definedName name="Forecast.OpEx">Expenses!$F$13:$P$13</definedName>
    <definedName name="Forecast.ReLeasing.Cost">Forecast.ReLeasing!$E$22</definedName>
    <definedName name="Forecast.Vacancy">Forecast.Vacancy!$E$22</definedName>
    <definedName name="Forecast.Value.Add.Costs">Expenses!$F$16:$P$16</definedName>
    <definedName name="Infl.CapEx">'Property Summary'!$J$20</definedName>
    <definedName name="Infl.Operating.Expenses">'Property Summary'!$J$19</definedName>
    <definedName name="Infl.Other.Income">'Property Summary'!$J$18</definedName>
    <definedName name="Infl.ReLeasing.Costs">'Property Summary'!$J$21</definedName>
    <definedName name="Infl.Rent">'Property Summary'!$J$17</definedName>
    <definedName name="Initial.Equity">'Property Summary'!$G$22</definedName>
    <definedName name="Interest.Expense">Debt!$E$6:$O$6</definedName>
    <definedName name="Interest.Rate">'Property Summary'!$G$25</definedName>
    <definedName name="IRR.Unlevered">'Property Returns'!$D$51:$N$51</definedName>
    <definedName name="Lender.Fee.AMT">'Property Summary'!$G$21</definedName>
    <definedName name="Lender.Fee.PCT">'Property Summary'!$G$20</definedName>
    <definedName name="Loan.Amount">'Property Summary'!$G$17</definedName>
    <definedName name="Loan.Balance">Debt!$E$7:$O$7</definedName>
    <definedName name="Locale">'Property Summary'!$D$4</definedName>
    <definedName name="Market.Cap.Rate">'Property Summary'!$D$10</definedName>
    <definedName name="Monthly.Forecast.Unit">'Forecast. Monthly Rent'!$F$22</definedName>
    <definedName name="Monthly.Revenue.Forecast">'Forecast. Monthly Rent'!$E$22</definedName>
    <definedName name="Monthly.Revenue.Year">'Forecast. Monthly Rent'!$C$22</definedName>
    <definedName name="Net.Operating.Income">'Cash Flow'!$E$27</definedName>
    <definedName name="Num.Apartments">'Property Summary'!$G$3</definedName>
    <definedName name="Occupancy">'Property Summary'!$D$5</definedName>
    <definedName name="Operating.Expenses">'Cash Flow'!$E$25</definedName>
    <definedName name="Other.Income">'Property Summary'!$G$13</definedName>
    <definedName name="PIK.Period">'Property Summary'!$G$26</definedName>
    <definedName name="Potential.Gross.Income">'Cash Flow'!$E$7</definedName>
    <definedName name="Price.Per.Unit">'Property Summary'!$G$8</definedName>
    <definedName name="Property">'Property Summary'!$D$3</definedName>
    <definedName name="Purchase.Price">'Property Summary'!$D$13</definedName>
    <definedName name="rent.roll.assumptions">'Rent Roll'!$B$3:$Q$8</definedName>
    <definedName name="Sales.Price.Forecast">'Property Returns'!$C$12</definedName>
    <definedName name="Start.Date">'Property Summary'!$D$6</definedName>
    <definedName name="Term">'Property Summary'!$G$28</definedName>
    <definedName name="Term.Cap.Growth.BPS">'Property Summary'!$D$9</definedName>
    <definedName name="Term.Cap.Year">'Property Summary'!$D$8</definedName>
    <definedName name="Timeline">Expenses!$F$4</definedName>
    <definedName name="Total.CapEx">'Cash Flow'!$E$33:$O$33</definedName>
    <definedName name="Total.Equity.Required">'Property Summary'!$G$23</definedName>
    <definedName name="Total.Equity.Requirement">'Property Summary'!$G$23</definedName>
    <definedName name="Unit.Replacement.Cost">'Property Summary'!$D$12</definedName>
    <definedName name="Upfront.CAPEX">'Property Summary'!$G$4</definedName>
    <definedName name="Vacancy.Rate">'Property Summary'!$G$14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2" l="1"/>
  <c r="D28" i="12"/>
  <c r="C27" i="12" a="1"/>
  <c r="C27" i="12" s="1"/>
  <c r="F7" i="13"/>
  <c r="G7" i="13" s="1"/>
  <c r="H7" i="13" s="1"/>
  <c r="I7" i="13" s="1"/>
  <c r="J7" i="13" s="1"/>
  <c r="K7" i="13" s="1"/>
  <c r="L7" i="13" s="1"/>
  <c r="M7" i="13" s="1"/>
  <c r="N7" i="13" s="1"/>
  <c r="O7" i="13" s="1"/>
  <c r="E7" i="13"/>
  <c r="F5" i="13"/>
  <c r="G5" i="13"/>
  <c r="H5" i="13"/>
  <c r="I5" i="13"/>
  <c r="J5" i="13"/>
  <c r="K5" i="13"/>
  <c r="L5" i="13"/>
  <c r="M5" i="13"/>
  <c r="N5" i="13"/>
  <c r="O5" i="13"/>
  <c r="E5" i="13"/>
  <c r="F6" i="13"/>
  <c r="G6" i="13"/>
  <c r="H6" i="13"/>
  <c r="I6" i="13"/>
  <c r="J6" i="13"/>
  <c r="K6" i="13"/>
  <c r="L6" i="13"/>
  <c r="M6" i="13"/>
  <c r="N6" i="13"/>
  <c r="O6" i="13"/>
  <c r="E6" i="13"/>
  <c r="D7" i="13"/>
  <c r="E4" i="13" a="1"/>
  <c r="E4" i="13" s="1"/>
  <c r="B4" i="13"/>
  <c r="M21" i="12"/>
  <c r="N65" i="12"/>
  <c r="D66" i="12" a="1"/>
  <c r="D66" i="12" s="1"/>
  <c r="C67" i="12" a="1"/>
  <c r="C67" i="12" s="1"/>
  <c r="D64" i="12" a="1"/>
  <c r="D64" i="12" s="1"/>
  <c r="N51" i="12"/>
  <c r="C53" i="12" a="1"/>
  <c r="C53" i="12" s="1"/>
  <c r="D52" i="12" a="1"/>
  <c r="D52" i="12" s="1"/>
  <c r="D50" i="12" a="1"/>
  <c r="D50" i="12" s="1"/>
  <c r="C11" i="12" a="1"/>
  <c r="C11" i="12" s="1"/>
  <c r="C4" i="12" a="1"/>
  <c r="C4" i="12" s="1"/>
  <c r="C3" i="12" a="1"/>
  <c r="C3" i="12" s="1"/>
  <c r="E32" i="4" a="1"/>
  <c r="E32" i="4" s="1"/>
  <c r="E30" i="4" a="1"/>
  <c r="E30" i="4" s="1"/>
  <c r="E33" i="4" s="1"/>
  <c r="F22" i="8" l="1" a="1"/>
  <c r="F22" i="8" s="1"/>
  <c r="E31" i="4" a="1"/>
  <c r="E31" i="4" s="1"/>
  <c r="F22" i="11" a="1"/>
  <c r="F22" i="11" s="1"/>
  <c r="E18" i="4" a="1"/>
  <c r="E18" i="4" s="1"/>
  <c r="E19" i="4" a="1"/>
  <c r="E19" i="4" s="1"/>
  <c r="E20" i="4" a="1"/>
  <c r="E20" i="4" s="1"/>
  <c r="E21" i="4" a="1"/>
  <c r="E21" i="4" s="1"/>
  <c r="E23" i="4" a="1"/>
  <c r="E23" i="4" s="1"/>
  <c r="E24" i="4" a="1"/>
  <c r="E24" i="4" s="1"/>
  <c r="E17" i="4" a="1"/>
  <c r="E17" i="4" s="1"/>
  <c r="F22" i="10" a="1"/>
  <c r="F22" i="10" s="1"/>
  <c r="E5" i="4" a="1"/>
  <c r="E5" i="4" s="1"/>
  <c r="F22" i="7" a="1"/>
  <c r="F22" i="7" s="1"/>
  <c r="B22" i="11" a="1"/>
  <c r="B22" i="11" s="1"/>
  <c r="B22" i="10" a="1"/>
  <c r="B22" i="10" s="1"/>
  <c r="B22" i="8" a="1"/>
  <c r="B22" i="8" s="1"/>
  <c r="B22" i="7" a="1"/>
  <c r="B22" i="7" s="1"/>
  <c r="B22" i="5" a="1"/>
  <c r="B22" i="5" s="1"/>
  <c r="F16" i="3" a="1"/>
  <c r="F16" i="3" s="1"/>
  <c r="F4" i="3" a="1"/>
  <c r="F4" i="3" s="1"/>
  <c r="F7" i="3" s="1" a="1"/>
  <c r="F7" i="3" s="1"/>
  <c r="Q5" i="2"/>
  <c r="Q4" i="2"/>
  <c r="O5" i="2"/>
  <c r="O6" i="2" s="1"/>
  <c r="G2" i="2"/>
  <c r="D18" i="1"/>
  <c r="G21" i="1"/>
  <c r="G6" i="1" s="1"/>
  <c r="G18" i="1"/>
  <c r="D17" i="1"/>
  <c r="N33" i="4" l="1"/>
  <c r="L33" i="4"/>
  <c r="K33" i="4"/>
  <c r="I33" i="4"/>
  <c r="H33" i="4"/>
  <c r="G33" i="4"/>
  <c r="O33" i="4"/>
  <c r="M33" i="4"/>
  <c r="J33" i="4"/>
  <c r="F33" i="4"/>
  <c r="O7" i="2"/>
  <c r="Q6" i="2"/>
  <c r="D22" i="11" a="1"/>
  <c r="D22" i="11" s="1"/>
  <c r="C22" i="11" a="1"/>
  <c r="C22" i="11" s="1"/>
  <c r="C22" i="10" a="1"/>
  <c r="C22" i="10" s="1"/>
  <c r="D22" i="10" a="1"/>
  <c r="D22" i="10" s="1"/>
  <c r="C22" i="8" a="1"/>
  <c r="C22" i="8" s="1"/>
  <c r="D22" i="8" a="1"/>
  <c r="D22" i="8" s="1"/>
  <c r="C22" i="7" a="1"/>
  <c r="C22" i="7" s="1"/>
  <c r="D22" i="7" a="1"/>
  <c r="D22" i="7" s="1"/>
  <c r="F5" i="3" a="1"/>
  <c r="F5" i="3" s="1"/>
  <c r="F11" i="3" a="1"/>
  <c r="F11" i="3" s="1"/>
  <c r="F9" i="3" a="1"/>
  <c r="F9" i="3" s="1"/>
  <c r="F8" i="3" a="1"/>
  <c r="F8" i="3" s="1"/>
  <c r="E3" i="4" a="1"/>
  <c r="E3" i="4" s="1"/>
  <c r="E6" i="4" s="1" a="1"/>
  <c r="E6" i="4" s="1"/>
  <c r="F6" i="3" a="1"/>
  <c r="F6" i="3" s="1"/>
  <c r="F12" i="3" a="1"/>
  <c r="F12" i="3" s="1"/>
  <c r="C22" i="5" a="1"/>
  <c r="C22" i="5" s="1"/>
  <c r="D22" i="5" a="1"/>
  <c r="D22" i="5" s="1"/>
  <c r="G22" i="1"/>
  <c r="G8" i="1"/>
  <c r="C8" i="12" l="1" a="1"/>
  <c r="C8" i="12" s="1"/>
  <c r="O8" i="2"/>
  <c r="Q7" i="2"/>
  <c r="Q8" i="2" l="1"/>
  <c r="E3" i="11" s="1" a="1"/>
  <c r="F21" i="11" l="1" a="1"/>
  <c r="F21" i="11" s="1"/>
  <c r="E3" i="11"/>
  <c r="E22" i="11" a="1"/>
  <c r="E22" i="11" s="1"/>
  <c r="E3" i="8" a="1"/>
  <c r="E3" i="10" a="1"/>
  <c r="E3" i="7" a="1"/>
  <c r="E3" i="5" a="1"/>
  <c r="F21" i="7" l="1" a="1"/>
  <c r="F21" i="7" s="1"/>
  <c r="E3" i="7"/>
  <c r="E22" i="7" a="1"/>
  <c r="E22" i="7" s="1"/>
  <c r="F21" i="8" a="1"/>
  <c r="F21" i="8" s="1"/>
  <c r="E22" i="8" a="1"/>
  <c r="E22" i="8" s="1"/>
  <c r="E3" i="8"/>
  <c r="E3" i="5"/>
  <c r="F21" i="5" a="1"/>
  <c r="F21" i="5" s="1"/>
  <c r="F22" i="5" a="1"/>
  <c r="F22" i="5" s="1"/>
  <c r="F21" i="10" a="1"/>
  <c r="F21" i="10" s="1"/>
  <c r="E22" i="10" a="1"/>
  <c r="E22" i="10" s="1"/>
  <c r="E3" i="10"/>
  <c r="E22" i="5" l="1" a="1"/>
  <c r="E22" i="5" s="1"/>
  <c r="E7" i="4" s="1" a="1"/>
  <c r="E7" i="4" s="1"/>
  <c r="D6" i="4" s="1"/>
  <c r="E10" i="4" a="1"/>
  <c r="E10" i="4" s="1"/>
  <c r="E11" i="4" a="1"/>
  <c r="E11" i="4" s="1"/>
  <c r="D11" i="4" s="1"/>
  <c r="D10" i="4" l="1"/>
  <c r="E12" i="4" a="1"/>
  <c r="E12" i="4" s="1"/>
  <c r="E14" i="4" s="1" a="1"/>
  <c r="E14" i="4" s="1"/>
  <c r="C5" i="12" s="1" a="1"/>
  <c r="C5" i="12" s="1"/>
  <c r="D33" i="4" l="1"/>
  <c r="F10" i="3" a="1"/>
  <c r="L13" i="3" l="1"/>
  <c r="N13" i="3"/>
  <c r="G13" i="3"/>
  <c r="I13" i="3"/>
  <c r="J13" i="3"/>
  <c r="K13" i="3"/>
  <c r="M13" i="3"/>
  <c r="O13" i="3"/>
  <c r="P13" i="3"/>
  <c r="H13" i="3"/>
  <c r="F10" i="3"/>
  <c r="F13" i="3" l="1"/>
  <c r="E22" i="4" a="1"/>
  <c r="E22" i="4" s="1"/>
  <c r="E25" i="4" s="1" a="1"/>
  <c r="E25" i="4" s="1"/>
  <c r="C6" i="12" l="1" a="1"/>
  <c r="C6" i="12" s="1"/>
  <c r="C7" i="12" s="1" a="1"/>
  <c r="D25" i="4"/>
  <c r="E27" i="4" a="1"/>
  <c r="C7" i="12" l="1"/>
  <c r="C9" i="12" s="1" a="1"/>
  <c r="C9" i="12" s="1"/>
  <c r="C15" i="12" s="1" a="1"/>
  <c r="C15" i="12" s="1"/>
  <c r="E28" i="12"/>
  <c r="F28" i="12"/>
  <c r="G28" i="12"/>
  <c r="H28" i="12"/>
  <c r="I28" i="12"/>
  <c r="J28" i="12"/>
  <c r="K28" i="12"/>
  <c r="L28" i="12"/>
  <c r="M28" i="12"/>
  <c r="E27" i="4"/>
  <c r="D27" i="4" s="1"/>
  <c r="F35" i="4"/>
  <c r="G35" i="4"/>
  <c r="H35" i="4"/>
  <c r="I35" i="4"/>
  <c r="J35" i="4"/>
  <c r="K35" i="4"/>
  <c r="L35" i="4"/>
  <c r="M35" i="4"/>
  <c r="N35" i="4"/>
  <c r="O35" i="4"/>
  <c r="C12" i="12" l="1" a="1"/>
  <c r="C12" i="12" s="1"/>
  <c r="E35" i="4"/>
  <c r="C16" i="12" a="1"/>
  <c r="C16" i="12" s="1"/>
  <c r="C17" i="12" s="1"/>
  <c r="C18" i="12" l="1" a="1"/>
  <c r="C18" i="12" s="1"/>
  <c r="D53" i="12" a="1"/>
  <c r="E51" i="12" s="1"/>
  <c r="C13" i="12" a="1"/>
  <c r="C13" i="12" s="1"/>
  <c r="L17" i="12"/>
  <c r="J17" i="12"/>
  <c r="M17" i="12"/>
  <c r="K17" i="12"/>
  <c r="I17" i="12"/>
  <c r="H17" i="12"/>
  <c r="G17" i="12"/>
  <c r="F17" i="12"/>
  <c r="E17" i="12"/>
  <c r="D17" i="12"/>
  <c r="K21" i="12" l="1"/>
  <c r="J21" i="12"/>
  <c r="I21" i="12"/>
  <c r="L21" i="12"/>
  <c r="H21" i="12"/>
  <c r="G21" i="12"/>
  <c r="J51" i="12"/>
  <c r="M51" i="12"/>
  <c r="D21" i="12"/>
  <c r="L51" i="12"/>
  <c r="E21" i="12"/>
  <c r="F51" i="12"/>
  <c r="D53" i="12"/>
  <c r="G51" i="12"/>
  <c r="K51" i="12"/>
  <c r="I51" i="12"/>
  <c r="F21" i="12"/>
  <c r="H51" i="12"/>
  <c r="C21" i="12" l="1"/>
  <c r="D51" i="12"/>
  <c r="C20" i="12" s="1" a="1"/>
  <c r="C20" i="12" s="1"/>
  <c r="C23" i="12" s="1"/>
  <c r="D67" i="12" l="1" a="1"/>
  <c r="C24" i="12"/>
  <c r="L23" i="12"/>
  <c r="L24" i="12" s="1"/>
  <c r="K23" i="12"/>
  <c r="K24" i="12" s="1"/>
  <c r="D23" i="12"/>
  <c r="D24" i="12" s="1"/>
  <c r="G23" i="12"/>
  <c r="G24" i="12" s="1"/>
  <c r="H23" i="12"/>
  <c r="H24" i="12" s="1"/>
  <c r="I23" i="12"/>
  <c r="I24" i="12" s="1"/>
  <c r="E23" i="12"/>
  <c r="E24" i="12" s="1"/>
  <c r="F23" i="12"/>
  <c r="F24" i="12" s="1"/>
  <c r="J23" i="12"/>
  <c r="J24" i="12" s="1"/>
  <c r="D67" i="12" l="1"/>
  <c r="D65" i="12" s="1"/>
  <c r="E65" i="12"/>
  <c r="F65" i="12"/>
  <c r="L65" i="12"/>
  <c r="G65" i="12"/>
  <c r="K65" i="12"/>
  <c r="M65" i="12"/>
  <c r="H65" i="12"/>
  <c r="I65" i="12"/>
  <c r="J6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tc={E472443D-E064-47C0-B72C-8424D941B23F}</author>
    <author>tc={396CDB27-2539-4A7E-99D3-5D6F5E3173CC}</author>
  </authors>
  <commentList>
    <comment ref="G2" authorId="0" shapeId="0" xr:uid="{E472443D-E064-47C0-B72C-8424D941B23F}">
      <text>
        <t>[Threaded comment]
Your version of Excel allows you to read this threaded comment; however, any edits to it will get removed if the file is opened in a newer version of Excel. Learn more: https://go.microsoft.com/fwlink/?linkid=870924
Comment:
    Purple text indicates the value was manually input and not derived from another cell.</t>
      </text>
    </comment>
    <comment ref="F26" authorId="1" shapeId="0" xr:uid="{396CDB27-2539-4A7E-99D3-5D6F5E3173CC}">
      <text>
        <t>[Threaded comment]
Your version of Excel allows you to read this threaded comment; however, any edits to it will get removed if the file is opened in a newer version of Excel. Learn more: https://go.microsoft.com/fwlink/?linkid=870924
Comment:
    “Payment In Kind” because you’re going to be renovating the building and not maximizing profits for 2 years.
Reply:
    Same as Student Loans-backed by the federal government.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<sst xmlns="http://schemas.openxmlformats.org/spreadsheetml/2006/main" count="197" uniqueCount="144">
  <si>
    <t>Property Summary</t>
  </si>
  <si>
    <t>Property Name</t>
  </si>
  <si>
    <t>Flashewoode Heights</t>
  </si>
  <si>
    <t>City, State</t>
  </si>
  <si>
    <t>Kent, OH</t>
  </si>
  <si>
    <t>Current Occupancy</t>
  </si>
  <si>
    <t>Analysis Start</t>
  </si>
  <si>
    <t>Analaysis Period</t>
  </si>
  <si>
    <t>Terminal Cap Year</t>
  </si>
  <si>
    <t>Terminal Cap Growth/Year</t>
  </si>
  <si>
    <t>Market Cap Rate</t>
  </si>
  <si>
    <t>Discount Rate</t>
  </si>
  <si>
    <t>Replacement Cost</t>
  </si>
  <si>
    <t>Set Purchase Price</t>
  </si>
  <si>
    <t>Property Metrics</t>
  </si>
  <si>
    <t>Purchase Price</t>
  </si>
  <si>
    <t>Unlevered IRR</t>
  </si>
  <si>
    <t>Unlevered Equity Multiple</t>
  </si>
  <si>
    <t>Average Free and Clear Returns</t>
  </si>
  <si>
    <t>Levered IRR</t>
  </si>
  <si>
    <t>Levered Equity Multiple</t>
  </si>
  <si>
    <t>Averae Cash on Cash Returns</t>
  </si>
  <si>
    <t>Minimum DSCR (NOI)</t>
  </si>
  <si>
    <t>Minimum Debt Yield (NOI)</t>
  </si>
  <si>
    <t>Upfront CapEx</t>
  </si>
  <si>
    <t>Acquisition Costs</t>
  </si>
  <si>
    <t>Apartments</t>
  </si>
  <si>
    <t>All-In Basis</t>
  </si>
  <si>
    <t>Going-In Cap Rate</t>
  </si>
  <si>
    <t>Price/Unit</t>
  </si>
  <si>
    <t>Year 1 Net Operating Income (aka NOI)</t>
  </si>
  <si>
    <t>Year 3 NOI</t>
  </si>
  <si>
    <t>Terminal Cap Rate</t>
  </si>
  <si>
    <t>Terminal Value</t>
  </si>
  <si>
    <t>Other Income/Year</t>
  </si>
  <si>
    <t>General Vacancy</t>
  </si>
  <si>
    <t>Financing Assumptions</t>
  </si>
  <si>
    <t>Loan Amount</t>
  </si>
  <si>
    <t>Loan To Value (LTV)</t>
  </si>
  <si>
    <t>Loan to Cost (LTC)</t>
  </si>
  <si>
    <t>Lender Fee %</t>
  </si>
  <si>
    <t>Lender Fees</t>
  </si>
  <si>
    <t>Initial Equity Required</t>
  </si>
  <si>
    <t>Total Equity Required</t>
  </si>
  <si>
    <t>Interest Rate</t>
  </si>
  <si>
    <t>Amortization Period</t>
  </si>
  <si>
    <t>Term</t>
  </si>
  <si>
    <t>Years Interest-Only (PIK)</t>
  </si>
  <si>
    <t>tbd</t>
  </si>
  <si>
    <t>Inflation Assumptions</t>
  </si>
  <si>
    <t>Rent</t>
  </si>
  <si>
    <t>Other Income</t>
  </si>
  <si>
    <t>Operating Expenses</t>
  </si>
  <si>
    <t>CapEx</t>
  </si>
  <si>
    <t>Re-Leasing Costs</t>
  </si>
  <si>
    <t>Multifamily Rent Roll</t>
  </si>
  <si>
    <t>Residential Units</t>
  </si>
  <si>
    <t>Unit Name</t>
  </si>
  <si>
    <t>Studio</t>
  </si>
  <si>
    <t>1bd/1ba</t>
  </si>
  <si>
    <t>2bd/2ba</t>
  </si>
  <si>
    <t>2bd/1.5ba</t>
  </si>
  <si>
    <t>3bd/2ba</t>
  </si>
  <si>
    <t># of Units</t>
  </si>
  <si>
    <t>Bedrooms</t>
  </si>
  <si>
    <t>Baths</t>
  </si>
  <si>
    <t>Rentable Area</t>
  </si>
  <si>
    <t>In-Place Rent/Mo</t>
  </si>
  <si>
    <t>Months to roll to market</t>
  </si>
  <si>
    <t>Market Rent/Mo</t>
  </si>
  <si>
    <t>Lease Term</t>
  </si>
  <si>
    <t>CapEx/Unit</t>
  </si>
  <si>
    <t>Vacancy Between Leases</t>
  </si>
  <si>
    <t>Renewal Probability</t>
  </si>
  <si>
    <t>Days Vacant</t>
  </si>
  <si>
    <t>Blended Releasing Cost</t>
  </si>
  <si>
    <t>Operating Expense Assumptions (aka OpEx)</t>
  </si>
  <si>
    <t>Growth Rate</t>
  </si>
  <si>
    <t>Expense</t>
  </si>
  <si>
    <t>Marketing</t>
  </si>
  <si>
    <t>Administrative</t>
  </si>
  <si>
    <t>Utilities</t>
  </si>
  <si>
    <t>Payroll</t>
  </si>
  <si>
    <t>Repair &amp; Maintenance</t>
  </si>
  <si>
    <t>Management (% of Est. Gross Revenue)</t>
  </si>
  <si>
    <t>Insurance</t>
  </si>
  <si>
    <t>Taxes</t>
  </si>
  <si>
    <t>Total Operating Expenses</t>
  </si>
  <si>
    <t>Initial Year</t>
  </si>
  <si>
    <t>Property Renovation / Improvement Costs</t>
  </si>
  <si>
    <t>Total Value Add Costs</t>
  </si>
  <si>
    <t>Multifamily Annual Cash Flow</t>
  </si>
  <si>
    <t>Ratios</t>
  </si>
  <si>
    <t>Multifamily Rent Forecast</t>
  </si>
  <si>
    <t>Rent Forecast</t>
  </si>
  <si>
    <t>Month</t>
  </si>
  <si>
    <t>Year</t>
  </si>
  <si>
    <t>Total</t>
  </si>
  <si>
    <t>Date</t>
  </si>
  <si>
    <t>Potential Gross Income (PGI)</t>
  </si>
  <si>
    <t>Base Rent</t>
  </si>
  <si>
    <t>Total PGI</t>
  </si>
  <si>
    <t>Leasing Costs</t>
  </si>
  <si>
    <t>Rent Abatement</t>
  </si>
  <si>
    <t>Vacancy</t>
  </si>
  <si>
    <t>Total Leasing Costs</t>
  </si>
  <si>
    <t>Free Rent Forecast</t>
  </si>
  <si>
    <t>CAPEX Forecast</t>
  </si>
  <si>
    <t>Vacancy Forecast</t>
  </si>
  <si>
    <t>ReLeasing Forecast</t>
  </si>
  <si>
    <t>Free Rent Per New Lease</t>
  </si>
  <si>
    <t>Estimated Gross Revenue</t>
  </si>
  <si>
    <t>Operating Expenses (aka OpEx)</t>
  </si>
  <si>
    <t>Total OpEx</t>
  </si>
  <si>
    <t>Net Operating Income</t>
  </si>
  <si>
    <t>Capital Expenditures</t>
  </si>
  <si>
    <t>Value Add Costs</t>
  </si>
  <si>
    <t>Total CapEx</t>
  </si>
  <si>
    <t>Misc CapEx</t>
  </si>
  <si>
    <t>Net Cash Flow From Operations</t>
  </si>
  <si>
    <t>Property Returns Analysis</t>
  </si>
  <si>
    <t>Less: Operating Expenses (OpEx)</t>
  </si>
  <si>
    <t>Less: Capital Expenditures (CapEx)</t>
  </si>
  <si>
    <t>Cash From Operations</t>
  </si>
  <si>
    <t>Cap Rate @ Forecast Year End</t>
  </si>
  <si>
    <t>Net Sales Price @ Forecast Year End</t>
  </si>
  <si>
    <t>Net Sales Price / Unit</t>
  </si>
  <si>
    <t>Free and Clear Returns</t>
  </si>
  <si>
    <t>Unlevered Cash Flow With Residual</t>
  </si>
  <si>
    <t>Rolling Average Free and Clear Returns</t>
  </si>
  <si>
    <t>Forecast IRR</t>
  </si>
  <si>
    <t xml:space="preserve">Unlevered </t>
  </si>
  <si>
    <t>Analysis Period</t>
  </si>
  <si>
    <t>Levered</t>
  </si>
  <si>
    <t>Portion of IRR From Income</t>
  </si>
  <si>
    <t>Portion of IRR From Sale</t>
  </si>
  <si>
    <t>Leverage Analysis</t>
  </si>
  <si>
    <t>Debt Service</t>
  </si>
  <si>
    <t>Permanent Financing</t>
  </si>
  <si>
    <t>Interest Expense</t>
  </si>
  <si>
    <t>Loan Balance</t>
  </si>
  <si>
    <t>Initial</t>
  </si>
  <si>
    <t>Debt Service Coverage Ratio</t>
  </si>
  <si>
    <t>Debt Yield (Net Op Income)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</si>
</sst>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\ &quot;years&quot;"/>
    <numFmt numFmtId="165" formatCode="&quot;Year&quot;\ 0"/>
    <numFmt numFmtId="166" formatCode="0&quot;bps&quot;"/>
    <numFmt numFmtId="167" formatCode="_(&quot;$&quot;* #,##0_);_(&quot;$&quot;* \(#,##0\);_(&quot;$&quot;* &quot;-&quot;??_);_(@_)"/>
    <numFmt numFmtId="168" formatCode="&quot;$&quot;#,##0&quot;/unit&quot;"/>
    <numFmt numFmtId="169" formatCode="0&quot; Units&quot;"/>
    <numFmt numFmtId="170" formatCode="0.0%"/>
    <numFmt numFmtId="171" formatCode="#,##0&quot;sf&quot;"/>
    <numFmt numFmtId="172" formatCode="&quot;Month &quot;0"/>
    <numFmt numFmtId="173" formatCode="0&quot; Mos&quot;"/>
    <numFmt numFmtId="174" formatCode="&quot;$&quot;0&quot;/mo&quot;"/>
    <numFmt numFmtId="175" formatCode="0&quot; Days&quot;"/>
    <numFmt numFmtId="176" formatCode="&quot;$&quot;0&quot;/unit&quot;"/>
    <numFmt numFmtId="177" formatCode="&quot;Year &quot;0"/>
    <numFmt numFmtId="178" formatCode="_(* #,##0_);_(* \(#,##0\);_(* &quot;-&quot;??_);_(@_)"/>
    <numFmt numFmtId="179" formatCode="_(* #,##0.0000_);_(* \(#,##0.0000\);_(* &quot;-&quot;??_);_(@_)"/>
    <numFmt numFmtId="180" formatCode="0.0%&quot; of PGI&quot;"/>
    <numFmt numFmtId="181" formatCode="0.0%&quot; of EGR&quot;"/>
    <numFmt numFmtId="182" formatCode="_([$$-409]* #,##0_);_([$$-409]* \(#,##0\);_([$$-409]* &quot;-&quot;??_);_(@_)"/>
    <numFmt numFmtId="183" formatCode="0.0&quot;x&quot;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Serif"/>
      <family val="1"/>
    </font>
    <font>
      <sz val="11"/>
      <color rgb="FF7030A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177" fontId="1" fillId="3" borderId="0"/>
    <xf numFmtId="180" fontId="1" fillId="0" borderId="0"/>
    <xf numFmtId="0" fontId="6" fillId="6" borderId="0" applyNumberFormat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left" indent="1"/>
    </xf>
    <xf numFmtId="167" fontId="0" fillId="0" borderId="0" xfId="1" applyNumberFormat="1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 applyAlignment="1">
      <alignment horizontal="left"/>
    </xf>
    <xf numFmtId="0" fontId="3" fillId="0" borderId="0" xfId="0" applyFont="1"/>
    <xf numFmtId="9" fontId="3" fillId="0" borderId="0" xfId="0" applyNumberFormat="1" applyFont="1"/>
    <xf numFmtId="14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0" fontId="3" fillId="0" borderId="0" xfId="0" applyNumberFormat="1" applyFont="1"/>
    <xf numFmtId="168" fontId="3" fillId="0" borderId="0" xfId="1" applyNumberFormat="1" applyFont="1"/>
    <xf numFmtId="167" fontId="3" fillId="0" borderId="0" xfId="1" applyNumberFormat="1" applyFont="1"/>
    <xf numFmtId="169" fontId="3" fillId="0" borderId="0" xfId="0" applyNumberFormat="1" applyFont="1"/>
    <xf numFmtId="9" fontId="0" fillId="0" borderId="0" xfId="2" applyFont="1"/>
    <xf numFmtId="0" fontId="0" fillId="0" borderId="0" xfId="0" applyAlignment="1">
      <alignment horizontal="left"/>
    </xf>
    <xf numFmtId="0" fontId="0" fillId="2" borderId="4" xfId="0" applyFill="1" applyBorder="1"/>
    <xf numFmtId="170" fontId="3" fillId="0" borderId="0" xfId="0" applyNumberFormat="1" applyFont="1"/>
    <xf numFmtId="0" fontId="0" fillId="0" borderId="0" xfId="0" applyAlignment="1">
      <alignment horizontal="right" wrapText="1"/>
    </xf>
    <xf numFmtId="171" fontId="3" fillId="0" borderId="0" xfId="0" applyNumberFormat="1" applyFont="1"/>
    <xf numFmtId="172" fontId="3" fillId="0" borderId="0" xfId="0" applyNumberFormat="1" applyFont="1"/>
    <xf numFmtId="0" fontId="5" fillId="0" borderId="0" xfId="0" applyFont="1" applyAlignment="1">
      <alignment horizontal="right" wrapText="1"/>
    </xf>
    <xf numFmtId="173" fontId="3" fillId="0" borderId="0" xfId="0" applyNumberFormat="1" applyFont="1" applyAlignment="1">
      <alignment horizontal="right"/>
    </xf>
    <xf numFmtId="174" fontId="3" fillId="0" borderId="0" xfId="0" applyNumberFormat="1" applyFont="1"/>
    <xf numFmtId="175" fontId="3" fillId="0" borderId="0" xfId="0" applyNumberFormat="1" applyFont="1"/>
    <xf numFmtId="176" fontId="3" fillId="0" borderId="0" xfId="0" applyNumberFormat="1" applyFont="1"/>
    <xf numFmtId="170" fontId="0" fillId="0" borderId="0" xfId="0" applyNumberFormat="1"/>
    <xf numFmtId="178" fontId="0" fillId="0" borderId="0" xfId="4" applyNumberFormat="1" applyFont="1"/>
    <xf numFmtId="178" fontId="0" fillId="0" borderId="5" xfId="0" applyNumberFormat="1" applyBorder="1"/>
    <xf numFmtId="178" fontId="3" fillId="0" borderId="0" xfId="4" applyNumberFormat="1" applyFont="1"/>
    <xf numFmtId="178" fontId="0" fillId="0" borderId="5" xfId="4" applyNumberFormat="1" applyFont="1" applyBorder="1"/>
    <xf numFmtId="179" fontId="0" fillId="0" borderId="5" xfId="4" applyNumberFormat="1" applyFont="1" applyBorder="1"/>
    <xf numFmtId="0" fontId="2" fillId="0" borderId="0" xfId="3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77" fontId="1" fillId="2" borderId="0" xfId="5" applyFill="1"/>
    <xf numFmtId="14" fontId="0" fillId="0" borderId="0" xfId="0" applyNumberFormat="1"/>
    <xf numFmtId="0" fontId="0" fillId="2" borderId="4" xfId="0" applyFill="1" applyBorder="1" applyAlignment="1">
      <alignment horizontal="left"/>
    </xf>
    <xf numFmtId="178" fontId="0" fillId="0" borderId="0" xfId="4" quotePrefix="1" applyNumberFormat="1" applyFont="1"/>
    <xf numFmtId="0" fontId="0" fillId="2" borderId="0" xfId="0" applyFill="1"/>
    <xf numFmtId="180" fontId="0" fillId="0" borderId="0" xfId="0" applyNumberFormat="1"/>
    <xf numFmtId="0" fontId="4" fillId="4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1" fontId="3" fillId="0" borderId="0" xfId="4" applyNumberFormat="1" applyFont="1"/>
    <xf numFmtId="178" fontId="0" fillId="0" borderId="0" xfId="0" applyNumberFormat="1"/>
    <xf numFmtId="181" fontId="0" fillId="0" borderId="0" xfId="0" applyNumberFormat="1"/>
    <xf numFmtId="167" fontId="0" fillId="0" borderId="6" xfId="1" applyNumberFormat="1" applyFont="1" applyBorder="1"/>
    <xf numFmtId="177" fontId="1" fillId="3" borderId="0" xfId="5"/>
    <xf numFmtId="14" fontId="0" fillId="5" borderId="0" xfId="0" applyNumberFormat="1" applyFill="1"/>
    <xf numFmtId="182" fontId="0" fillId="0" borderId="0" xfId="1" applyNumberFormat="1" applyFont="1"/>
    <xf numFmtId="0" fontId="0" fillId="0" borderId="0" xfId="0" applyAlignment="1">
      <alignment horizontal="left" indent="2"/>
    </xf>
    <xf numFmtId="170" fontId="0" fillId="0" borderId="0" xfId="2" applyNumberFormat="1" applyFont="1"/>
    <xf numFmtId="1" fontId="0" fillId="0" borderId="0" xfId="4" applyNumberFormat="1" applyFont="1"/>
    <xf numFmtId="1" fontId="0" fillId="0" borderId="0" xfId="0" applyNumberFormat="1"/>
    <xf numFmtId="178" fontId="0" fillId="0" borderId="0" xfId="4" applyNumberFormat="1" applyFont="1" applyAlignment="1">
      <alignment horizontal="right"/>
    </xf>
    <xf numFmtId="0" fontId="4" fillId="0" borderId="0" xfId="0" applyFont="1"/>
    <xf numFmtId="183" fontId="0" fillId="0" borderId="0" xfId="2" applyNumberFormat="1" applyFont="1"/>
    <xf numFmtId="0" fontId="7" fillId="6" borderId="0" xfId="7" applyFont="1" applyAlignment="1">
      <alignment horizontal="right"/>
    </xf>
  </cellXfs>
  <cellStyles count="8">
    <cellStyle name="% PGI" xfId="6" xr:uid="{FC8B7551-C7C4-4537-A237-2E1014857F93}"/>
    <cellStyle name="Comma" xfId="4" builtinId="3"/>
    <cellStyle name="Currency" xfId="1" builtinId="4"/>
    <cellStyle name="Good" xfId="7" builtinId="26"/>
    <cellStyle name="Normal" xfId="0" builtinId="0"/>
    <cellStyle name="Percent" xfId="2" builtinId="5"/>
    <cellStyle name="title2" xfId="3" xr:uid="{DAB843C4-7175-4629-B258-355367673B04}"/>
    <cellStyle name="Year" xfId="5" xr:uid="{BF21B0A0-AD08-416E-87B0-A64BB3600A28}"/>
  </cellStyles>
  <dxfs count="0"/>
  <tableStyles count="0" defaultTableStyle="TableStyleMedium2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rtner, Caleb" id="{19440B6A-8078-419B-B48B-38962BD04D44}" userId="S::cgartne2@kent.edu::1c44d753-0b14-4800-beb9-e5fd3956275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5-04-09T19:57:32.23" personId="{19440B6A-8078-419B-B48B-38962BD04D44}" id="{E472443D-E064-47C0-B72C-8424D941B23F}">
    <text>Purple text indicates the value was manually input and not derived from another cell.</text>
  </threadedComment>
  <threadedComment ref="F26" dT="2025-04-09T20:14:49.46" personId="{19440B6A-8078-419B-B48B-38962BD04D44}" id="{396CDB27-2539-4A7E-99D3-5D6F5E3173CC}">
    <text>“Payment In Kind” because you’re going to be renovating the building and not maximizing profits for 2 years.</text>
  </threadedComment>
  <threadedComment ref="F26" dT="2025-04-09T20:16:27.13" personId="{19440B6A-8078-419B-B48B-38962BD04D44}" id="{14927E87-A169-4B08-BBBF-0956E45A3BAF}" parentId="{396CDB27-2539-4A7E-99D3-5D6F5E3173CC}">
    <text>Same as Student Loans-backed by the federal government.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4BFE1-60CC-4A5A-8A2C-0EE4FD8CCA3E}">
  <sheetPr>
    <tabColor theme="1"/>
  </sheetPr>
  <dimension ref="B1:J29"/>
  <sheetViews>
    <sheetView zoomScale="120" zoomScaleNormal="120" workbookViewId="0">
      <selection activeCell="L9" sqref="L9"/>
    </sheetView>
  </sheetViews>
  <sheetFormatPr defaultRowHeight="15" x14ac:dyDescent="0.25"/>
  <cols>
    <col min="1" max="1" width="0.7109375" customWidth="1"/>
    <col min="2" max="2" width="25.5703125" customWidth="1"/>
    <col min="3" max="3" width="1.85546875" customWidth="1"/>
    <col min="4" max="4" width="18.5703125" bestFit="1" customWidth="1"/>
    <col min="5" max="5" width="0.7109375" customWidth="1"/>
    <col min="6" max="6" width="31.42578125" customWidth="1"/>
    <col min="7" max="7" width="13.7109375" customWidth="1"/>
    <col min="8" max="8" width="0.85546875" customWidth="1"/>
    <col min="9" max="9" width="16" customWidth="1"/>
  </cols>
  <sheetData>
    <row r="1" spans="2:10" ht="3.75" customHeight="1" thickBot="1" x14ac:dyDescent="0.3"/>
    <row r="2" spans="2:10" ht="15.75" thickBot="1" x14ac:dyDescent="0.3">
      <c r="B2" s="3" t="s">
        <v>0</v>
      </c>
      <c r="C2" s="4"/>
      <c r="D2" s="4"/>
      <c r="E2" s="4"/>
      <c r="F2" s="4"/>
      <c r="G2" s="5"/>
    </row>
    <row r="3" spans="2:10" x14ac:dyDescent="0.25">
      <c r="B3" s="1" t="s">
        <v>1</v>
      </c>
      <c r="D3" s="7" t="s">
        <v>2</v>
      </c>
      <c r="E3" s="7"/>
      <c r="F3" s="1" t="s">
        <v>26</v>
      </c>
      <c r="G3" s="16">
        <v>124</v>
      </c>
    </row>
    <row r="4" spans="2:10" x14ac:dyDescent="0.25">
      <c r="B4" s="1" t="s">
        <v>3</v>
      </c>
      <c r="D4" s="7" t="s">
        <v>4</v>
      </c>
      <c r="E4" s="7"/>
      <c r="F4" s="1" t="s">
        <v>24</v>
      </c>
      <c r="G4" s="15">
        <v>250000</v>
      </c>
    </row>
    <row r="5" spans="2:10" x14ac:dyDescent="0.25">
      <c r="B5" s="1" t="s">
        <v>5</v>
      </c>
      <c r="D5" s="8">
        <v>0.93</v>
      </c>
      <c r="E5" s="8"/>
      <c r="F5" s="1" t="s">
        <v>25</v>
      </c>
      <c r="G5" s="8">
        <v>0.01</v>
      </c>
      <c r="H5" s="8"/>
    </row>
    <row r="6" spans="2:10" x14ac:dyDescent="0.25">
      <c r="B6" s="1" t="s">
        <v>6</v>
      </c>
      <c r="D6" s="9">
        <v>45809</v>
      </c>
      <c r="E6" s="9"/>
      <c r="F6" s="1" t="s">
        <v>27</v>
      </c>
      <c r="G6" s="2">
        <f>(Purchase.Price*(1+Acq.Costs.PCT))+Upfront.CAPEX+Lender.Fee.AMT</f>
        <v>7619625</v>
      </c>
    </row>
    <row r="7" spans="2:10" x14ac:dyDescent="0.25">
      <c r="B7" s="1" t="s">
        <v>7</v>
      </c>
      <c r="D7" s="10">
        <v>10</v>
      </c>
      <c r="E7" s="10"/>
      <c r="F7" s="1" t="s">
        <v>28</v>
      </c>
      <c r="G7" t="s">
        <v>48</v>
      </c>
    </row>
    <row r="8" spans="2:10" x14ac:dyDescent="0.25">
      <c r="B8" s="1" t="s">
        <v>8</v>
      </c>
      <c r="D8" s="11">
        <v>11</v>
      </c>
      <c r="E8" s="11"/>
      <c r="F8" s="1" t="s">
        <v>29</v>
      </c>
      <c r="G8" s="2">
        <f>Basis/Num.Apartments</f>
        <v>61448.588709677417</v>
      </c>
    </row>
    <row r="9" spans="2:10" x14ac:dyDescent="0.25">
      <c r="B9" s="1" t="s">
        <v>9</v>
      </c>
      <c r="D9" s="12">
        <v>10</v>
      </c>
      <c r="E9" s="12"/>
      <c r="F9" s="1" t="s">
        <v>30</v>
      </c>
      <c r="G9" t="s">
        <v>48</v>
      </c>
    </row>
    <row r="10" spans="2:10" x14ac:dyDescent="0.25">
      <c r="B10" s="1" t="s">
        <v>10</v>
      </c>
      <c r="D10" s="13">
        <v>6.5000000000000002E-2</v>
      </c>
      <c r="E10" s="13"/>
      <c r="F10" s="1" t="s">
        <v>31</v>
      </c>
      <c r="G10" t="s">
        <v>48</v>
      </c>
    </row>
    <row r="11" spans="2:10" x14ac:dyDescent="0.25">
      <c r="B11" s="1" t="s">
        <v>11</v>
      </c>
      <c r="D11" s="13">
        <v>7.4999999999999997E-2</v>
      </c>
      <c r="E11" s="13"/>
      <c r="F11" s="1" t="s">
        <v>32</v>
      </c>
      <c r="G11" t="s">
        <v>48</v>
      </c>
    </row>
    <row r="12" spans="2:10" x14ac:dyDescent="0.25">
      <c r="B12" s="1" t="s">
        <v>12</v>
      </c>
      <c r="D12" s="14">
        <v>60000</v>
      </c>
      <c r="E12" s="14"/>
      <c r="F12" s="1" t="s">
        <v>33</v>
      </c>
      <c r="G12" t="s">
        <v>48</v>
      </c>
    </row>
    <row r="13" spans="2:10" x14ac:dyDescent="0.25">
      <c r="B13" s="1" t="s">
        <v>13</v>
      </c>
      <c r="D13" s="15">
        <v>7250000</v>
      </c>
      <c r="E13" s="15"/>
      <c r="F13" s="1" t="s">
        <v>34</v>
      </c>
      <c r="G13" s="15">
        <v>50000</v>
      </c>
    </row>
    <row r="14" spans="2:10" x14ac:dyDescent="0.25">
      <c r="B14" s="1"/>
      <c r="D14" s="2"/>
      <c r="E14" s="2"/>
      <c r="F14" s="1" t="s">
        <v>35</v>
      </c>
      <c r="G14" s="8">
        <v>0.08</v>
      </c>
    </row>
    <row r="15" spans="2:10" ht="15.75" thickBot="1" x14ac:dyDescent="0.3"/>
    <row r="16" spans="2:10" ht="15.75" thickBot="1" x14ac:dyDescent="0.3">
      <c r="B16" s="6" t="s">
        <v>14</v>
      </c>
      <c r="C16" s="4"/>
      <c r="D16" s="5"/>
      <c r="F16" s="6" t="s">
        <v>36</v>
      </c>
      <c r="G16" s="5"/>
      <c r="H16" s="18"/>
      <c r="I16" s="19" t="s">
        <v>49</v>
      </c>
      <c r="J16" s="40"/>
    </row>
    <row r="17" spans="2:10" x14ac:dyDescent="0.25">
      <c r="B17" s="1" t="s">
        <v>15</v>
      </c>
      <c r="D17" s="2">
        <f>+Purchase.Price</f>
        <v>7250000</v>
      </c>
      <c r="E17" s="2"/>
      <c r="F17" s="1" t="s">
        <v>37</v>
      </c>
      <c r="G17" s="15">
        <v>4712500</v>
      </c>
      <c r="I17" t="s">
        <v>50</v>
      </c>
      <c r="J17" s="20">
        <v>3.5000000000000003E-2</v>
      </c>
    </row>
    <row r="18" spans="2:10" x14ac:dyDescent="0.25">
      <c r="B18" s="1" t="s">
        <v>12</v>
      </c>
      <c r="D18" s="2">
        <f>+Unit.Replacement.Cost*Num.Apartments</f>
        <v>7440000</v>
      </c>
      <c r="E18" s="2"/>
      <c r="F18" s="1" t="s">
        <v>38</v>
      </c>
      <c r="G18" s="17">
        <f>G17/Purchase.Price</f>
        <v>0.65</v>
      </c>
      <c r="I18" t="s">
        <v>51</v>
      </c>
      <c r="J18" s="20">
        <v>0.01</v>
      </c>
    </row>
    <row r="19" spans="2:10" x14ac:dyDescent="0.25">
      <c r="F19" s="1" t="s">
        <v>39</v>
      </c>
      <c r="I19" t="s">
        <v>52</v>
      </c>
      <c r="J19" s="20">
        <v>2.5000000000000001E-2</v>
      </c>
    </row>
    <row r="20" spans="2:10" x14ac:dyDescent="0.25">
      <c r="B20" s="1" t="s">
        <v>16</v>
      </c>
      <c r="D20" t="s">
        <v>48</v>
      </c>
      <c r="F20" s="1" t="s">
        <v>40</v>
      </c>
      <c r="G20" s="8">
        <v>0.01</v>
      </c>
      <c r="I20" t="s">
        <v>53</v>
      </c>
      <c r="J20" s="20">
        <v>3.5000000000000003E-2</v>
      </c>
    </row>
    <row r="21" spans="2:10" x14ac:dyDescent="0.25">
      <c r="B21" s="1" t="s">
        <v>17</v>
      </c>
      <c r="D21" t="s">
        <v>48</v>
      </c>
      <c r="F21" s="1" t="s">
        <v>41</v>
      </c>
      <c r="G21" s="2">
        <f>Loan.Amount*Lender.Fee.PCT</f>
        <v>47125</v>
      </c>
      <c r="I21" t="s">
        <v>54</v>
      </c>
      <c r="J21" s="20">
        <v>0.02</v>
      </c>
    </row>
    <row r="22" spans="2:10" x14ac:dyDescent="0.25">
      <c r="B22" s="1" t="s">
        <v>18</v>
      </c>
      <c r="D22" t="s">
        <v>48</v>
      </c>
      <c r="F22" s="1" t="s">
        <v>42</v>
      </c>
      <c r="G22" s="2">
        <f>Basis-Loan.Amount</f>
        <v>2907125</v>
      </c>
    </row>
    <row r="23" spans="2:10" x14ac:dyDescent="0.25">
      <c r="B23" s="1"/>
      <c r="F23" s="1" t="s">
        <v>43</v>
      </c>
      <c r="G23" t="s">
        <v>48</v>
      </c>
    </row>
    <row r="24" spans="2:10" x14ac:dyDescent="0.25">
      <c r="B24" s="1" t="s">
        <v>19</v>
      </c>
      <c r="D24" t="s">
        <v>48</v>
      </c>
    </row>
    <row r="25" spans="2:10" x14ac:dyDescent="0.25">
      <c r="B25" s="1" t="s">
        <v>20</v>
      </c>
      <c r="D25" t="s">
        <v>48</v>
      </c>
      <c r="F25" s="1" t="s">
        <v>44</v>
      </c>
      <c r="G25" s="8">
        <v>7.0000000000000007E-2</v>
      </c>
    </row>
    <row r="26" spans="2:10" x14ac:dyDescent="0.25">
      <c r="B26" s="1" t="s">
        <v>21</v>
      </c>
      <c r="D26" t="s">
        <v>48</v>
      </c>
      <c r="F26" s="1" t="s">
        <v>47</v>
      </c>
      <c r="G26" s="10">
        <v>2</v>
      </c>
    </row>
    <row r="27" spans="2:10" x14ac:dyDescent="0.25">
      <c r="B27" s="1"/>
      <c r="F27" s="1" t="s">
        <v>45</v>
      </c>
      <c r="G27" s="10">
        <v>28</v>
      </c>
    </row>
    <row r="28" spans="2:10" x14ac:dyDescent="0.25">
      <c r="B28" s="1" t="s">
        <v>22</v>
      </c>
      <c r="D28" t="s">
        <v>48</v>
      </c>
      <c r="F28" s="1" t="s">
        <v>46</v>
      </c>
      <c r="G28" s="10">
        <v>30</v>
      </c>
    </row>
    <row r="29" spans="2:10" x14ac:dyDescent="0.25">
      <c r="B29" s="1" t="s">
        <v>23</v>
      </c>
      <c r="D29" t="s">
        <v>48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003E-6617-4760-A1BE-2B34C35145DD}">
  <sheetPr>
    <tabColor theme="5" tint="0.39997558519241921"/>
  </sheetPr>
  <dimension ref="B1:N180"/>
  <sheetViews>
    <sheetView showGridLines="0" tabSelected="1" zoomScale="120" zoomScaleNormal="120" workbookViewId="0">
      <selection activeCell="D47" sqref="D47"/>
    </sheetView>
  </sheetViews>
  <sheetFormatPr defaultRowHeight="15" x14ac:dyDescent="0.25"/>
  <cols>
    <col min="1" max="1" width="0.5703125" customWidth="1"/>
    <col min="2" max="2" width="26.140625" customWidth="1"/>
    <col min="3" max="13" width="12.42578125" customWidth="1"/>
    <col min="14" max="14" width="11.28515625" customWidth="1"/>
  </cols>
  <sheetData>
    <row r="1" spans="2:13" ht="3" customHeight="1" x14ac:dyDescent="0.25"/>
    <row r="2" spans="2:13" ht="26.25" x14ac:dyDescent="0.4">
      <c r="B2" s="35" t="s">
        <v>120</v>
      </c>
    </row>
    <row r="3" spans="2:13" x14ac:dyDescent="0.25">
      <c r="C3" s="51" cm="1">
        <f t="array" ref="C3:M3">+_xlfn.ANCHORARRAY(Timeline)</f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</row>
    <row r="4" spans="2:13" x14ac:dyDescent="0.25">
      <c r="C4" s="52" cm="1">
        <f t="array" ref="C4:M4">EOMONTH(Start.Date-1,(_xlfn.ANCHORARRAY(C3))*12)</f>
        <v>46173</v>
      </c>
      <c r="D4" s="52">
        <v>46538</v>
      </c>
      <c r="E4" s="52">
        <v>46904</v>
      </c>
      <c r="F4" s="52">
        <v>47269</v>
      </c>
      <c r="G4" s="52">
        <v>47634</v>
      </c>
      <c r="H4" s="52">
        <v>47999</v>
      </c>
      <c r="I4" s="52">
        <v>48365</v>
      </c>
      <c r="J4" s="52">
        <v>48730</v>
      </c>
      <c r="K4" s="52">
        <v>49095</v>
      </c>
      <c r="L4" s="52">
        <v>49460</v>
      </c>
      <c r="M4" s="52">
        <v>49826</v>
      </c>
    </row>
    <row r="5" spans="2:13" x14ac:dyDescent="0.25">
      <c r="B5" t="s">
        <v>111</v>
      </c>
      <c r="C5" s="53" cm="1">
        <f t="array" aca="1" ref="C5:M5" ca="1">+_xlfn.ANCHORARRAY(Estimated.Gross.Revenue)</f>
        <v>1100936</v>
      </c>
      <c r="D5" s="53">
        <f ca="1"/>
        <v>1236783.8799999999</v>
      </c>
      <c r="E5" s="53">
        <f ca="1"/>
        <v>1356245.5285999998</v>
      </c>
      <c r="F5" s="53">
        <f ca="1"/>
        <v>1402438.9971009991</v>
      </c>
      <c r="G5" s="53">
        <f ca="1"/>
        <v>1450236.4857495343</v>
      </c>
      <c r="H5" s="53">
        <f ca="1"/>
        <v>1499694.007738268</v>
      </c>
      <c r="I5" s="53">
        <f ca="1"/>
        <v>1550869.5354464827</v>
      </c>
      <c r="J5" s="53">
        <f ca="1"/>
        <v>1603823.0689988581</v>
      </c>
      <c r="K5" s="53">
        <f ca="1"/>
        <v>1658616.7072236843</v>
      </c>
      <c r="L5" s="53">
        <f ca="1"/>
        <v>1715314.7210944772</v>
      </c>
      <c r="M5" s="53">
        <f ca="1"/>
        <v>1773983.6297419288</v>
      </c>
    </row>
    <row r="6" spans="2:13" x14ac:dyDescent="0.25">
      <c r="B6" t="s">
        <v>121</v>
      </c>
      <c r="C6" s="30" cm="1">
        <f t="array" aca="1" ref="C6:M6" ca="1">-_xlfn.ANCHORARRAY(Operating.Expenses)</f>
        <v>-625128.08000000007</v>
      </c>
      <c r="D6" s="30">
        <f ca="1"/>
        <v>-644006.01639999996</v>
      </c>
      <c r="E6" s="30">
        <f ca="1"/>
        <v>-662762.428358</v>
      </c>
      <c r="F6" s="30">
        <f ca="1"/>
        <v>-679700.1089755299</v>
      </c>
      <c r="G6" s="30">
        <f ca="1"/>
        <v>-697074.7071115484</v>
      </c>
      <c r="H6" s="30">
        <f ca="1"/>
        <v>-714897.62308468693</v>
      </c>
      <c r="I6" s="30">
        <f ca="1"/>
        <v>-733180.55898724683</v>
      </c>
      <c r="J6" s="30">
        <f ca="1"/>
        <v>-751935.52681691444</v>
      </c>
      <c r="K6" s="30">
        <f ca="1"/>
        <v>-771174.85683233279</v>
      </c>
      <c r="L6" s="30">
        <f ca="1"/>
        <v>-790911.20613884705</v>
      </c>
      <c r="M6" s="30">
        <f ca="1"/>
        <v>-811157.56751092093</v>
      </c>
    </row>
    <row r="7" spans="2:13" x14ac:dyDescent="0.25">
      <c r="B7" s="54" t="s">
        <v>114</v>
      </c>
      <c r="C7" s="33" cm="1">
        <f t="array" aca="1" ref="C7:M7" ca="1">+_xlfn.ANCHORARRAY(C5)+_xlfn.ANCHORARRAY(C6)</f>
        <v>475807.91999999993</v>
      </c>
      <c r="D7" s="33">
        <f ca="1"/>
        <v>592777.86359999992</v>
      </c>
      <c r="E7" s="33">
        <f ca="1"/>
        <v>693483.10024199984</v>
      </c>
      <c r="F7" s="33">
        <f ca="1"/>
        <v>722738.88812546921</v>
      </c>
      <c r="G7" s="33">
        <f ca="1"/>
        <v>753161.77863798593</v>
      </c>
      <c r="H7" s="33">
        <f ca="1"/>
        <v>784796.38465358107</v>
      </c>
      <c r="I7" s="33">
        <f ca="1"/>
        <v>817688.97645923588</v>
      </c>
      <c r="J7" s="33">
        <f ca="1"/>
        <v>851887.54218194366</v>
      </c>
      <c r="K7" s="33">
        <f ca="1"/>
        <v>887441.8503913515</v>
      </c>
      <c r="L7" s="33">
        <f ca="1"/>
        <v>924403.51495563018</v>
      </c>
      <c r="M7" s="33">
        <f ca="1"/>
        <v>962826.06223100785</v>
      </c>
    </row>
    <row r="8" spans="2:13" x14ac:dyDescent="0.25">
      <c r="B8" t="s">
        <v>122</v>
      </c>
      <c r="C8" s="30" cm="1">
        <f t="array" ref="C8:M8">-Total.CapEx</f>
        <v>-451760</v>
      </c>
      <c r="D8" s="30">
        <v>-355073.2</v>
      </c>
      <c r="E8" s="30">
        <v>-108497.39399999994</v>
      </c>
      <c r="F8" s="30">
        <v>-112036.36742999998</v>
      </c>
      <c r="G8" s="30">
        <v>-115694.03622285</v>
      </c>
      <c r="H8" s="30">
        <v>-119474.45134210572</v>
      </c>
      <c r="I8" s="30">
        <v>-123381.80346756455</v>
      </c>
      <c r="J8" s="30">
        <v>-127420.42784398414</v>
      </c>
      <c r="K8" s="30">
        <v>-131594.80929867944</v>
      </c>
      <c r="L8" s="30">
        <v>-135909.58743389224</v>
      </c>
      <c r="M8" s="30">
        <v>-140369.56200003266</v>
      </c>
    </row>
    <row r="9" spans="2:13" x14ac:dyDescent="0.25">
      <c r="B9" s="54" t="s">
        <v>123</v>
      </c>
      <c r="C9" s="33" cm="1">
        <f t="array" aca="1" ref="C9:M9" ca="1">+_xlfn.ANCHORARRAY(C7)+_xlfn.ANCHORARRAY(C8)</f>
        <v>24047.919999999925</v>
      </c>
      <c r="D9" s="33">
        <f ca="1"/>
        <v>237704.66359999991</v>
      </c>
      <c r="E9" s="33">
        <f ca="1"/>
        <v>584985.70624199987</v>
      </c>
      <c r="F9" s="33">
        <f ca="1"/>
        <v>610702.52069546923</v>
      </c>
      <c r="G9" s="33">
        <f ca="1"/>
        <v>637467.74241513596</v>
      </c>
      <c r="H9" s="33">
        <f ca="1"/>
        <v>665321.93331147532</v>
      </c>
      <c r="I9" s="33">
        <f ca="1"/>
        <v>694307.17299167137</v>
      </c>
      <c r="J9" s="33">
        <f ca="1"/>
        <v>724467.11433795956</v>
      </c>
      <c r="K9" s="33">
        <f ca="1"/>
        <v>755847.04109267204</v>
      </c>
      <c r="L9" s="33">
        <f ca="1"/>
        <v>788493.92752173799</v>
      </c>
      <c r="M9" s="33">
        <f ca="1"/>
        <v>822456.50023097522</v>
      </c>
    </row>
    <row r="10" spans="2:13" x14ac:dyDescent="0.25"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spans="2:13" x14ac:dyDescent="0.25">
      <c r="B11" s="54" t="s">
        <v>124</v>
      </c>
      <c r="C11" s="55" cm="1">
        <f t="array" ref="C11:M11">Market.Cap.Rate+(Term.Cap.Growth.BPS/10000)*(_xlfn.ANCHORARRAY(C3))</f>
        <v>6.6000000000000003E-2</v>
      </c>
      <c r="D11" s="55">
        <v>6.7000000000000004E-2</v>
      </c>
      <c r="E11" s="55">
        <v>6.8000000000000005E-2</v>
      </c>
      <c r="F11" s="55">
        <v>6.9000000000000006E-2</v>
      </c>
      <c r="G11" s="55">
        <v>7.0000000000000007E-2</v>
      </c>
      <c r="H11" s="55">
        <v>7.1000000000000008E-2</v>
      </c>
      <c r="I11" s="55">
        <v>7.2000000000000008E-2</v>
      </c>
      <c r="J11" s="55">
        <v>7.3000000000000009E-2</v>
      </c>
      <c r="K11" s="55">
        <v>7.400000000000001E-2</v>
      </c>
      <c r="L11" s="55">
        <v>7.4999999999999997E-2</v>
      </c>
      <c r="M11" s="55">
        <v>7.5999999999999998E-2</v>
      </c>
    </row>
    <row r="12" spans="2:13" x14ac:dyDescent="0.25">
      <c r="B12" s="54" t="s">
        <v>125</v>
      </c>
      <c r="C12" s="30" cm="1">
        <f t="array" aca="1" ref="C12:M12" ca="1">+_xlfn.ANCHORARRAY(C7)/_xlfn.ANCHORARRAY(C11)</f>
        <v>7209210.9090909073</v>
      </c>
      <c r="D12" s="30">
        <f ca="1"/>
        <v>8847430.7999999989</v>
      </c>
      <c r="E12" s="30">
        <f ca="1"/>
        <v>10198280.885911761</v>
      </c>
      <c r="F12" s="30">
        <f ca="1"/>
        <v>10474476.639499553</v>
      </c>
      <c r="G12" s="30">
        <f ca="1"/>
        <v>10759453.980542656</v>
      </c>
      <c r="H12" s="30">
        <f ca="1"/>
        <v>11053470.206388464</v>
      </c>
      <c r="I12" s="30">
        <f ca="1"/>
        <v>11356791.339711608</v>
      </c>
      <c r="J12" s="30">
        <f ca="1"/>
        <v>11669692.35865676</v>
      </c>
      <c r="K12" s="30">
        <f ca="1"/>
        <v>11992457.437720964</v>
      </c>
      <c r="L12" s="30">
        <f ca="1"/>
        <v>12325380.199408403</v>
      </c>
      <c r="M12" s="30">
        <f ca="1"/>
        <v>12668763.976723788</v>
      </c>
    </row>
    <row r="13" spans="2:13" x14ac:dyDescent="0.25">
      <c r="B13" s="54" t="s">
        <v>126</v>
      </c>
      <c r="C13" s="2" cm="1">
        <f t="array" aca="1" ref="C13:M13" ca="1">_xlfn.ANCHORARRAY(C12)/Num.Apartments</f>
        <v>58138.797653958929</v>
      </c>
      <c r="D13" s="2">
        <f ca="1"/>
        <v>71350.24838709677</v>
      </c>
      <c r="E13" s="2">
        <f ca="1"/>
        <v>82244.200692836777</v>
      </c>
      <c r="F13" s="2">
        <f ca="1"/>
        <v>84471.58580241575</v>
      </c>
      <c r="G13" s="2">
        <f ca="1"/>
        <v>86769.790165666578</v>
      </c>
      <c r="H13" s="2">
        <f ca="1"/>
        <v>89140.88876119729</v>
      </c>
      <c r="I13" s="2">
        <f ca="1"/>
        <v>91587.026933158137</v>
      </c>
      <c r="J13" s="2">
        <f ca="1"/>
        <v>94110.422247231938</v>
      </c>
      <c r="K13" s="2">
        <f ca="1"/>
        <v>96713.366433233576</v>
      </c>
      <c r="L13" s="2">
        <f ca="1"/>
        <v>99398.227414583889</v>
      </c>
      <c r="M13" s="2">
        <f ca="1"/>
        <v>102167.45142519184</v>
      </c>
    </row>
    <row r="14" spans="2:13" x14ac:dyDescent="0.25"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</row>
    <row r="15" spans="2:13" x14ac:dyDescent="0.25">
      <c r="B15" t="s">
        <v>123</v>
      </c>
      <c r="C15" s="30" cm="1">
        <f t="array" aca="1" ref="C15:M15" ca="1">+_xlfn.ANCHORARRAY(C9)</f>
        <v>24047.919999999925</v>
      </c>
      <c r="D15" s="30">
        <f ca="1"/>
        <v>237704.66359999991</v>
      </c>
      <c r="E15" s="30">
        <f ca="1"/>
        <v>584985.70624199987</v>
      </c>
      <c r="F15" s="30">
        <f ca="1"/>
        <v>610702.52069546923</v>
      </c>
      <c r="G15" s="30">
        <f ca="1"/>
        <v>637467.74241513596</v>
      </c>
      <c r="H15" s="30">
        <f ca="1"/>
        <v>665321.93331147532</v>
      </c>
      <c r="I15" s="30">
        <f ca="1"/>
        <v>694307.17299167137</v>
      </c>
      <c r="J15" s="30">
        <f ca="1"/>
        <v>724467.11433795956</v>
      </c>
      <c r="K15" s="30">
        <f ca="1"/>
        <v>755847.04109267204</v>
      </c>
      <c r="L15" s="30">
        <f ca="1"/>
        <v>788493.92752173799</v>
      </c>
      <c r="M15" s="30">
        <f ca="1"/>
        <v>822456.50023097522</v>
      </c>
    </row>
    <row r="16" spans="2:13" x14ac:dyDescent="0.25">
      <c r="B16" s="54" t="s">
        <v>127</v>
      </c>
      <c r="C16" s="55" cm="1">
        <f t="array" aca="1" ref="C16:M16" ca="1">_xlfn.ANCHORARRAY(C15)/Purchase.Price</f>
        <v>3.3169544827586104E-3</v>
      </c>
      <c r="D16" s="55">
        <f ca="1"/>
        <v>3.2786850151724126E-2</v>
      </c>
      <c r="E16" s="55">
        <f ca="1"/>
        <v>8.0687683619586184E-2</v>
      </c>
      <c r="F16" s="55">
        <f ca="1"/>
        <v>8.4234830440754374E-2</v>
      </c>
      <c r="G16" s="55">
        <f ca="1"/>
        <v>8.7926585160708406E-2</v>
      </c>
      <c r="H16" s="55">
        <f ca="1"/>
        <v>9.1768542525720739E-2</v>
      </c>
      <c r="I16" s="55">
        <f ca="1"/>
        <v>9.5766506619540878E-2</v>
      </c>
      <c r="J16" s="55">
        <f ca="1"/>
        <v>9.9926498529373728E-2</v>
      </c>
      <c r="K16" s="55">
        <f ca="1"/>
        <v>0.10425476428864441</v>
      </c>
      <c r="L16" s="55">
        <f ca="1"/>
        <v>0.10875778310644663</v>
      </c>
      <c r="M16" s="55">
        <f ca="1"/>
        <v>0.11344227589392762</v>
      </c>
    </row>
    <row r="17" spans="2:13" x14ac:dyDescent="0.25">
      <c r="B17" s="54" t="s">
        <v>129</v>
      </c>
      <c r="C17" s="55">
        <f ca="1">AVERAGE($C16:C16)</f>
        <v>3.3169544827586104E-3</v>
      </c>
      <c r="D17" s="55">
        <f ca="1">AVERAGE($C16:D16)</f>
        <v>1.8051902317241367E-2</v>
      </c>
      <c r="E17" s="55">
        <f ca="1">AVERAGE($C16:E16)</f>
        <v>3.8930496084689639E-2</v>
      </c>
      <c r="F17" s="55">
        <f ca="1">AVERAGE($C16:F16)</f>
        <v>5.0256579673705823E-2</v>
      </c>
      <c r="G17" s="55">
        <f ca="1">AVERAGE($C16:G16)</f>
        <v>5.779058077110634E-2</v>
      </c>
      <c r="H17" s="55">
        <f ca="1">AVERAGE($C16:H16)</f>
        <v>6.3453574396875406E-2</v>
      </c>
      <c r="I17" s="55">
        <f ca="1">AVERAGE($C16:I16)</f>
        <v>6.8069707571541904E-2</v>
      </c>
      <c r="J17" s="55">
        <f ca="1">AVERAGE($C16:J16)</f>
        <v>7.2051806441270877E-2</v>
      </c>
      <c r="K17" s="55">
        <f ca="1">AVERAGE($C16:K16)</f>
        <v>7.5629912868756824E-2</v>
      </c>
      <c r="L17" s="55">
        <f ca="1">AVERAGE($C16:L16)</f>
        <v>7.8942699892525808E-2</v>
      </c>
      <c r="M17" s="55">
        <f ca="1">AVERAGE($C16:M16)</f>
        <v>8.2079024983562329E-2</v>
      </c>
    </row>
    <row r="18" spans="2:13" x14ac:dyDescent="0.25">
      <c r="B18" s="18" t="s">
        <v>128</v>
      </c>
      <c r="C18" s="30" cm="1">
        <f t="array" aca="1" ref="C18:M18" ca="1">+IF(_xlfn.ANCHORARRAY(C3)&lt;=Analysis.Period,_xlfn.ANCHORARRAY(C15),0)+IF(_xlfn.ANCHORARRAY(C3)=Analysis.Period,_xlfn.ANCHORARRAY(C12),0)</f>
        <v>24047.919999999925</v>
      </c>
      <c r="D18" s="30">
        <f ca="1"/>
        <v>237704.66359999991</v>
      </c>
      <c r="E18" s="30">
        <f ca="1"/>
        <v>584985.70624199987</v>
      </c>
      <c r="F18" s="30">
        <f ca="1"/>
        <v>610702.52069546923</v>
      </c>
      <c r="G18" s="30">
        <f ca="1"/>
        <v>637467.74241513596</v>
      </c>
      <c r="H18" s="30">
        <f ca="1"/>
        <v>665321.93331147532</v>
      </c>
      <c r="I18" s="30">
        <f ca="1"/>
        <v>694307.17299167137</v>
      </c>
      <c r="J18" s="30">
        <f ca="1"/>
        <v>724467.11433795956</v>
      </c>
      <c r="K18" s="30">
        <f ca="1"/>
        <v>755847.04109267204</v>
      </c>
      <c r="L18" s="30">
        <f ca="1"/>
        <v>13113874.12693014</v>
      </c>
      <c r="M18" s="30">
        <f ca="1"/>
        <v>0</v>
      </c>
    </row>
    <row r="19" spans="2:13" x14ac:dyDescent="0.25"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 spans="2:13" x14ac:dyDescent="0.25">
      <c r="B20" t="s">
        <v>16</v>
      </c>
      <c r="C20" s="55" cm="1">
        <f t="array" aca="1" ref="C20:M20" ca="1">IRR.Unlevered</f>
        <v>-2.3091270219438575E-3</v>
      </c>
      <c r="D20" s="55">
        <f ca="1"/>
        <v>0.12108908404874374</v>
      </c>
      <c r="E20" s="55">
        <f ca="1"/>
        <v>0.15217650753454981</v>
      </c>
      <c r="F20" s="55">
        <f ca="1"/>
        <v>0.13642908400861398</v>
      </c>
      <c r="G20" s="55">
        <f ca="1"/>
        <v>0.12746736678578996</v>
      </c>
      <c r="H20" s="55">
        <f ca="1"/>
        <v>0.12178138916806525</v>
      </c>
      <c r="I20" s="55">
        <f ca="1"/>
        <v>0.11792198218287853</v>
      </c>
      <c r="J20" s="55">
        <f ca="1"/>
        <v>0.11518218334730967</v>
      </c>
      <c r="K20" s="55">
        <f ca="1"/>
        <v>0.11317607105019523</v>
      </c>
      <c r="L20" s="55">
        <f ca="1"/>
        <v>0.11167512703203464</v>
      </c>
      <c r="M20" s="55" t="str">
        <f ca="1"/>
        <v/>
      </c>
    </row>
    <row r="21" spans="2:13" x14ac:dyDescent="0.25">
      <c r="B21" t="s">
        <v>17</v>
      </c>
      <c r="C21" s="60">
        <f t="shared" ref="C21:M21" ca="1" si="0">IF(C3&lt;=Analysis.Period,SUM(D53:D62)/Purchase.Price,"")</f>
        <v>0.99769087297805614</v>
      </c>
      <c r="D21" s="60">
        <f t="shared" ca="1" si="0"/>
        <v>1.2564390873931033</v>
      </c>
      <c r="E21" s="60">
        <f t="shared" ca="1" si="0"/>
        <v>1.5234509207936222</v>
      </c>
      <c r="F21" s="60">
        <f t="shared" ca="1" si="0"/>
        <v>1.6457817172464857</v>
      </c>
      <c r="G21" s="60">
        <f t="shared" ca="1" si="0"/>
        <v>1.7730155218614152</v>
      </c>
      <c r="H21" s="60">
        <f t="shared" ca="1" si="0"/>
        <v>1.9053380265727646</v>
      </c>
      <c r="I21" s="60">
        <f t="shared" ca="1" si="0"/>
        <v>2.0429419308920496</v>
      </c>
      <c r="J21" s="60">
        <f t="shared" ca="1" si="0"/>
        <v>2.1860271906552375</v>
      </c>
      <c r="K21" s="60">
        <f t="shared" ca="1" si="0"/>
        <v>2.3348012761941166</v>
      </c>
      <c r="L21" s="60">
        <f t="shared" ca="1" si="0"/>
        <v>2.489479440222969</v>
      </c>
      <c r="M21" s="60" t="str">
        <f t="shared" si="0"/>
        <v/>
      </c>
    </row>
    <row r="22" spans="2:13" x14ac:dyDescent="0.25"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</row>
    <row r="23" spans="2:13" x14ac:dyDescent="0.25">
      <c r="B23" t="s">
        <v>134</v>
      </c>
      <c r="C23" s="17">
        <f ca="1">+C17/C20</f>
        <v>-1.4364538854888758</v>
      </c>
      <c r="D23" s="17">
        <f t="shared" ref="D23:L23" ca="1" si="1">+D17/D20</f>
        <v>0.14907951826586344</v>
      </c>
      <c r="E23" s="17">
        <f t="shared" ca="1" si="1"/>
        <v>0.25582461258582206</v>
      </c>
      <c r="F23" s="17">
        <f t="shared" ca="1" si="1"/>
        <v>0.3683714512847765</v>
      </c>
      <c r="G23" s="17">
        <f t="shared" ca="1" si="1"/>
        <v>0.45337549702602647</v>
      </c>
      <c r="H23" s="17">
        <f t="shared" ca="1" si="1"/>
        <v>0.52104492180907758</v>
      </c>
      <c r="I23" s="17">
        <f t="shared" ca="1" si="1"/>
        <v>0.57724358352437166</v>
      </c>
      <c r="J23" s="17">
        <f t="shared" ca="1" si="1"/>
        <v>0.62554645473260861</v>
      </c>
      <c r="K23" s="17">
        <f t="shared" ca="1" si="1"/>
        <v>0.66825002994859106</v>
      </c>
      <c r="L23" s="17">
        <f t="shared" ca="1" si="1"/>
        <v>0.70689599367888478</v>
      </c>
      <c r="M23" s="17"/>
    </row>
    <row r="24" spans="2:13" x14ac:dyDescent="0.25">
      <c r="B24" t="s">
        <v>135</v>
      </c>
      <c r="C24" s="17">
        <f ca="1">100%-C23</f>
        <v>2.4364538854888758</v>
      </c>
      <c r="D24" s="17">
        <f t="shared" ref="D24:L24" ca="1" si="2">100%-D23</f>
        <v>0.85092048173413659</v>
      </c>
      <c r="E24" s="17">
        <f t="shared" ca="1" si="2"/>
        <v>0.74417538741417788</v>
      </c>
      <c r="F24" s="17">
        <f t="shared" ca="1" si="2"/>
        <v>0.63162854871522356</v>
      </c>
      <c r="G24" s="17">
        <f t="shared" ca="1" si="2"/>
        <v>0.54662450297397358</v>
      </c>
      <c r="H24" s="17">
        <f t="shared" ca="1" si="2"/>
        <v>0.47895507819092242</v>
      </c>
      <c r="I24" s="17">
        <f t="shared" ca="1" si="2"/>
        <v>0.42275641647562834</v>
      </c>
      <c r="J24" s="17">
        <f t="shared" ca="1" si="2"/>
        <v>0.37445354526739139</v>
      </c>
      <c r="K24" s="17">
        <f t="shared" ca="1" si="2"/>
        <v>0.33174997005140894</v>
      </c>
      <c r="L24" s="17">
        <f t="shared" ca="1" si="2"/>
        <v>0.29310400632111522</v>
      </c>
      <c r="M24" s="17"/>
    </row>
    <row r="25" spans="2:13" x14ac:dyDescent="0.25"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</row>
    <row r="26" spans="2:13" x14ac:dyDescent="0.25">
      <c r="B26" s="59" t="s">
        <v>136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</row>
    <row r="27" spans="2:13" x14ac:dyDescent="0.25">
      <c r="B27" s="1" t="s">
        <v>137</v>
      </c>
      <c r="C27" s="30" cm="1">
        <f t="array" ref="C27:M27">Debt.Service</f>
        <v>0</v>
      </c>
      <c r="D27" s="30">
        <v>0</v>
      </c>
      <c r="E27" s="30">
        <v>-78561.7143982376</v>
      </c>
      <c r="F27" s="30">
        <v>-84061.034406114224</v>
      </c>
      <c r="G27" s="30">
        <v>-89945.306814542229</v>
      </c>
      <c r="H27" s="30">
        <v>-96241.478291560168</v>
      </c>
      <c r="I27" s="30">
        <v>-102978.38177196939</v>
      </c>
      <c r="J27" s="30">
        <v>-110186.86849600726</v>
      </c>
      <c r="K27" s="30">
        <v>-117899.94929072773</v>
      </c>
      <c r="L27" s="30">
        <v>-126152.94574107867</v>
      </c>
      <c r="M27" s="30">
        <v>-134983.65194295419</v>
      </c>
    </row>
    <row r="28" spans="2:13" x14ac:dyDescent="0.25">
      <c r="B28" s="1" t="s">
        <v>142</v>
      </c>
      <c r="C28" s="60">
        <f>IF(C27&lt;0,C7/-C27,0)</f>
        <v>0</v>
      </c>
      <c r="D28" s="60">
        <f t="shared" ref="D28:M28" si="3">IF(D27&lt;0,D7/-D27,0)</f>
        <v>0</v>
      </c>
      <c r="E28" s="60">
        <f t="shared" ca="1" si="3"/>
        <v>8.8272399037355651</v>
      </c>
      <c r="F28" s="60">
        <f t="shared" ca="1" si="3"/>
        <v>8.5977872296192022</v>
      </c>
      <c r="G28" s="60">
        <f t="shared" ca="1" si="3"/>
        <v>8.3735528323998754</v>
      </c>
      <c r="H28" s="60">
        <f t="shared" ca="1" si="3"/>
        <v>8.1544506442021607</v>
      </c>
      <c r="I28" s="60">
        <f t="shared" ca="1" si="3"/>
        <v>7.9403945021187932</v>
      </c>
      <c r="J28" s="60">
        <f t="shared" ca="1" si="3"/>
        <v>7.7312982373467918</v>
      </c>
      <c r="K28" s="60">
        <f t="shared" ca="1" si="3"/>
        <v>7.527075759829394</v>
      </c>
      <c r="L28" s="60">
        <f t="shared" ca="1" si="3"/>
        <v>7.3276411385027247</v>
      </c>
      <c r="M28" s="60">
        <f t="shared" ca="1" si="3"/>
        <v>7.1329086772516002</v>
      </c>
    </row>
    <row r="29" spans="2:13" x14ac:dyDescent="0.25">
      <c r="B29" s="1" t="s">
        <v>143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2:13" x14ac:dyDescent="0.25"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2:13" x14ac:dyDescent="0.25"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 spans="2:13" x14ac:dyDescent="0.25"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</row>
    <row r="33" spans="3:13" x14ac:dyDescent="0.25"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</row>
    <row r="34" spans="3:13" x14ac:dyDescent="0.25"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spans="3:13" x14ac:dyDescent="0.25"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spans="3:13" x14ac:dyDescent="0.25"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</row>
    <row r="37" spans="3:13" x14ac:dyDescent="0.25"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spans="3:13" x14ac:dyDescent="0.25"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</row>
    <row r="39" spans="3:13" x14ac:dyDescent="0.25"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</row>
    <row r="40" spans="3:13" x14ac:dyDescent="0.25"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</row>
    <row r="41" spans="3:13" x14ac:dyDescent="0.25"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</row>
    <row r="42" spans="3:13" x14ac:dyDescent="0.25"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</row>
    <row r="43" spans="3:13" x14ac:dyDescent="0.25"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 spans="3:13" x14ac:dyDescent="0.25"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</row>
    <row r="45" spans="3:13" x14ac:dyDescent="0.25"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</row>
    <row r="46" spans="3:13" x14ac:dyDescent="0.25"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</row>
    <row r="47" spans="3:13" x14ac:dyDescent="0.25"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</row>
    <row r="48" spans="3:13" x14ac:dyDescent="0.25"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</row>
    <row r="49" spans="2:14" x14ac:dyDescent="0.25"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</row>
    <row r="50" spans="2:14" x14ac:dyDescent="0.25">
      <c r="B50" s="59" t="s">
        <v>131</v>
      </c>
      <c r="C50" s="30"/>
      <c r="D50" s="51" cm="1">
        <f t="array" ref="D50:N50">+_xlfn.ANCHORARRAY(Timeline)</f>
        <v>1</v>
      </c>
      <c r="E50" s="51">
        <v>2</v>
      </c>
      <c r="F50" s="51">
        <v>3</v>
      </c>
      <c r="G50" s="51">
        <v>4</v>
      </c>
      <c r="H50" s="51">
        <v>5</v>
      </c>
      <c r="I50" s="51">
        <v>6</v>
      </c>
      <c r="J50" s="51">
        <v>7</v>
      </c>
      <c r="K50" s="51">
        <v>8</v>
      </c>
      <c r="L50" s="51">
        <v>9</v>
      </c>
      <c r="M50" s="51">
        <v>10</v>
      </c>
      <c r="N50" s="51">
        <v>11</v>
      </c>
    </row>
    <row r="51" spans="2:14" x14ac:dyDescent="0.25">
      <c r="C51" s="58" t="s">
        <v>130</v>
      </c>
      <c r="D51" s="55">
        <f t="shared" ref="D51:N51" ca="1" si="4">IF(D50&lt;=Analysis.Period,IRR(D52:D62),"")</f>
        <v>-2.3091270219438575E-3</v>
      </c>
      <c r="E51" s="55">
        <f t="shared" ca="1" si="4"/>
        <v>0.12108908404874374</v>
      </c>
      <c r="F51" s="55">
        <f t="shared" ca="1" si="4"/>
        <v>0.15217650753454981</v>
      </c>
      <c r="G51" s="55">
        <f t="shared" ca="1" si="4"/>
        <v>0.13642908400861398</v>
      </c>
      <c r="H51" s="55">
        <f t="shared" ca="1" si="4"/>
        <v>0.12746736678578996</v>
      </c>
      <c r="I51" s="55">
        <f t="shared" ca="1" si="4"/>
        <v>0.12178138916806525</v>
      </c>
      <c r="J51" s="55">
        <f t="shared" ca="1" si="4"/>
        <v>0.11792198218287853</v>
      </c>
      <c r="K51" s="55">
        <f t="shared" ca="1" si="4"/>
        <v>0.11518218334730967</v>
      </c>
      <c r="L51" s="55">
        <f t="shared" ca="1" si="4"/>
        <v>0.11317607105019523</v>
      </c>
      <c r="M51" s="55">
        <f t="shared" ca="1" si="4"/>
        <v>0.11167512703203464</v>
      </c>
      <c r="N51" s="55" t="str">
        <f t="shared" si="4"/>
        <v/>
      </c>
    </row>
    <row r="52" spans="2:14" x14ac:dyDescent="0.25">
      <c r="B52" s="1" t="s">
        <v>132</v>
      </c>
      <c r="C52">
        <v>0</v>
      </c>
      <c r="D52" s="30" cm="1">
        <f t="array" ref="D52:N52">-Purchase.Price*_xlfn.ANCHORARRAY(D50)/_xlfn.ANCHORARRAY(D50)</f>
        <v>-7250000</v>
      </c>
      <c r="E52" s="30">
        <v>-7250000</v>
      </c>
      <c r="F52" s="30">
        <v>-7250000</v>
      </c>
      <c r="G52" s="30">
        <v>-7250000</v>
      </c>
      <c r="H52" s="30">
        <v>-7250000</v>
      </c>
      <c r="I52" s="30">
        <v>-7250000</v>
      </c>
      <c r="J52" s="30">
        <v>-7250000</v>
      </c>
      <c r="K52" s="30">
        <v>-7250000</v>
      </c>
      <c r="L52" s="30">
        <v>-7250000</v>
      </c>
      <c r="M52" s="30">
        <v>-7250000</v>
      </c>
      <c r="N52" s="30">
        <v>-7250000</v>
      </c>
    </row>
    <row r="53" spans="2:14" x14ac:dyDescent="0.25">
      <c r="C53" s="56" cm="1">
        <f t="array" ref="C53:C62">_xlfn.SEQUENCE(Analysis.Period,1,1,1)</f>
        <v>1</v>
      </c>
      <c r="D53" s="30" cm="1">
        <f t="array" aca="1" ref="D53:N62" ca="1">INDEX(_xlfn.ANCHORARRAY(Sales.Price.Forecast),1,_xlfn.ANCHORARRAY(C53))*IF(_xlfn.ANCHORARRAY(C53)=_xlfn.ANCHORARRAY(D50),1,0)+INDEX(_xlfn.ANCHORARRAY(C9),1,_xlfn.ANCHORARRAY(C53))*IF(_xlfn.ANCHORARRAY(C53)&lt;=_xlfn.ANCHORARRAY(D50),1,0)</f>
        <v>7233258.8290909072</v>
      </c>
      <c r="E53" s="30">
        <f ca="1"/>
        <v>24047.919999999925</v>
      </c>
      <c r="F53" s="30">
        <f ca="1"/>
        <v>24047.919999999925</v>
      </c>
      <c r="G53" s="30">
        <f ca="1"/>
        <v>24047.919999999925</v>
      </c>
      <c r="H53" s="30">
        <f ca="1"/>
        <v>24047.919999999925</v>
      </c>
      <c r="I53" s="30">
        <f ca="1"/>
        <v>24047.919999999925</v>
      </c>
      <c r="J53" s="30">
        <f ca="1"/>
        <v>24047.919999999925</v>
      </c>
      <c r="K53" s="30">
        <f ca="1"/>
        <v>24047.919999999925</v>
      </c>
      <c r="L53" s="30">
        <f ca="1"/>
        <v>24047.919999999925</v>
      </c>
      <c r="M53" s="30">
        <f ca="1"/>
        <v>24047.919999999925</v>
      </c>
      <c r="N53" s="30">
        <f ca="1"/>
        <v>24047.919999999925</v>
      </c>
    </row>
    <row r="54" spans="2:14" x14ac:dyDescent="0.25">
      <c r="C54" s="56">
        <v>2</v>
      </c>
      <c r="D54" s="30">
        <f ca="1"/>
        <v>0</v>
      </c>
      <c r="E54" s="30">
        <f ca="1"/>
        <v>9085135.4635999985</v>
      </c>
      <c r="F54" s="30">
        <f ca="1"/>
        <v>237704.66359999991</v>
      </c>
      <c r="G54" s="30">
        <f ca="1"/>
        <v>237704.66359999991</v>
      </c>
      <c r="H54" s="30">
        <f ca="1"/>
        <v>237704.66359999991</v>
      </c>
      <c r="I54" s="30">
        <f ca="1"/>
        <v>237704.66359999991</v>
      </c>
      <c r="J54" s="30">
        <f ca="1"/>
        <v>237704.66359999991</v>
      </c>
      <c r="K54" s="30">
        <f ca="1"/>
        <v>237704.66359999991</v>
      </c>
      <c r="L54" s="30">
        <f ca="1"/>
        <v>237704.66359999991</v>
      </c>
      <c r="M54" s="30">
        <f ca="1"/>
        <v>237704.66359999991</v>
      </c>
      <c r="N54" s="30">
        <f ca="1"/>
        <v>237704.66359999991</v>
      </c>
    </row>
    <row r="55" spans="2:14" x14ac:dyDescent="0.25">
      <c r="C55" s="56">
        <v>3</v>
      </c>
      <c r="D55" s="30">
        <f ca="1"/>
        <v>0</v>
      </c>
      <c r="E55" s="30">
        <f ca="1"/>
        <v>0</v>
      </c>
      <c r="F55" s="30">
        <f ca="1"/>
        <v>10783266.592153762</v>
      </c>
      <c r="G55" s="30">
        <f ca="1"/>
        <v>584985.70624199987</v>
      </c>
      <c r="H55" s="30">
        <f ca="1"/>
        <v>584985.70624199987</v>
      </c>
      <c r="I55" s="30">
        <f ca="1"/>
        <v>584985.70624199987</v>
      </c>
      <c r="J55" s="30">
        <f ca="1"/>
        <v>584985.70624199987</v>
      </c>
      <c r="K55" s="30">
        <f ca="1"/>
        <v>584985.70624199987</v>
      </c>
      <c r="L55" s="30">
        <f ca="1"/>
        <v>584985.70624199987</v>
      </c>
      <c r="M55" s="30">
        <f ca="1"/>
        <v>584985.70624199987</v>
      </c>
      <c r="N55" s="30">
        <f ca="1"/>
        <v>584985.70624199987</v>
      </c>
    </row>
    <row r="56" spans="2:14" x14ac:dyDescent="0.25">
      <c r="C56" s="56">
        <v>4</v>
      </c>
      <c r="D56" s="30">
        <f ca="1"/>
        <v>0</v>
      </c>
      <c r="E56" s="30">
        <f ca="1"/>
        <v>0</v>
      </c>
      <c r="F56" s="30">
        <f ca="1"/>
        <v>0</v>
      </c>
      <c r="G56" s="30">
        <f ca="1"/>
        <v>11085179.160195021</v>
      </c>
      <c r="H56" s="30">
        <f ca="1"/>
        <v>610702.52069546923</v>
      </c>
      <c r="I56" s="30">
        <f ca="1"/>
        <v>610702.52069546923</v>
      </c>
      <c r="J56" s="30">
        <f ca="1"/>
        <v>610702.52069546923</v>
      </c>
      <c r="K56" s="30">
        <f ca="1"/>
        <v>610702.52069546923</v>
      </c>
      <c r="L56" s="30">
        <f ca="1"/>
        <v>610702.52069546923</v>
      </c>
      <c r="M56" s="30">
        <f ca="1"/>
        <v>610702.52069546923</v>
      </c>
      <c r="N56" s="30">
        <f ca="1"/>
        <v>610702.52069546923</v>
      </c>
    </row>
    <row r="57" spans="2:14" x14ac:dyDescent="0.25">
      <c r="C57" s="56">
        <v>5</v>
      </c>
      <c r="D57" s="30">
        <f ca="1"/>
        <v>0</v>
      </c>
      <c r="E57" s="30">
        <f ca="1"/>
        <v>0</v>
      </c>
      <c r="F57" s="30">
        <f ca="1"/>
        <v>0</v>
      </c>
      <c r="G57" s="30">
        <f ca="1"/>
        <v>0</v>
      </c>
      <c r="H57" s="30">
        <f ca="1"/>
        <v>11396921.722957792</v>
      </c>
      <c r="I57" s="30">
        <f ca="1"/>
        <v>637467.74241513596</v>
      </c>
      <c r="J57" s="30">
        <f ca="1"/>
        <v>637467.74241513596</v>
      </c>
      <c r="K57" s="30">
        <f ca="1"/>
        <v>637467.74241513596</v>
      </c>
      <c r="L57" s="30">
        <f ca="1"/>
        <v>637467.74241513596</v>
      </c>
      <c r="M57" s="30">
        <f ca="1"/>
        <v>637467.74241513596</v>
      </c>
      <c r="N57" s="30">
        <f ca="1"/>
        <v>637467.74241513596</v>
      </c>
    </row>
    <row r="58" spans="2:14" x14ac:dyDescent="0.25">
      <c r="C58" s="56">
        <v>6</v>
      </c>
      <c r="D58" s="30">
        <f ca="1"/>
        <v>0</v>
      </c>
      <c r="E58" s="30">
        <f ca="1"/>
        <v>0</v>
      </c>
      <c r="F58" s="30">
        <f ca="1"/>
        <v>0</v>
      </c>
      <c r="G58" s="30">
        <f ca="1"/>
        <v>0</v>
      </c>
      <c r="H58" s="30">
        <f ca="1"/>
        <v>0</v>
      </c>
      <c r="I58" s="30">
        <f ca="1"/>
        <v>11718792.13969994</v>
      </c>
      <c r="J58" s="30">
        <f ca="1"/>
        <v>665321.93331147532</v>
      </c>
      <c r="K58" s="30">
        <f ca="1"/>
        <v>665321.93331147532</v>
      </c>
      <c r="L58" s="30">
        <f ca="1"/>
        <v>665321.93331147532</v>
      </c>
      <c r="M58" s="30">
        <f ca="1"/>
        <v>665321.93331147532</v>
      </c>
      <c r="N58" s="30">
        <f ca="1"/>
        <v>665321.93331147532</v>
      </c>
    </row>
    <row r="59" spans="2:14" x14ac:dyDescent="0.25">
      <c r="C59" s="56">
        <v>7</v>
      </c>
      <c r="D59" s="30">
        <f ca="1"/>
        <v>0</v>
      </c>
      <c r="E59" s="30">
        <f ca="1"/>
        <v>0</v>
      </c>
      <c r="F59" s="30">
        <f ca="1"/>
        <v>0</v>
      </c>
      <c r="G59" s="30">
        <f ca="1"/>
        <v>0</v>
      </c>
      <c r="H59" s="30">
        <f ca="1"/>
        <v>0</v>
      </c>
      <c r="I59" s="30">
        <f ca="1"/>
        <v>0</v>
      </c>
      <c r="J59" s="30">
        <f ca="1"/>
        <v>12051098.512703279</v>
      </c>
      <c r="K59" s="30">
        <f ca="1"/>
        <v>694307.17299167137</v>
      </c>
      <c r="L59" s="30">
        <f ca="1"/>
        <v>694307.17299167137</v>
      </c>
      <c r="M59" s="30">
        <f ca="1"/>
        <v>694307.17299167137</v>
      </c>
      <c r="N59" s="30">
        <f ca="1"/>
        <v>694307.17299167137</v>
      </c>
    </row>
    <row r="60" spans="2:14" x14ac:dyDescent="0.25">
      <c r="C60" s="56">
        <v>8</v>
      </c>
      <c r="D60" s="30">
        <f ca="1"/>
        <v>0</v>
      </c>
      <c r="E60" s="30">
        <f ca="1"/>
        <v>0</v>
      </c>
      <c r="F60" s="30">
        <f ca="1"/>
        <v>0</v>
      </c>
      <c r="G60" s="30">
        <f ca="1"/>
        <v>0</v>
      </c>
      <c r="H60" s="30">
        <f ca="1"/>
        <v>0</v>
      </c>
      <c r="I60" s="30">
        <f ca="1"/>
        <v>0</v>
      </c>
      <c r="J60" s="30">
        <f ca="1"/>
        <v>0</v>
      </c>
      <c r="K60" s="30">
        <f ca="1"/>
        <v>12394159.472994721</v>
      </c>
      <c r="L60" s="30">
        <f ca="1"/>
        <v>724467.11433795956</v>
      </c>
      <c r="M60" s="30">
        <f ca="1"/>
        <v>724467.11433795956</v>
      </c>
      <c r="N60" s="30">
        <f ca="1"/>
        <v>724467.11433795956</v>
      </c>
    </row>
    <row r="61" spans="2:14" x14ac:dyDescent="0.25">
      <c r="C61" s="56">
        <v>9</v>
      </c>
      <c r="D61" s="30">
        <f ca="1"/>
        <v>0</v>
      </c>
      <c r="E61" s="30">
        <f ca="1"/>
        <v>0</v>
      </c>
      <c r="F61" s="30">
        <f ca="1"/>
        <v>0</v>
      </c>
      <c r="G61" s="30">
        <f ca="1"/>
        <v>0</v>
      </c>
      <c r="H61" s="30">
        <f ca="1"/>
        <v>0</v>
      </c>
      <c r="I61" s="30">
        <f ca="1"/>
        <v>0</v>
      </c>
      <c r="J61" s="30">
        <f ca="1"/>
        <v>0</v>
      </c>
      <c r="K61" s="30">
        <f ca="1"/>
        <v>0</v>
      </c>
      <c r="L61" s="30">
        <f ca="1"/>
        <v>12748304.478813635</v>
      </c>
      <c r="M61" s="30">
        <f ca="1"/>
        <v>755847.04109267204</v>
      </c>
      <c r="N61" s="30">
        <f ca="1"/>
        <v>755847.04109267204</v>
      </c>
    </row>
    <row r="62" spans="2:14" x14ac:dyDescent="0.25">
      <c r="C62" s="56">
        <v>10</v>
      </c>
      <c r="D62" s="30">
        <f ca="1"/>
        <v>0</v>
      </c>
      <c r="E62" s="30">
        <f ca="1"/>
        <v>0</v>
      </c>
      <c r="F62" s="30">
        <f ca="1"/>
        <v>0</v>
      </c>
      <c r="G62" s="30">
        <f ca="1"/>
        <v>0</v>
      </c>
      <c r="H62" s="30">
        <f ca="1"/>
        <v>0</v>
      </c>
      <c r="I62" s="30">
        <f ca="1"/>
        <v>0</v>
      </c>
      <c r="J62" s="30">
        <f ca="1"/>
        <v>0</v>
      </c>
      <c r="K62" s="30">
        <f ca="1"/>
        <v>0</v>
      </c>
      <c r="L62" s="30">
        <f ca="1"/>
        <v>0</v>
      </c>
      <c r="M62" s="30">
        <f ca="1"/>
        <v>13113874.12693014</v>
      </c>
      <c r="N62" s="30">
        <f ca="1"/>
        <v>788493.92752173799</v>
      </c>
    </row>
    <row r="63" spans="2:14" x14ac:dyDescent="0.25"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7"/>
    </row>
    <row r="64" spans="2:14" x14ac:dyDescent="0.25">
      <c r="B64" s="59" t="s">
        <v>133</v>
      </c>
      <c r="C64" s="30"/>
      <c r="D64" s="51" cm="1">
        <f t="array" ref="D64:N64">+_xlfn.ANCHORARRAY(Timeline)</f>
        <v>1</v>
      </c>
      <c r="E64" s="51">
        <v>2</v>
      </c>
      <c r="F64" s="51">
        <v>3</v>
      </c>
      <c r="G64" s="51">
        <v>4</v>
      </c>
      <c r="H64" s="51">
        <v>5</v>
      </c>
      <c r="I64" s="51">
        <v>6</v>
      </c>
      <c r="J64" s="51">
        <v>7</v>
      </c>
      <c r="K64" s="51">
        <v>8</v>
      </c>
      <c r="L64" s="51">
        <v>9</v>
      </c>
      <c r="M64" s="51">
        <v>10</v>
      </c>
      <c r="N64" s="51">
        <v>11</v>
      </c>
    </row>
    <row r="65" spans="2:14" x14ac:dyDescent="0.25">
      <c r="C65" s="58" t="s">
        <v>130</v>
      </c>
      <c r="D65" s="55">
        <f t="shared" ref="D65:M65" ca="1" si="5">IF(D64&lt;=Analysis.Period,IRR(D66:D76),"")</f>
        <v>1.4798415866662156</v>
      </c>
      <c r="E65" s="55">
        <f t="shared" ca="1" si="5"/>
        <v>0.74452290700802726</v>
      </c>
      <c r="F65" s="55">
        <f t="shared" ca="1" si="5"/>
        <v>0.51945455099661819</v>
      </c>
      <c r="G65" s="55">
        <f t="shared" ca="1" si="5"/>
        <v>0.37773955790104274</v>
      </c>
      <c r="H65" s="55">
        <f t="shared" ca="1" si="5"/>
        <v>0.29916791340621773</v>
      </c>
      <c r="I65" s="55">
        <f t="shared" ca="1" si="5"/>
        <v>0.24931650551087881</v>
      </c>
      <c r="J65" s="55">
        <f t="shared" ca="1" si="5"/>
        <v>0.2149032662123993</v>
      </c>
      <c r="K65" s="55">
        <f t="shared" ca="1" si="5"/>
        <v>0.18973287266921157</v>
      </c>
      <c r="L65" s="55">
        <f t="shared" ca="1" si="5"/>
        <v>0.17053046909846326</v>
      </c>
      <c r="M65" s="55">
        <f t="shared" ca="1" si="5"/>
        <v>0.15540347236272267</v>
      </c>
      <c r="N65" s="55" t="str">
        <f t="shared" ref="N65" si="6">IF(N64&lt;=Analysis.Period,IRR(N66:N76),"")</f>
        <v/>
      </c>
    </row>
    <row r="66" spans="2:14" x14ac:dyDescent="0.25">
      <c r="B66" s="1" t="s">
        <v>132</v>
      </c>
      <c r="C66">
        <v>0</v>
      </c>
      <c r="D66" s="30" cm="1">
        <f t="array" ref="D66:N66">-Initial.Equity*_xlfn.ANCHORARRAY(D64)/_xlfn.ANCHORARRAY(D64)</f>
        <v>-2907125</v>
      </c>
      <c r="E66" s="30">
        <v>-2907125</v>
      </c>
      <c r="F66" s="30">
        <v>-2907125</v>
      </c>
      <c r="G66" s="30">
        <v>-2907125</v>
      </c>
      <c r="H66" s="30">
        <v>-2907125</v>
      </c>
      <c r="I66" s="30">
        <v>-2907125</v>
      </c>
      <c r="J66" s="30">
        <v>-2907125</v>
      </c>
      <c r="K66" s="30">
        <v>-2907125</v>
      </c>
      <c r="L66" s="30">
        <v>-2907125</v>
      </c>
      <c r="M66" s="30">
        <v>-2907125</v>
      </c>
      <c r="N66" s="30">
        <v>-2907125</v>
      </c>
    </row>
    <row r="67" spans="2:14" x14ac:dyDescent="0.25">
      <c r="C67" s="56" cm="1">
        <f t="array" ref="C67:C76">_xlfn.SEQUENCE(Analysis.Period,1,1,1)</f>
        <v>1</v>
      </c>
      <c r="D67" s="30" cm="1">
        <f t="array" aca="1" ref="D67:N76" ca="1">INDEX(_xlfn.ANCHORARRAY(Sales.Price.Forecast),1,_xlfn.ANCHORARRAY(C67))*IF(_xlfn.ANCHORARRAY(C67)=_xlfn.ANCHORARRAY(D64),1,0)+INDEX(C23:L23,1,_xlfn.ANCHORARRAY(C67))*IF(_xlfn.ANCHORARRAY(C67)&lt;=_xlfn.ANCHORARRAY(D64),1,0)</f>
        <v>7209209.4726370219</v>
      </c>
      <c r="E67" s="30">
        <f ca="1"/>
        <v>-1.4364538854888758</v>
      </c>
      <c r="F67" s="30">
        <f ca="1"/>
        <v>-1.4364538854888758</v>
      </c>
      <c r="G67" s="30">
        <f ca="1"/>
        <v>-1.4364538854888758</v>
      </c>
      <c r="H67" s="30">
        <f ca="1"/>
        <v>-1.4364538854888758</v>
      </c>
      <c r="I67" s="30">
        <f ca="1"/>
        <v>-1.4364538854888758</v>
      </c>
      <c r="J67" s="30">
        <f ca="1"/>
        <v>-1.4364538854888758</v>
      </c>
      <c r="K67" s="30">
        <f ca="1"/>
        <v>-1.4364538854888758</v>
      </c>
      <c r="L67" s="30">
        <f ca="1"/>
        <v>-1.4364538854888758</v>
      </c>
      <c r="M67" s="30">
        <f ca="1"/>
        <v>-1.4364538854888758</v>
      </c>
      <c r="N67" s="30">
        <f ca="1"/>
        <v>-1.4364538854888758</v>
      </c>
    </row>
    <row r="68" spans="2:14" x14ac:dyDescent="0.25">
      <c r="C68" s="30">
        <v>2</v>
      </c>
      <c r="D68" s="30">
        <f ca="1"/>
        <v>0</v>
      </c>
      <c r="E68" s="30">
        <f ca="1"/>
        <v>8847430.9490795173</v>
      </c>
      <c r="F68" s="30">
        <f ca="1"/>
        <v>0.14907951826586344</v>
      </c>
      <c r="G68" s="30">
        <f ca="1"/>
        <v>0.14907951826586344</v>
      </c>
      <c r="H68" s="30">
        <f ca="1"/>
        <v>0.14907951826586344</v>
      </c>
      <c r="I68" s="30">
        <f ca="1"/>
        <v>0.14907951826586344</v>
      </c>
      <c r="J68" s="30">
        <f ca="1"/>
        <v>0.14907951826586344</v>
      </c>
      <c r="K68" s="30">
        <f ca="1"/>
        <v>0.14907951826586344</v>
      </c>
      <c r="L68" s="30">
        <f ca="1"/>
        <v>0.14907951826586344</v>
      </c>
      <c r="M68" s="30">
        <f ca="1"/>
        <v>0.14907951826586344</v>
      </c>
      <c r="N68" s="30">
        <f ca="1"/>
        <v>0.14907951826586344</v>
      </c>
    </row>
    <row r="69" spans="2:14" x14ac:dyDescent="0.25">
      <c r="C69" s="30">
        <v>3</v>
      </c>
      <c r="D69" s="30">
        <f ca="1"/>
        <v>0</v>
      </c>
      <c r="E69" s="30">
        <f ca="1"/>
        <v>0</v>
      </c>
      <c r="F69" s="30">
        <f ca="1"/>
        <v>10198281.141736373</v>
      </c>
      <c r="G69" s="30">
        <f ca="1"/>
        <v>0.25582461258582206</v>
      </c>
      <c r="H69" s="30">
        <f ca="1"/>
        <v>0.25582461258582206</v>
      </c>
      <c r="I69" s="30">
        <f ca="1"/>
        <v>0.25582461258582206</v>
      </c>
      <c r="J69" s="30">
        <f ca="1"/>
        <v>0.25582461258582206</v>
      </c>
      <c r="K69" s="30">
        <f ca="1"/>
        <v>0.25582461258582206</v>
      </c>
      <c r="L69" s="30">
        <f ca="1"/>
        <v>0.25582461258582206</v>
      </c>
      <c r="M69" s="30">
        <f ca="1"/>
        <v>0.25582461258582206</v>
      </c>
      <c r="N69" s="30">
        <f ca="1"/>
        <v>0.25582461258582206</v>
      </c>
    </row>
    <row r="70" spans="2:14" x14ac:dyDescent="0.25">
      <c r="C70" s="30">
        <v>4</v>
      </c>
      <c r="D70" s="30">
        <f ca="1"/>
        <v>0</v>
      </c>
      <c r="E70" s="30">
        <f ca="1"/>
        <v>0</v>
      </c>
      <c r="F70" s="30">
        <f ca="1"/>
        <v>0</v>
      </c>
      <c r="G70" s="30">
        <f ca="1"/>
        <v>10474477.007871004</v>
      </c>
      <c r="H70" s="30">
        <f ca="1"/>
        <v>0.3683714512847765</v>
      </c>
      <c r="I70" s="30">
        <f ca="1"/>
        <v>0.3683714512847765</v>
      </c>
      <c r="J70" s="30">
        <f ca="1"/>
        <v>0.3683714512847765</v>
      </c>
      <c r="K70" s="30">
        <f ca="1"/>
        <v>0.3683714512847765</v>
      </c>
      <c r="L70" s="30">
        <f ca="1"/>
        <v>0.3683714512847765</v>
      </c>
      <c r="M70" s="30">
        <f ca="1"/>
        <v>0.3683714512847765</v>
      </c>
      <c r="N70" s="30">
        <f ca="1"/>
        <v>0.3683714512847765</v>
      </c>
    </row>
    <row r="71" spans="2:14" x14ac:dyDescent="0.25">
      <c r="C71" s="30">
        <v>5</v>
      </c>
      <c r="D71" s="30">
        <f ca="1"/>
        <v>0</v>
      </c>
      <c r="E71" s="30">
        <f ca="1"/>
        <v>0</v>
      </c>
      <c r="F71" s="30">
        <f ca="1"/>
        <v>0</v>
      </c>
      <c r="G71" s="30">
        <f ca="1"/>
        <v>0</v>
      </c>
      <c r="H71" s="30">
        <f ca="1"/>
        <v>10759454.433918154</v>
      </c>
      <c r="I71" s="30">
        <f ca="1"/>
        <v>0.45337549702602647</v>
      </c>
      <c r="J71" s="30">
        <f ca="1"/>
        <v>0.45337549702602647</v>
      </c>
      <c r="K71" s="30">
        <f ca="1"/>
        <v>0.45337549702602647</v>
      </c>
      <c r="L71" s="30">
        <f ca="1"/>
        <v>0.45337549702602647</v>
      </c>
      <c r="M71" s="30">
        <f ca="1"/>
        <v>0.45337549702602647</v>
      </c>
      <c r="N71" s="30">
        <f ca="1"/>
        <v>0.45337549702602647</v>
      </c>
    </row>
    <row r="72" spans="2:14" x14ac:dyDescent="0.25">
      <c r="C72" s="30">
        <v>6</v>
      </c>
      <c r="D72" s="30">
        <f ca="1"/>
        <v>0</v>
      </c>
      <c r="E72" s="30">
        <f ca="1"/>
        <v>0</v>
      </c>
      <c r="F72" s="30">
        <f ca="1"/>
        <v>0</v>
      </c>
      <c r="G72" s="30">
        <f ca="1"/>
        <v>0</v>
      </c>
      <c r="H72" s="30">
        <f ca="1"/>
        <v>0</v>
      </c>
      <c r="I72" s="30">
        <f ca="1"/>
        <v>11053470.727433385</v>
      </c>
      <c r="J72" s="30">
        <f ca="1"/>
        <v>0.52104492180907758</v>
      </c>
      <c r="K72" s="30">
        <f ca="1"/>
        <v>0.52104492180907758</v>
      </c>
      <c r="L72" s="30">
        <f ca="1"/>
        <v>0.52104492180907758</v>
      </c>
      <c r="M72" s="30">
        <f ca="1"/>
        <v>0.52104492180907758</v>
      </c>
      <c r="N72" s="30">
        <f ca="1"/>
        <v>0.52104492180907758</v>
      </c>
    </row>
    <row r="73" spans="2:14" x14ac:dyDescent="0.25">
      <c r="C73" s="30">
        <v>7</v>
      </c>
      <c r="D73" s="30">
        <f ca="1"/>
        <v>0</v>
      </c>
      <c r="E73" s="30">
        <f ca="1"/>
        <v>0</v>
      </c>
      <c r="F73" s="30">
        <f ca="1"/>
        <v>0</v>
      </c>
      <c r="G73" s="30">
        <f ca="1"/>
        <v>0</v>
      </c>
      <c r="H73" s="30">
        <f ca="1"/>
        <v>0</v>
      </c>
      <c r="I73" s="30">
        <f ca="1"/>
        <v>0</v>
      </c>
      <c r="J73" s="30">
        <f ca="1"/>
        <v>11356791.916955192</v>
      </c>
      <c r="K73" s="30">
        <f ca="1"/>
        <v>0.57724358352437166</v>
      </c>
      <c r="L73" s="30">
        <f ca="1"/>
        <v>0.57724358352437166</v>
      </c>
      <c r="M73" s="30">
        <f ca="1"/>
        <v>0.57724358352437166</v>
      </c>
      <c r="N73" s="30">
        <f ca="1"/>
        <v>0.57724358352437166</v>
      </c>
    </row>
    <row r="74" spans="2:14" x14ac:dyDescent="0.25">
      <c r="C74" s="30">
        <v>8</v>
      </c>
      <c r="D74" s="30">
        <f ca="1"/>
        <v>0</v>
      </c>
      <c r="E74" s="30">
        <f ca="1"/>
        <v>0</v>
      </c>
      <c r="F74" s="30">
        <f ca="1"/>
        <v>0</v>
      </c>
      <c r="G74" s="30">
        <f ca="1"/>
        <v>0</v>
      </c>
      <c r="H74" s="30">
        <f ca="1"/>
        <v>0</v>
      </c>
      <c r="I74" s="30">
        <f ca="1"/>
        <v>0</v>
      </c>
      <c r="J74" s="30">
        <f ca="1"/>
        <v>0</v>
      </c>
      <c r="K74" s="30">
        <f ca="1"/>
        <v>11669692.984203216</v>
      </c>
      <c r="L74" s="30">
        <f ca="1"/>
        <v>0.62554645473260861</v>
      </c>
      <c r="M74" s="30">
        <f ca="1"/>
        <v>0.62554645473260861</v>
      </c>
      <c r="N74" s="30">
        <f ca="1"/>
        <v>0.62554645473260861</v>
      </c>
    </row>
    <row r="75" spans="2:14" x14ac:dyDescent="0.25">
      <c r="C75" s="30">
        <v>9</v>
      </c>
      <c r="D75" s="30">
        <f ca="1"/>
        <v>0</v>
      </c>
      <c r="E75" s="30">
        <f ca="1"/>
        <v>0</v>
      </c>
      <c r="F75" s="30">
        <f ca="1"/>
        <v>0</v>
      </c>
      <c r="G75" s="30">
        <f ca="1"/>
        <v>0</v>
      </c>
      <c r="H75" s="30">
        <f ca="1"/>
        <v>0</v>
      </c>
      <c r="I75" s="30">
        <f ca="1"/>
        <v>0</v>
      </c>
      <c r="J75" s="30">
        <f ca="1"/>
        <v>0</v>
      </c>
      <c r="K75" s="30">
        <f ca="1"/>
        <v>0</v>
      </c>
      <c r="L75" s="30">
        <f ca="1"/>
        <v>11992458.105970994</v>
      </c>
      <c r="M75" s="30">
        <f ca="1"/>
        <v>0.66825002994859106</v>
      </c>
      <c r="N75" s="30">
        <f ca="1"/>
        <v>0.66825002994859106</v>
      </c>
    </row>
    <row r="76" spans="2:14" x14ac:dyDescent="0.25">
      <c r="C76" s="30">
        <v>10</v>
      </c>
      <c r="D76" s="30">
        <f ca="1"/>
        <v>0</v>
      </c>
      <c r="E76" s="30">
        <f ca="1"/>
        <v>0</v>
      </c>
      <c r="F76" s="30">
        <f ca="1"/>
        <v>0</v>
      </c>
      <c r="G76" s="30">
        <f ca="1"/>
        <v>0</v>
      </c>
      <c r="H76" s="30">
        <f ca="1"/>
        <v>0</v>
      </c>
      <c r="I76" s="30">
        <f ca="1"/>
        <v>0</v>
      </c>
      <c r="J76" s="30">
        <f ca="1"/>
        <v>0</v>
      </c>
      <c r="K76" s="30">
        <f ca="1"/>
        <v>0</v>
      </c>
      <c r="L76" s="30">
        <f ca="1"/>
        <v>0</v>
      </c>
      <c r="M76" s="30">
        <f ca="1"/>
        <v>12325380.906304397</v>
      </c>
      <c r="N76" s="30">
        <f ca="1"/>
        <v>0.70689599367888478</v>
      </c>
    </row>
    <row r="77" spans="2:14" x14ac:dyDescent="0.25"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spans="2:14" x14ac:dyDescent="0.25"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</row>
    <row r="79" spans="2:14" x14ac:dyDescent="0.25"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</row>
    <row r="80" spans="2:14" x14ac:dyDescent="0.25"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</row>
    <row r="81" spans="3:13" x14ac:dyDescent="0.25"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</row>
    <row r="82" spans="3:13" x14ac:dyDescent="0.25"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</row>
    <row r="83" spans="3:13" x14ac:dyDescent="0.25"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</row>
    <row r="84" spans="3:13" x14ac:dyDescent="0.25"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</row>
    <row r="85" spans="3:13" x14ac:dyDescent="0.25"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</row>
    <row r="86" spans="3:13" x14ac:dyDescent="0.25"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</row>
    <row r="87" spans="3:13" x14ac:dyDescent="0.25"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3:13" x14ac:dyDescent="0.25"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</row>
    <row r="89" spans="3:13" x14ac:dyDescent="0.25"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</row>
    <row r="90" spans="3:13" x14ac:dyDescent="0.25"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</row>
    <row r="91" spans="3:13" x14ac:dyDescent="0.25"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spans="3:13" x14ac:dyDescent="0.25"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</row>
    <row r="93" spans="3:13" x14ac:dyDescent="0.25"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</row>
    <row r="94" spans="3:13" x14ac:dyDescent="0.25"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</row>
    <row r="95" spans="3:13" x14ac:dyDescent="0.25"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</row>
    <row r="96" spans="3:13" x14ac:dyDescent="0.25"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3:13" x14ac:dyDescent="0.25"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</row>
    <row r="98" spans="3:13" x14ac:dyDescent="0.25"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</row>
    <row r="99" spans="3:13" x14ac:dyDescent="0.25"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</row>
    <row r="100" spans="3:13" x14ac:dyDescent="0.25"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</row>
    <row r="101" spans="3:13" x14ac:dyDescent="0.25"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</row>
    <row r="102" spans="3:13" x14ac:dyDescent="0.25"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</row>
    <row r="103" spans="3:13" x14ac:dyDescent="0.25"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</row>
    <row r="104" spans="3:13" x14ac:dyDescent="0.25"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</row>
    <row r="105" spans="3:13" x14ac:dyDescent="0.25"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</row>
    <row r="106" spans="3:13" x14ac:dyDescent="0.25"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</row>
    <row r="107" spans="3:13" x14ac:dyDescent="0.25"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</row>
    <row r="108" spans="3:13" x14ac:dyDescent="0.25"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</row>
    <row r="109" spans="3:13" x14ac:dyDescent="0.25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spans="3:13" x14ac:dyDescent="0.25"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</row>
    <row r="111" spans="3:13" x14ac:dyDescent="0.25"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</row>
    <row r="112" spans="3:13" x14ac:dyDescent="0.25"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</row>
    <row r="113" spans="3:13" x14ac:dyDescent="0.25"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</row>
    <row r="114" spans="3:13" x14ac:dyDescent="0.25"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</row>
    <row r="115" spans="3:13" x14ac:dyDescent="0.25"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</row>
    <row r="116" spans="3:13" x14ac:dyDescent="0.25"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</row>
    <row r="117" spans="3:13" x14ac:dyDescent="0.25"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</row>
    <row r="118" spans="3:13" x14ac:dyDescent="0.25"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</row>
    <row r="119" spans="3:13" x14ac:dyDescent="0.25"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</row>
    <row r="120" spans="3:13" x14ac:dyDescent="0.25"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</row>
    <row r="121" spans="3:13" x14ac:dyDescent="0.25"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</row>
    <row r="122" spans="3:13" x14ac:dyDescent="0.25"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</row>
    <row r="123" spans="3:13" x14ac:dyDescent="0.25"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</row>
    <row r="124" spans="3:13" x14ac:dyDescent="0.25"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</row>
    <row r="125" spans="3:13" x14ac:dyDescent="0.25"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</row>
    <row r="126" spans="3:13" x14ac:dyDescent="0.25"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</row>
    <row r="127" spans="3:13" x14ac:dyDescent="0.25"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</row>
    <row r="128" spans="3:13" x14ac:dyDescent="0.25"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</row>
    <row r="129" spans="3:13" x14ac:dyDescent="0.25"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</row>
    <row r="130" spans="3:13" x14ac:dyDescent="0.25"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</row>
    <row r="131" spans="3:13" x14ac:dyDescent="0.25"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</row>
    <row r="132" spans="3:13" x14ac:dyDescent="0.25"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</row>
    <row r="133" spans="3:13" x14ac:dyDescent="0.25"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</row>
    <row r="134" spans="3:13" x14ac:dyDescent="0.25"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</row>
    <row r="135" spans="3:13" x14ac:dyDescent="0.25"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</row>
    <row r="136" spans="3:13" x14ac:dyDescent="0.25"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</row>
    <row r="137" spans="3:13" x14ac:dyDescent="0.25"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</row>
    <row r="138" spans="3:13" x14ac:dyDescent="0.25"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</row>
    <row r="139" spans="3:13" x14ac:dyDescent="0.25"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</row>
    <row r="140" spans="3:13" x14ac:dyDescent="0.25"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</row>
    <row r="141" spans="3:13" x14ac:dyDescent="0.25"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</row>
    <row r="142" spans="3:13" x14ac:dyDescent="0.25"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</row>
    <row r="143" spans="3:13" x14ac:dyDescent="0.25"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</row>
    <row r="144" spans="3:13" x14ac:dyDescent="0.25"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</row>
    <row r="145" spans="3:13" x14ac:dyDescent="0.25"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</row>
    <row r="146" spans="3:13" x14ac:dyDescent="0.25"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</row>
    <row r="147" spans="3:13" x14ac:dyDescent="0.25"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</row>
    <row r="148" spans="3:13" x14ac:dyDescent="0.25"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</row>
    <row r="149" spans="3:13" x14ac:dyDescent="0.25"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</row>
    <row r="150" spans="3:13" x14ac:dyDescent="0.25"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</row>
    <row r="151" spans="3:13" x14ac:dyDescent="0.25"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</row>
    <row r="152" spans="3:13" x14ac:dyDescent="0.25"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</row>
    <row r="153" spans="3:13" x14ac:dyDescent="0.25"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</row>
    <row r="154" spans="3:13" x14ac:dyDescent="0.25"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</row>
    <row r="155" spans="3:13" x14ac:dyDescent="0.25"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</row>
    <row r="156" spans="3:13" x14ac:dyDescent="0.25"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</row>
    <row r="157" spans="3:13" x14ac:dyDescent="0.25"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</row>
    <row r="158" spans="3:13" x14ac:dyDescent="0.25"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</row>
    <row r="159" spans="3:13" x14ac:dyDescent="0.25"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</row>
    <row r="160" spans="3:13" x14ac:dyDescent="0.25"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</row>
    <row r="161" spans="3:13" x14ac:dyDescent="0.25"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</row>
    <row r="162" spans="3:13" x14ac:dyDescent="0.25"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</row>
    <row r="163" spans="3:13" x14ac:dyDescent="0.25"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</row>
    <row r="164" spans="3:13" x14ac:dyDescent="0.25"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</row>
    <row r="165" spans="3:13" x14ac:dyDescent="0.25"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</row>
    <row r="166" spans="3:13" x14ac:dyDescent="0.25"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</row>
    <row r="167" spans="3:13" x14ac:dyDescent="0.25"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</row>
    <row r="168" spans="3:13" x14ac:dyDescent="0.25"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</row>
    <row r="169" spans="3:13" x14ac:dyDescent="0.25"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</row>
    <row r="170" spans="3:13" x14ac:dyDescent="0.25"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</row>
    <row r="171" spans="3:13" x14ac:dyDescent="0.25"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</row>
    <row r="172" spans="3:13" x14ac:dyDescent="0.25"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</row>
    <row r="173" spans="3:13" x14ac:dyDescent="0.25"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</row>
    <row r="174" spans="3:13" x14ac:dyDescent="0.25"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</row>
    <row r="175" spans="3:13" x14ac:dyDescent="0.25"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</row>
    <row r="176" spans="3:13" x14ac:dyDescent="0.25"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</row>
    <row r="177" spans="3:13" x14ac:dyDescent="0.25"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</row>
    <row r="178" spans="3:13" x14ac:dyDescent="0.25"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</row>
    <row r="179" spans="3:13" x14ac:dyDescent="0.25"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</row>
    <row r="180" spans="3:13" x14ac:dyDescent="0.25"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B788-B134-445C-B57B-7E44CD64D452}">
  <sheetPr>
    <tabColor theme="9" tint="0.39997558519241921"/>
  </sheetPr>
  <dimension ref="A1:Q8"/>
  <sheetViews>
    <sheetView zoomScale="130" zoomScaleNormal="130" workbookViewId="0">
      <selection activeCell="C28" sqref="C28"/>
    </sheetView>
  </sheetViews>
  <sheetFormatPr defaultRowHeight="15" x14ac:dyDescent="0.25"/>
  <cols>
    <col min="1" max="1" width="0.42578125" customWidth="1"/>
    <col min="11" max="12" width="9.42578125" customWidth="1"/>
  </cols>
  <sheetData>
    <row r="1" spans="1:17" ht="3" customHeight="1" x14ac:dyDescent="0.25"/>
    <row r="2" spans="1:17" x14ac:dyDescent="0.25">
      <c r="B2" s="42" t="s">
        <v>55</v>
      </c>
      <c r="C2" s="42"/>
      <c r="D2" s="42"/>
      <c r="E2" s="42" t="s">
        <v>56</v>
      </c>
      <c r="F2" s="42"/>
      <c r="G2" s="42">
        <f>Num.Apartments</f>
        <v>124</v>
      </c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1:17" s="21" customFormat="1" ht="42.75" x14ac:dyDescent="0.25">
      <c r="A3"/>
      <c r="B3" s="21" t="s">
        <v>57</v>
      </c>
      <c r="C3" s="21" t="s">
        <v>63</v>
      </c>
      <c r="D3" s="24" t="s">
        <v>64</v>
      </c>
      <c r="E3" s="24" t="s">
        <v>65</v>
      </c>
      <c r="F3" s="24" t="s">
        <v>66</v>
      </c>
      <c r="G3" s="24" t="s">
        <v>67</v>
      </c>
      <c r="H3" s="24" t="s">
        <v>69</v>
      </c>
      <c r="I3" s="24" t="s">
        <v>68</v>
      </c>
      <c r="J3" s="24" t="s">
        <v>70</v>
      </c>
      <c r="K3" s="24" t="s">
        <v>71</v>
      </c>
      <c r="L3" s="24" t="s">
        <v>110</v>
      </c>
      <c r="M3" s="24" t="s">
        <v>72</v>
      </c>
      <c r="N3" s="24" t="s">
        <v>54</v>
      </c>
      <c r="O3" s="24" t="s">
        <v>73</v>
      </c>
      <c r="P3" s="24" t="s">
        <v>74</v>
      </c>
      <c r="Q3" s="24" t="s">
        <v>75</v>
      </c>
    </row>
    <row r="4" spans="1:17" x14ac:dyDescent="0.25">
      <c r="B4" s="1" t="s">
        <v>58</v>
      </c>
      <c r="C4" s="7">
        <v>40</v>
      </c>
      <c r="D4" s="7">
        <v>0</v>
      </c>
      <c r="E4" s="7">
        <v>1</v>
      </c>
      <c r="F4" s="22">
        <v>430</v>
      </c>
      <c r="G4" s="7">
        <v>510</v>
      </c>
      <c r="H4" s="7">
        <v>630</v>
      </c>
      <c r="I4" s="23">
        <v>12</v>
      </c>
      <c r="J4" s="25">
        <v>12</v>
      </c>
      <c r="K4" s="26">
        <v>50</v>
      </c>
      <c r="L4" s="47">
        <v>1</v>
      </c>
      <c r="M4" s="27">
        <v>20</v>
      </c>
      <c r="N4" s="28">
        <v>300</v>
      </c>
      <c r="O4" s="8">
        <v>0.6</v>
      </c>
      <c r="P4" s="27">
        <v>8</v>
      </c>
      <c r="Q4" s="2">
        <f>+(1-O4)*N4</f>
        <v>120</v>
      </c>
    </row>
    <row r="5" spans="1:17" x14ac:dyDescent="0.25">
      <c r="B5" s="1" t="s">
        <v>59</v>
      </c>
      <c r="C5" s="7">
        <v>24</v>
      </c>
      <c r="D5" s="7">
        <v>1</v>
      </c>
      <c r="E5" s="7">
        <v>1</v>
      </c>
      <c r="F5" s="22">
        <v>671</v>
      </c>
      <c r="G5" s="7">
        <v>660</v>
      </c>
      <c r="H5" s="7">
        <v>780</v>
      </c>
      <c r="I5" s="23">
        <v>16</v>
      </c>
      <c r="J5" s="25">
        <v>12</v>
      </c>
      <c r="K5" s="26">
        <v>50</v>
      </c>
      <c r="L5" s="47">
        <v>1</v>
      </c>
      <c r="M5" s="27">
        <v>20</v>
      </c>
      <c r="N5" s="28">
        <v>300</v>
      </c>
      <c r="O5" s="8">
        <f>+O4</f>
        <v>0.6</v>
      </c>
      <c r="P5" s="27">
        <v>8</v>
      </c>
      <c r="Q5" s="2">
        <f t="shared" ref="Q5:Q8" si="0">+(1-O5)*N5</f>
        <v>120</v>
      </c>
    </row>
    <row r="6" spans="1:17" x14ac:dyDescent="0.25">
      <c r="B6" s="1" t="s">
        <v>60</v>
      </c>
      <c r="C6" s="7">
        <v>24</v>
      </c>
      <c r="D6" s="7">
        <v>2</v>
      </c>
      <c r="E6" s="7">
        <v>2</v>
      </c>
      <c r="F6" s="22">
        <v>945</v>
      </c>
      <c r="G6" s="7">
        <v>850</v>
      </c>
      <c r="H6" s="7">
        <v>970</v>
      </c>
      <c r="I6" s="23">
        <v>19</v>
      </c>
      <c r="J6" s="25">
        <v>12</v>
      </c>
      <c r="K6" s="26">
        <v>60</v>
      </c>
      <c r="L6" s="47">
        <v>0</v>
      </c>
      <c r="M6" s="27">
        <v>25</v>
      </c>
      <c r="N6" s="28">
        <v>350</v>
      </c>
      <c r="O6" s="8">
        <f t="shared" ref="O6:O8" si="1">+O5</f>
        <v>0.6</v>
      </c>
      <c r="P6" s="27">
        <v>10</v>
      </c>
      <c r="Q6" s="2">
        <f t="shared" si="0"/>
        <v>140</v>
      </c>
    </row>
    <row r="7" spans="1:17" x14ac:dyDescent="0.25">
      <c r="B7" s="1" t="s">
        <v>61</v>
      </c>
      <c r="C7" s="7">
        <v>12</v>
      </c>
      <c r="D7" s="7">
        <v>2</v>
      </c>
      <c r="E7" s="7">
        <v>1.5</v>
      </c>
      <c r="F7" s="22">
        <v>1025</v>
      </c>
      <c r="G7" s="7">
        <v>850</v>
      </c>
      <c r="H7" s="7">
        <v>970</v>
      </c>
      <c r="I7" s="23">
        <v>22</v>
      </c>
      <c r="J7" s="25">
        <v>12</v>
      </c>
      <c r="K7" s="26">
        <v>65</v>
      </c>
      <c r="L7" s="47">
        <v>0</v>
      </c>
      <c r="M7" s="27">
        <v>25</v>
      </c>
      <c r="N7" s="28">
        <v>350</v>
      </c>
      <c r="O7" s="8">
        <f t="shared" si="1"/>
        <v>0.6</v>
      </c>
      <c r="P7" s="27">
        <v>10</v>
      </c>
      <c r="Q7" s="2">
        <f t="shared" si="0"/>
        <v>140</v>
      </c>
    </row>
    <row r="8" spans="1:17" x14ac:dyDescent="0.25">
      <c r="B8" s="1" t="s">
        <v>62</v>
      </c>
      <c r="C8" s="7">
        <v>24</v>
      </c>
      <c r="D8" s="7">
        <v>3</v>
      </c>
      <c r="E8" s="7">
        <v>2</v>
      </c>
      <c r="F8" s="22">
        <v>1046</v>
      </c>
      <c r="G8" s="7">
        <v>1100</v>
      </c>
      <c r="H8" s="7">
        <v>1220</v>
      </c>
      <c r="I8" s="23">
        <v>25</v>
      </c>
      <c r="J8" s="25">
        <v>12</v>
      </c>
      <c r="K8" s="26">
        <v>70</v>
      </c>
      <c r="L8" s="47">
        <v>0</v>
      </c>
      <c r="M8" s="27">
        <v>30</v>
      </c>
      <c r="N8" s="28">
        <v>400</v>
      </c>
      <c r="O8" s="8">
        <f t="shared" si="1"/>
        <v>0.6</v>
      </c>
      <c r="P8" s="27">
        <v>12</v>
      </c>
      <c r="Q8" s="2">
        <f t="shared" si="0"/>
        <v>160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2DB9-1F83-4052-B856-036C9CFC2952}">
  <sheetPr>
    <tabColor theme="9" tint="0.39997558519241921"/>
  </sheetPr>
  <dimension ref="B1:P16"/>
  <sheetViews>
    <sheetView zoomScale="130" zoomScaleNormal="130" workbookViewId="0">
      <selection activeCell="F21" sqref="F21"/>
    </sheetView>
  </sheetViews>
  <sheetFormatPr defaultRowHeight="15" x14ac:dyDescent="0.25"/>
  <cols>
    <col min="1" max="1" width="0.5703125" customWidth="1"/>
    <col min="2" max="2" width="9.85546875" customWidth="1"/>
    <col min="3" max="3" width="31.5703125" customWidth="1"/>
    <col min="4" max="4" width="3.42578125" customWidth="1"/>
    <col min="5" max="5" width="10.42578125" customWidth="1"/>
    <col min="6" max="16" width="9.7109375" customWidth="1"/>
  </cols>
  <sheetData>
    <row r="1" spans="2:16" ht="3.75" customHeight="1" x14ac:dyDescent="0.25"/>
    <row r="2" spans="2:16" x14ac:dyDescent="0.25">
      <c r="B2" t="s">
        <v>76</v>
      </c>
    </row>
    <row r="4" spans="2:16" x14ac:dyDescent="0.25">
      <c r="B4" t="s">
        <v>77</v>
      </c>
      <c r="C4" t="s">
        <v>78</v>
      </c>
      <c r="E4" t="s">
        <v>88</v>
      </c>
      <c r="F4" s="38" cm="1">
        <f t="array" ref="F4:P4">_xlfn.SEQUENCE(1,Term.Cap.Year,1,1)</f>
        <v>1</v>
      </c>
      <c r="G4" s="38">
        <v>2</v>
      </c>
      <c r="H4" s="38">
        <v>3</v>
      </c>
      <c r="I4" s="38">
        <v>4</v>
      </c>
      <c r="J4" s="38">
        <v>5</v>
      </c>
      <c r="K4" s="38">
        <v>6</v>
      </c>
      <c r="L4" s="38">
        <v>7</v>
      </c>
      <c r="M4" s="38">
        <v>8</v>
      </c>
      <c r="N4" s="38">
        <v>9</v>
      </c>
      <c r="O4" s="38">
        <v>10</v>
      </c>
      <c r="P4" s="38">
        <v>11</v>
      </c>
    </row>
    <row r="5" spans="2:16" x14ac:dyDescent="0.25">
      <c r="B5" s="29">
        <v>2.5000000000000001E-2</v>
      </c>
      <c r="C5" s="1" t="s">
        <v>79</v>
      </c>
      <c r="E5" s="28">
        <v>250</v>
      </c>
      <c r="F5" s="30" cm="1">
        <f t="array" ref="F5:P5">($E5*Num.Apartments)*(1+$B5)^(_xlfn.ANCHORARRAY(Timeline)-1)</f>
        <v>31000</v>
      </c>
      <c r="G5" s="30">
        <v>31774.999999999996</v>
      </c>
      <c r="H5" s="30">
        <v>32569.374999999996</v>
      </c>
      <c r="I5" s="30">
        <v>33383.609374999993</v>
      </c>
      <c r="J5" s="30">
        <v>34218.199609374991</v>
      </c>
      <c r="K5" s="30">
        <v>35073.654599609363</v>
      </c>
      <c r="L5" s="30">
        <v>35950.495964599599</v>
      </c>
      <c r="M5" s="30">
        <v>36849.258363714587</v>
      </c>
      <c r="N5" s="30">
        <v>37770.489822807445</v>
      </c>
      <c r="O5" s="30">
        <v>38714.752068377631</v>
      </c>
      <c r="P5" s="30">
        <v>39682.62087008707</v>
      </c>
    </row>
    <row r="6" spans="2:16" x14ac:dyDescent="0.25">
      <c r="B6" s="29">
        <v>2.5000000000000001E-2</v>
      </c>
      <c r="C6" s="1" t="s">
        <v>80</v>
      </c>
      <c r="E6" s="28">
        <v>250</v>
      </c>
      <c r="F6" s="30" cm="1">
        <f t="array" ref="F6:P6">($E6*Num.Apartments)*(1+$B6)^(_xlfn.ANCHORARRAY(Timeline)-1)</f>
        <v>31000</v>
      </c>
      <c r="G6" s="30">
        <v>31774.999999999996</v>
      </c>
      <c r="H6" s="30">
        <v>32569.374999999996</v>
      </c>
      <c r="I6" s="30">
        <v>33383.609374999993</v>
      </c>
      <c r="J6" s="30">
        <v>34218.199609374991</v>
      </c>
      <c r="K6" s="30">
        <v>35073.654599609363</v>
      </c>
      <c r="L6" s="30">
        <v>35950.495964599599</v>
      </c>
      <c r="M6" s="30">
        <v>36849.258363714587</v>
      </c>
      <c r="N6" s="30">
        <v>37770.489822807445</v>
      </c>
      <c r="O6" s="30">
        <v>38714.752068377631</v>
      </c>
      <c r="P6" s="30">
        <v>39682.62087008707</v>
      </c>
    </row>
    <row r="7" spans="2:16" x14ac:dyDescent="0.25">
      <c r="B7" s="29">
        <v>2.5000000000000001E-2</v>
      </c>
      <c r="C7" s="1" t="s">
        <v>81</v>
      </c>
      <c r="E7" s="28">
        <v>800</v>
      </c>
      <c r="F7" s="30" cm="1">
        <f t="array" ref="F7:P7">($E7*Num.Apartments)*(1+$B7)^(_xlfn.ANCHORARRAY(Timeline)-1)</f>
        <v>99200</v>
      </c>
      <c r="G7" s="30">
        <v>101679.99999999999</v>
      </c>
      <c r="H7" s="30">
        <v>104221.99999999999</v>
      </c>
      <c r="I7" s="30">
        <v>106827.54999999999</v>
      </c>
      <c r="J7" s="30">
        <v>109498.23874999997</v>
      </c>
      <c r="K7" s="30">
        <v>112235.69471874996</v>
      </c>
      <c r="L7" s="30">
        <v>115041.5870867187</v>
      </c>
      <c r="M7" s="30">
        <v>117917.62676388668</v>
      </c>
      <c r="N7" s="30">
        <v>120865.56743298384</v>
      </c>
      <c r="O7" s="30">
        <v>123887.20661880841</v>
      </c>
      <c r="P7" s="30">
        <v>126984.38678427863</v>
      </c>
    </row>
    <row r="8" spans="2:16" x14ac:dyDescent="0.25">
      <c r="B8" s="29">
        <v>2.5000000000000001E-2</v>
      </c>
      <c r="C8" s="1" t="s">
        <v>82</v>
      </c>
      <c r="E8" s="28">
        <v>1200</v>
      </c>
      <c r="F8" s="30" cm="1">
        <f t="array" ref="F8:P8">($E8*Num.Apartments)*(1+$B8)^(_xlfn.ANCHORARRAY(Timeline)-1)</f>
        <v>148800</v>
      </c>
      <c r="G8" s="30">
        <v>152520</v>
      </c>
      <c r="H8" s="30">
        <v>156333</v>
      </c>
      <c r="I8" s="30">
        <v>160241.32499999998</v>
      </c>
      <c r="J8" s="30">
        <v>164247.35812499997</v>
      </c>
      <c r="K8" s="30">
        <v>168353.54207812494</v>
      </c>
      <c r="L8" s="30">
        <v>172562.38063007806</v>
      </c>
      <c r="M8" s="30">
        <v>176876.44014583001</v>
      </c>
      <c r="N8" s="30">
        <v>181298.35114947575</v>
      </c>
      <c r="O8" s="30">
        <v>185830.80992821261</v>
      </c>
      <c r="P8" s="30">
        <v>190476.58017641795</v>
      </c>
    </row>
    <row r="9" spans="2:16" x14ac:dyDescent="0.25">
      <c r="B9" s="29">
        <v>2.5000000000000001E-2</v>
      </c>
      <c r="C9" s="1" t="s">
        <v>83</v>
      </c>
      <c r="E9" s="28">
        <v>700</v>
      </c>
      <c r="F9" s="30" cm="1">
        <f t="array" ref="F9:P9">($E9*Num.Apartments)*(1+$B9)^(_xlfn.ANCHORARRAY(Timeline)-1)</f>
        <v>86800</v>
      </c>
      <c r="G9" s="30">
        <v>88969.999999999985</v>
      </c>
      <c r="H9" s="30">
        <v>91194.25</v>
      </c>
      <c r="I9" s="30">
        <v>93474.106249999983</v>
      </c>
      <c r="J9" s="30">
        <v>95810.958906249973</v>
      </c>
      <c r="K9" s="30">
        <v>98206.232878906216</v>
      </c>
      <c r="L9" s="30">
        <v>100661.38870087887</v>
      </c>
      <c r="M9" s="30">
        <v>103177.92341840084</v>
      </c>
      <c r="N9" s="30">
        <v>105757.37150386085</v>
      </c>
      <c r="O9" s="30">
        <v>108401.30579145736</v>
      </c>
      <c r="P9" s="30">
        <v>111111.33843624379</v>
      </c>
    </row>
    <row r="10" spans="2:16" x14ac:dyDescent="0.25">
      <c r="B10" s="29">
        <v>2.5000000000000001E-2</v>
      </c>
      <c r="C10" s="1" t="s">
        <v>84</v>
      </c>
      <c r="D10" s="8">
        <v>0.03</v>
      </c>
      <c r="E10" s="28"/>
      <c r="F10" s="30" cm="1">
        <f t="array" aca="1" ref="F10:P10" ca="1">D10*_xlfn.ANCHORARRAY(Estimated.Gross.Revenue)</f>
        <v>33028.080000000002</v>
      </c>
      <c r="G10" s="30">
        <f ca="1"/>
        <v>37103.516399999993</v>
      </c>
      <c r="H10" s="30">
        <f ca="1"/>
        <v>40687.365857999997</v>
      </c>
      <c r="I10" s="30">
        <f ca="1"/>
        <v>42073.169913029975</v>
      </c>
      <c r="J10" s="30">
        <f ca="1"/>
        <v>43507.094572486028</v>
      </c>
      <c r="K10" s="30">
        <f ca="1"/>
        <v>44990.820232148035</v>
      </c>
      <c r="L10" s="30">
        <f ca="1"/>
        <v>46526.086063394483</v>
      </c>
      <c r="M10" s="30">
        <f ca="1"/>
        <v>48114.692069965742</v>
      </c>
      <c r="N10" s="30">
        <f ca="1"/>
        <v>49758.501216710531</v>
      </c>
      <c r="O10" s="30">
        <f ca="1"/>
        <v>51459.441632834314</v>
      </c>
      <c r="P10" s="30">
        <f ca="1"/>
        <v>53219.508892257858</v>
      </c>
    </row>
    <row r="11" spans="2:16" x14ac:dyDescent="0.25">
      <c r="B11" s="29">
        <v>2.5000000000000001E-2</v>
      </c>
      <c r="C11" s="1" t="s">
        <v>85</v>
      </c>
      <c r="E11" s="28">
        <v>225</v>
      </c>
      <c r="F11" s="30" cm="1">
        <f t="array" ref="F11:P11">($E11*Num.Apartments)*(1+$B11)^(_xlfn.ANCHORARRAY(Timeline)-1)</f>
        <v>27900</v>
      </c>
      <c r="G11" s="30">
        <v>28597.499999999996</v>
      </c>
      <c r="H11" s="30">
        <v>29312.437499999996</v>
      </c>
      <c r="I11" s="30">
        <v>30045.248437499995</v>
      </c>
      <c r="J11" s="30">
        <v>30796.379648437494</v>
      </c>
      <c r="K11" s="30">
        <v>31566.289139648426</v>
      </c>
      <c r="L11" s="30">
        <v>32355.446368139637</v>
      </c>
      <c r="M11" s="30">
        <v>33164.332527343126</v>
      </c>
      <c r="N11" s="30">
        <v>33993.440840526702</v>
      </c>
      <c r="O11" s="30">
        <v>34843.276861539867</v>
      </c>
      <c r="P11" s="30">
        <v>35714.358783078365</v>
      </c>
    </row>
    <row r="12" spans="2:16" x14ac:dyDescent="0.25">
      <c r="B12" s="29">
        <v>2.5000000000000001E-2</v>
      </c>
      <c r="C12" s="1" t="s">
        <v>86</v>
      </c>
      <c r="E12" s="28">
        <v>1350</v>
      </c>
      <c r="F12" s="30" cm="1">
        <f t="array" ref="F12:P12">($E12*Num.Apartments)*(1+$B12)^(_xlfn.ANCHORARRAY(Timeline)-1)</f>
        <v>167400</v>
      </c>
      <c r="G12" s="30">
        <v>171584.99999999997</v>
      </c>
      <c r="H12" s="30">
        <v>175874.625</v>
      </c>
      <c r="I12" s="30">
        <v>180271.49062499998</v>
      </c>
      <c r="J12" s="30">
        <v>184778.27789062497</v>
      </c>
      <c r="K12" s="30">
        <v>189397.73483789057</v>
      </c>
      <c r="L12" s="30">
        <v>194132.67820883781</v>
      </c>
      <c r="M12" s="30">
        <v>198985.99516405878</v>
      </c>
      <c r="N12" s="30">
        <v>203960.64504316021</v>
      </c>
      <c r="O12" s="30">
        <v>209059.6611692392</v>
      </c>
      <c r="P12" s="30">
        <v>214286.15269847016</v>
      </c>
    </row>
    <row r="13" spans="2:16" x14ac:dyDescent="0.25">
      <c r="B13" s="29"/>
      <c r="C13" t="s">
        <v>87</v>
      </c>
      <c r="F13" s="31">
        <f ca="1">SUM(F5:F12)</f>
        <v>625128.08000000007</v>
      </c>
      <c r="G13" s="31">
        <f t="shared" ref="G13:P13" ca="1" si="0">SUM(G5:G12)</f>
        <v>644006.01639999996</v>
      </c>
      <c r="H13" s="31">
        <f t="shared" ca="1" si="0"/>
        <v>662762.428358</v>
      </c>
      <c r="I13" s="31">
        <f t="shared" ca="1" si="0"/>
        <v>679700.1089755299</v>
      </c>
      <c r="J13" s="31">
        <f t="shared" ca="1" si="0"/>
        <v>697074.7071115484</v>
      </c>
      <c r="K13" s="31">
        <f t="shared" ca="1" si="0"/>
        <v>714897.62308468693</v>
      </c>
      <c r="L13" s="31">
        <f t="shared" ca="1" si="0"/>
        <v>733180.55898724683</v>
      </c>
      <c r="M13" s="31">
        <f t="shared" ca="1" si="0"/>
        <v>751935.52681691444</v>
      </c>
      <c r="N13" s="31">
        <f t="shared" ca="1" si="0"/>
        <v>771174.85683233279</v>
      </c>
      <c r="O13" s="31">
        <f t="shared" ca="1" si="0"/>
        <v>790911.20613884705</v>
      </c>
      <c r="P13" s="31">
        <f t="shared" ca="1" si="0"/>
        <v>811157.56751092093</v>
      </c>
    </row>
    <row r="15" spans="2:16" x14ac:dyDescent="0.25">
      <c r="C15" t="s">
        <v>89</v>
      </c>
      <c r="F15" s="32">
        <v>350000</v>
      </c>
      <c r="G15" s="32">
        <v>250000</v>
      </c>
    </row>
    <row r="16" spans="2:16" x14ac:dyDescent="0.25">
      <c r="C16" t="s">
        <v>90</v>
      </c>
      <c r="F16" s="31" cm="1">
        <f t="array" ref="F16:P16">+F15:P15</f>
        <v>350000</v>
      </c>
      <c r="G16" s="33">
        <v>250000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88A4-A8AE-48B5-B3F4-328020B107A2}">
  <sheetPr>
    <tabColor theme="9" tint="0.39997558519241921"/>
  </sheetPr>
  <dimension ref="B1:O50"/>
  <sheetViews>
    <sheetView zoomScale="130" zoomScaleNormal="130" workbookViewId="0">
      <selection activeCell="C12" sqref="C12"/>
    </sheetView>
  </sheetViews>
  <sheetFormatPr defaultRowHeight="15" x14ac:dyDescent="0.25"/>
  <cols>
    <col min="1" max="1" width="0.42578125" customWidth="1"/>
    <col min="2" max="2" width="25.28515625" customWidth="1"/>
    <col min="3" max="3" width="8.5703125" customWidth="1"/>
    <col min="4" max="4" width="13.42578125" customWidth="1"/>
    <col min="5" max="15" width="12.5703125" customWidth="1"/>
  </cols>
  <sheetData>
    <row r="1" spans="2:15" ht="3" customHeight="1" x14ac:dyDescent="0.25"/>
    <row r="2" spans="2:15" ht="26.25" x14ac:dyDescent="0.4">
      <c r="B2" s="35" t="s">
        <v>91</v>
      </c>
    </row>
    <row r="3" spans="2:15" x14ac:dyDescent="0.25">
      <c r="D3" s="37" t="s">
        <v>92</v>
      </c>
      <c r="E3" s="38" cm="1">
        <f t="array" ref="E3:O3">+_xlfn.ANCHORARRAY(Timeline)</f>
        <v>1</v>
      </c>
      <c r="F3" s="38">
        <v>2</v>
      </c>
      <c r="G3" s="38">
        <v>3</v>
      </c>
      <c r="H3" s="38">
        <v>4</v>
      </c>
      <c r="I3" s="38">
        <v>5</v>
      </c>
      <c r="J3" s="38">
        <v>6</v>
      </c>
      <c r="K3" s="38">
        <v>7</v>
      </c>
      <c r="L3" s="38">
        <v>8</v>
      </c>
      <c r="M3" s="38">
        <v>9</v>
      </c>
      <c r="N3" s="38">
        <v>10</v>
      </c>
      <c r="O3" s="38">
        <v>11</v>
      </c>
    </row>
    <row r="4" spans="2:15" x14ac:dyDescent="0.25">
      <c r="B4" t="s">
        <v>99</v>
      </c>
    </row>
    <row r="5" spans="2:15" x14ac:dyDescent="0.25">
      <c r="B5" s="1" t="s">
        <v>100</v>
      </c>
      <c r="E5" s="2" cm="1">
        <f t="array" ref="E5:O5">SUMIF(_xlfn.ANCHORARRAY(Monthly.Revenue.Year),_xlfn.ANCHORARRAY(E$3),_xlfn.ANCHORARRAY(Monthly.Revenue.Forecast))</f>
        <v>1123680</v>
      </c>
      <c r="F5" s="2">
        <v>1266839.9999999998</v>
      </c>
      <c r="G5" s="2">
        <v>1389850.1639999999</v>
      </c>
      <c r="H5" s="2">
        <v>1438494.9197399991</v>
      </c>
      <c r="I5" s="2">
        <v>1488842.2419308992</v>
      </c>
      <c r="J5" s="2">
        <v>1540951.7203984808</v>
      </c>
      <c r="K5" s="2">
        <v>1594885.0306124277</v>
      </c>
      <c r="L5" s="2">
        <v>1650706.0066838625</v>
      </c>
      <c r="M5" s="2">
        <v>1708480.7169177977</v>
      </c>
      <c r="N5" s="2">
        <v>1768277.5420099196</v>
      </c>
      <c r="O5" s="2">
        <v>1830167.2559802672</v>
      </c>
    </row>
    <row r="6" spans="2:15" x14ac:dyDescent="0.25">
      <c r="B6" s="1" t="s">
        <v>51</v>
      </c>
      <c r="D6" s="43">
        <f>AVERAGE(_xlfn.ANCHORARRAY(E6))/AVERAGE(_xlfn.ANCHORARRAY(Potential.Gross.Income))</f>
        <v>3.3277203405126514E-2</v>
      </c>
      <c r="E6" s="30" cm="1">
        <f t="array" ref="E6:O6">Other.Income*(1+Infl.Other.Income)^(_xlfn.ANCHORARRAY(E3)-1)</f>
        <v>50000</v>
      </c>
      <c r="F6" s="30">
        <v>50500</v>
      </c>
      <c r="G6" s="30">
        <v>51005</v>
      </c>
      <c r="H6" s="30">
        <v>51515.049999999996</v>
      </c>
      <c r="I6" s="30">
        <v>52030.200499999999</v>
      </c>
      <c r="J6" s="30">
        <v>52550.502504999997</v>
      </c>
      <c r="K6" s="30">
        <v>53076.00753005001</v>
      </c>
      <c r="L6" s="30">
        <v>53606.767605350491</v>
      </c>
      <c r="M6" s="30">
        <v>54142.835281404012</v>
      </c>
      <c r="N6" s="30">
        <v>54684.263634218056</v>
      </c>
      <c r="O6" s="30">
        <v>55231.106270560238</v>
      </c>
    </row>
    <row r="7" spans="2:15" x14ac:dyDescent="0.25">
      <c r="B7" t="s">
        <v>101</v>
      </c>
      <c r="D7" s="43"/>
      <c r="E7" s="33" cm="1">
        <f t="array" ref="E7:O7">_xlfn.ANCHORARRAY(E5)+_xlfn.ANCHORARRAY(E6)</f>
        <v>1173680</v>
      </c>
      <c r="F7" s="33">
        <v>1317339.9999999998</v>
      </c>
      <c r="G7" s="33">
        <v>1440855.1639999999</v>
      </c>
      <c r="H7" s="33">
        <v>1490009.9697399992</v>
      </c>
      <c r="I7" s="33">
        <v>1540872.4424308992</v>
      </c>
      <c r="J7" s="33">
        <v>1593502.2229034808</v>
      </c>
      <c r="K7" s="33">
        <v>1647961.0381424779</v>
      </c>
      <c r="L7" s="33">
        <v>1704312.7742892131</v>
      </c>
      <c r="M7" s="33">
        <v>1762623.5521992017</v>
      </c>
      <c r="N7" s="33">
        <v>1822961.8056441378</v>
      </c>
      <c r="O7" s="33">
        <v>1885398.3622508275</v>
      </c>
    </row>
    <row r="8" spans="2:15" x14ac:dyDescent="0.2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spans="2:15" x14ac:dyDescent="0.25">
      <c r="B9" t="s">
        <v>102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pans="2:15" x14ac:dyDescent="0.25">
      <c r="B10" s="1" t="s">
        <v>103</v>
      </c>
      <c r="D10" s="43">
        <f ca="1">AVERAGE(_xlfn.ANCHORARRAY(E10))/AVERAGE(_xlfn.ANCHORARRAY(Potential.Gross.Income))</f>
        <v>3.3045583155289153E-2</v>
      </c>
      <c r="E10" s="30" cm="1">
        <f t="array" aca="1" ref="E10:O10" ca="1">SUMIF(_xlfn.ANCHORARRAY(Monthly.Revenue.Year),_xlfn.ANCHORARRAY(E$3),Forecast.Free.Rent)</f>
        <v>41040</v>
      </c>
      <c r="F10" s="30">
        <f ca="1"/>
        <v>45457.2</v>
      </c>
      <c r="G10" s="30">
        <f ca="1"/>
        <v>47048.20199999999</v>
      </c>
      <c r="H10" s="30">
        <f ca="1"/>
        <v>48694.88906999999</v>
      </c>
      <c r="I10" s="30">
        <f ca="1"/>
        <v>50399.210187449986</v>
      </c>
      <c r="J10" s="30">
        <f ca="1"/>
        <v>52163.182544010728</v>
      </c>
      <c r="K10" s="30">
        <f ca="1"/>
        <v>53988.893933051106</v>
      </c>
      <c r="L10" s="30">
        <f ca="1"/>
        <v>55878.505220707884</v>
      </c>
      <c r="M10" s="30">
        <f ca="1"/>
        <v>57834.252903432658</v>
      </c>
      <c r="N10" s="30">
        <f ca="1"/>
        <v>59858.451755052789</v>
      </c>
      <c r="O10" s="30">
        <f ca="1"/>
        <v>61953.497566479637</v>
      </c>
    </row>
    <row r="11" spans="2:15" x14ac:dyDescent="0.25">
      <c r="B11" s="1" t="s">
        <v>104</v>
      </c>
      <c r="D11" s="43">
        <f ca="1">AVERAGE(_xlfn.ANCHORARRAY(E11))/AVERAGE(_xlfn.ANCHORARRAY(Potential.Gross.Income))</f>
        <v>2.625265569925981E-2</v>
      </c>
      <c r="E11" s="30" cm="1">
        <f t="array" aca="1" ref="E11:O11" ca="1">SUMIF(_xlfn.ANCHORARRAY(Monthly.Revenue.Year),_xlfn.ANCHORARRAY(E$3),Forecast.Vacancy)</f>
        <v>31704</v>
      </c>
      <c r="F11" s="30">
        <f ca="1"/>
        <v>35098.92</v>
      </c>
      <c r="G11" s="30">
        <f ca="1"/>
        <v>37561.433399999994</v>
      </c>
      <c r="H11" s="30">
        <f ca="1"/>
        <v>38876.083568999995</v>
      </c>
      <c r="I11" s="30">
        <f ca="1"/>
        <v>40236.746493914987</v>
      </c>
      <c r="J11" s="30">
        <f ca="1"/>
        <v>41645.032621202001</v>
      </c>
      <c r="K11" s="30">
        <f ca="1"/>
        <v>43102.608762944081</v>
      </c>
      <c r="L11" s="30">
        <f ca="1"/>
        <v>44611.200069647122</v>
      </c>
      <c r="M11" s="30">
        <f ca="1"/>
        <v>46172.592072084764</v>
      </c>
      <c r="N11" s="30">
        <f ca="1"/>
        <v>47788.632794607722</v>
      </c>
      <c r="O11" s="30">
        <f ca="1"/>
        <v>49461.234942418989</v>
      </c>
    </row>
    <row r="12" spans="2:15" x14ac:dyDescent="0.25">
      <c r="B12" t="s">
        <v>105</v>
      </c>
      <c r="E12" s="33" cm="1">
        <f t="array" aca="1" ref="E12:O12" ca="1">_xlfn.ANCHORARRAY(E10)+_xlfn.ANCHORARRAY(E11)</f>
        <v>72744</v>
      </c>
      <c r="F12" s="33">
        <f ca="1"/>
        <v>80556.12</v>
      </c>
      <c r="G12" s="33">
        <f ca="1"/>
        <v>84609.635399999985</v>
      </c>
      <c r="H12" s="33">
        <f ca="1"/>
        <v>87570.972638999985</v>
      </c>
      <c r="I12" s="33">
        <f ca="1"/>
        <v>90635.956681364973</v>
      </c>
      <c r="J12" s="33">
        <f ca="1"/>
        <v>93808.215165212721</v>
      </c>
      <c r="K12" s="33">
        <f ca="1"/>
        <v>97091.502695995179</v>
      </c>
      <c r="L12" s="33">
        <f ca="1"/>
        <v>100489.70529035501</v>
      </c>
      <c r="M12" s="33">
        <f ca="1"/>
        <v>104006.84497551742</v>
      </c>
      <c r="N12" s="33">
        <f ca="1"/>
        <v>107647.0845496605</v>
      </c>
      <c r="O12" s="33">
        <f ca="1"/>
        <v>111414.73250889863</v>
      </c>
    </row>
    <row r="13" spans="2:15" x14ac:dyDescent="0.2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</row>
    <row r="14" spans="2:15" x14ac:dyDescent="0.25">
      <c r="B14" t="s">
        <v>111</v>
      </c>
      <c r="E14" s="48" cm="1">
        <f t="array" aca="1" ref="E14:O14" ca="1">+_xlfn.ANCHORARRAY(Potential.Gross.Income)-_xlfn.ANCHORARRAY(E12)</f>
        <v>1100936</v>
      </c>
      <c r="F14" s="30">
        <f ca="1"/>
        <v>1236783.8799999999</v>
      </c>
      <c r="G14" s="30">
        <f ca="1"/>
        <v>1356245.5285999998</v>
      </c>
      <c r="H14" s="30">
        <f ca="1"/>
        <v>1402438.9971009991</v>
      </c>
      <c r="I14" s="30">
        <f ca="1"/>
        <v>1450236.4857495343</v>
      </c>
      <c r="J14" s="30">
        <f ca="1"/>
        <v>1499694.007738268</v>
      </c>
      <c r="K14" s="30">
        <f ca="1"/>
        <v>1550869.5354464827</v>
      </c>
      <c r="L14" s="30">
        <f ca="1"/>
        <v>1603823.0689988581</v>
      </c>
      <c r="M14" s="30">
        <f ca="1"/>
        <v>1658616.7072236843</v>
      </c>
      <c r="N14" s="30">
        <f ca="1"/>
        <v>1715314.7210944772</v>
      </c>
      <c r="O14" s="30">
        <f ca="1"/>
        <v>1773983.6297419288</v>
      </c>
    </row>
    <row r="15" spans="2:15" x14ac:dyDescent="0.2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 spans="2:15" x14ac:dyDescent="0.25">
      <c r="B16" t="s">
        <v>112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</row>
    <row r="17" spans="2:15" x14ac:dyDescent="0.25">
      <c r="B17" s="1" t="s">
        <v>79</v>
      </c>
      <c r="E17" s="30" cm="1">
        <f t="array" ref="E17:O17">+_xlfn.ANCHORARRAY(Expenses!F5)</f>
        <v>31000</v>
      </c>
      <c r="F17" s="30">
        <v>31774.999999999996</v>
      </c>
      <c r="G17" s="30">
        <v>32569.374999999996</v>
      </c>
      <c r="H17" s="30">
        <v>33383.609374999993</v>
      </c>
      <c r="I17" s="30">
        <v>34218.199609374991</v>
      </c>
      <c r="J17" s="30">
        <v>35073.654599609363</v>
      </c>
      <c r="K17" s="30">
        <v>35950.495964599599</v>
      </c>
      <c r="L17" s="30">
        <v>36849.258363714587</v>
      </c>
      <c r="M17" s="30">
        <v>37770.489822807445</v>
      </c>
      <c r="N17" s="30">
        <v>38714.752068377631</v>
      </c>
      <c r="O17" s="30">
        <v>39682.62087008707</v>
      </c>
    </row>
    <row r="18" spans="2:15" x14ac:dyDescent="0.25">
      <c r="B18" s="1" t="s">
        <v>80</v>
      </c>
      <c r="E18" s="30" cm="1">
        <f t="array" ref="E18:O18">+_xlfn.ANCHORARRAY(Expenses!F6)</f>
        <v>31000</v>
      </c>
      <c r="F18" s="30">
        <v>31774.999999999996</v>
      </c>
      <c r="G18" s="30">
        <v>32569.374999999996</v>
      </c>
      <c r="H18" s="30">
        <v>33383.609374999993</v>
      </c>
      <c r="I18" s="30">
        <v>34218.199609374991</v>
      </c>
      <c r="J18" s="30">
        <v>35073.654599609363</v>
      </c>
      <c r="K18" s="30">
        <v>35950.495964599599</v>
      </c>
      <c r="L18" s="30">
        <v>36849.258363714587</v>
      </c>
      <c r="M18" s="30">
        <v>37770.489822807445</v>
      </c>
      <c r="N18" s="30">
        <v>38714.752068377631</v>
      </c>
      <c r="O18" s="30">
        <v>39682.62087008707</v>
      </c>
    </row>
    <row r="19" spans="2:15" x14ac:dyDescent="0.25">
      <c r="B19" s="1" t="s">
        <v>81</v>
      </c>
      <c r="E19" s="30" cm="1">
        <f t="array" ref="E19:O19">+_xlfn.ANCHORARRAY(Expenses!F7)</f>
        <v>99200</v>
      </c>
      <c r="F19" s="30">
        <v>101679.99999999999</v>
      </c>
      <c r="G19" s="30">
        <v>104221.99999999999</v>
      </c>
      <c r="H19" s="30">
        <v>106827.54999999999</v>
      </c>
      <c r="I19" s="30">
        <v>109498.23874999997</v>
      </c>
      <c r="J19" s="30">
        <v>112235.69471874996</v>
      </c>
      <c r="K19" s="30">
        <v>115041.5870867187</v>
      </c>
      <c r="L19" s="30">
        <v>117917.62676388668</v>
      </c>
      <c r="M19" s="30">
        <v>120865.56743298384</v>
      </c>
      <c r="N19" s="30">
        <v>123887.20661880841</v>
      </c>
      <c r="O19" s="30">
        <v>126984.38678427863</v>
      </c>
    </row>
    <row r="20" spans="2:15" x14ac:dyDescent="0.25">
      <c r="B20" s="1" t="s">
        <v>82</v>
      </c>
      <c r="E20" s="30" cm="1">
        <f t="array" ref="E20:O20">+_xlfn.ANCHORARRAY(Expenses!F8)</f>
        <v>148800</v>
      </c>
      <c r="F20" s="30">
        <v>152520</v>
      </c>
      <c r="G20" s="30">
        <v>156333</v>
      </c>
      <c r="H20" s="30">
        <v>160241.32499999998</v>
      </c>
      <c r="I20" s="30">
        <v>164247.35812499997</v>
      </c>
      <c r="J20" s="30">
        <v>168353.54207812494</v>
      </c>
      <c r="K20" s="30">
        <v>172562.38063007806</v>
      </c>
      <c r="L20" s="30">
        <v>176876.44014583001</v>
      </c>
      <c r="M20" s="30">
        <v>181298.35114947575</v>
      </c>
      <c r="N20" s="30">
        <v>185830.80992821261</v>
      </c>
      <c r="O20" s="30">
        <v>190476.58017641795</v>
      </c>
    </row>
    <row r="21" spans="2:15" x14ac:dyDescent="0.25">
      <c r="B21" s="1" t="s">
        <v>83</v>
      </c>
      <c r="E21" s="30" cm="1">
        <f t="array" ref="E21:O21">+_xlfn.ANCHORARRAY(Expenses!F9)</f>
        <v>86800</v>
      </c>
      <c r="F21" s="30">
        <v>88969.999999999985</v>
      </c>
      <c r="G21" s="30">
        <v>91194.25</v>
      </c>
      <c r="H21" s="30">
        <v>93474.106249999983</v>
      </c>
      <c r="I21" s="30">
        <v>95810.958906249973</v>
      </c>
      <c r="J21" s="30">
        <v>98206.232878906216</v>
      </c>
      <c r="K21" s="30">
        <v>100661.38870087887</v>
      </c>
      <c r="L21" s="30">
        <v>103177.92341840084</v>
      </c>
      <c r="M21" s="30">
        <v>105757.37150386085</v>
      </c>
      <c r="N21" s="30">
        <v>108401.30579145736</v>
      </c>
      <c r="O21" s="30">
        <v>111111.33843624379</v>
      </c>
    </row>
    <row r="22" spans="2:15" x14ac:dyDescent="0.25">
      <c r="B22" s="1" t="s">
        <v>84</v>
      </c>
      <c r="E22" s="30" cm="1">
        <f t="array" aca="1" ref="E22:O22" ca="1">+_xlfn.ANCHORARRAY(Expenses!F10)</f>
        <v>33028.080000000002</v>
      </c>
      <c r="F22" s="30">
        <f ca="1"/>
        <v>37103.516399999993</v>
      </c>
      <c r="G22" s="30">
        <f ca="1"/>
        <v>40687.365857999997</v>
      </c>
      <c r="H22" s="30">
        <f ca="1"/>
        <v>42073.169913029975</v>
      </c>
      <c r="I22" s="30">
        <f ca="1"/>
        <v>43507.094572486028</v>
      </c>
      <c r="J22" s="30">
        <f ca="1"/>
        <v>44990.820232148035</v>
      </c>
      <c r="K22" s="30">
        <f ca="1"/>
        <v>46526.086063394483</v>
      </c>
      <c r="L22" s="30">
        <f ca="1"/>
        <v>48114.692069965742</v>
      </c>
      <c r="M22" s="30">
        <f ca="1"/>
        <v>49758.501216710531</v>
      </c>
      <c r="N22" s="30">
        <f ca="1"/>
        <v>51459.441632834314</v>
      </c>
      <c r="O22" s="30">
        <f ca="1"/>
        <v>53219.508892257858</v>
      </c>
    </row>
    <row r="23" spans="2:15" x14ac:dyDescent="0.25">
      <c r="B23" s="1" t="s">
        <v>85</v>
      </c>
      <c r="E23" s="30" cm="1">
        <f t="array" ref="E23:O23">+_xlfn.ANCHORARRAY(Expenses!F11)</f>
        <v>27900</v>
      </c>
      <c r="F23" s="30">
        <v>28597.499999999996</v>
      </c>
      <c r="G23" s="30">
        <v>29312.437499999996</v>
      </c>
      <c r="H23" s="30">
        <v>30045.248437499995</v>
      </c>
      <c r="I23" s="30">
        <v>30796.379648437494</v>
      </c>
      <c r="J23" s="30">
        <v>31566.289139648426</v>
      </c>
      <c r="K23" s="30">
        <v>32355.446368139637</v>
      </c>
      <c r="L23" s="30">
        <v>33164.332527343126</v>
      </c>
      <c r="M23" s="30">
        <v>33993.440840526702</v>
      </c>
      <c r="N23" s="30">
        <v>34843.276861539867</v>
      </c>
      <c r="O23" s="30">
        <v>35714.358783078365</v>
      </c>
    </row>
    <row r="24" spans="2:15" x14ac:dyDescent="0.25">
      <c r="B24" s="1" t="s">
        <v>86</v>
      </c>
      <c r="E24" s="30" cm="1">
        <f t="array" ref="E24:O24">+_xlfn.ANCHORARRAY(Expenses!F12)</f>
        <v>167400</v>
      </c>
      <c r="F24" s="30">
        <v>171584.99999999997</v>
      </c>
      <c r="G24" s="30">
        <v>175874.625</v>
      </c>
      <c r="H24" s="30">
        <v>180271.49062499998</v>
      </c>
      <c r="I24" s="30">
        <v>184778.27789062497</v>
      </c>
      <c r="J24" s="30">
        <v>189397.73483789057</v>
      </c>
      <c r="K24" s="30">
        <v>194132.67820883781</v>
      </c>
      <c r="L24" s="30">
        <v>198985.99516405878</v>
      </c>
      <c r="M24" s="30">
        <v>203960.64504316021</v>
      </c>
      <c r="N24" s="30">
        <v>209059.6611692392</v>
      </c>
      <c r="O24" s="30">
        <v>214286.15269847016</v>
      </c>
    </row>
    <row r="25" spans="2:15" x14ac:dyDescent="0.25">
      <c r="B25" s="18" t="s">
        <v>113</v>
      </c>
      <c r="D25" s="49">
        <f ca="1">AVERAGE(_xlfn.ANCHORARRAY(E25))/AVERAGE(_xlfn.ANCHORARRAY(Estimated.Gross.Revenue))</f>
        <v>0.48210632892450672</v>
      </c>
      <c r="E25" s="33" cm="1">
        <f t="array" aca="1" ref="E25:O25" ca="1">_xlfn.BYCOL(_xlfn.ANCHORARRAY(E17):_xlfn.ANCHORARRAY(E24),_xlfn.LAMBDA(_xlpm.numbers,SUM(_xlpm.numbers)))</f>
        <v>625128.08000000007</v>
      </c>
      <c r="F25" s="33">
        <f ca="1"/>
        <v>644006.01639999996</v>
      </c>
      <c r="G25" s="33">
        <f ca="1"/>
        <v>662762.428358</v>
      </c>
      <c r="H25" s="33">
        <f ca="1"/>
        <v>679700.1089755299</v>
      </c>
      <c r="I25" s="33">
        <f ca="1"/>
        <v>697074.7071115484</v>
      </c>
      <c r="J25" s="33">
        <f ca="1"/>
        <v>714897.62308468693</v>
      </c>
      <c r="K25" s="33">
        <f ca="1"/>
        <v>733180.55898724683</v>
      </c>
      <c r="L25" s="33">
        <f ca="1"/>
        <v>751935.52681691444</v>
      </c>
      <c r="M25" s="33">
        <f ca="1"/>
        <v>771174.85683233279</v>
      </c>
      <c r="N25" s="33">
        <f ca="1"/>
        <v>790911.20613884705</v>
      </c>
      <c r="O25" s="33">
        <f ca="1"/>
        <v>811157.56751092093</v>
      </c>
    </row>
    <row r="26" spans="2:15" x14ac:dyDescent="0.25"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</row>
    <row r="27" spans="2:15" x14ac:dyDescent="0.25">
      <c r="B27" s="18" t="s">
        <v>114</v>
      </c>
      <c r="D27" s="49">
        <f ca="1">AVERAGE(_xlfn.ANCHORARRAY(E27))/AVERAGE(_xlfn.ANCHORARRAY(Estimated.Gross.Revenue))</f>
        <v>0.51789367107549322</v>
      </c>
      <c r="E27" s="30" cm="1">
        <f t="array" aca="1" ref="E27:O27" ca="1">_xlfn.ANCHORARRAY(Estimated.Gross.Revenue)-_xlfn.ANCHORARRAY(E25)</f>
        <v>475807.91999999993</v>
      </c>
      <c r="F27" s="30">
        <f ca="1"/>
        <v>592777.86359999992</v>
      </c>
      <c r="G27" s="30">
        <f ca="1"/>
        <v>693483.10024199984</v>
      </c>
      <c r="H27" s="30">
        <f ca="1"/>
        <v>722738.88812546921</v>
      </c>
      <c r="I27" s="30">
        <f ca="1"/>
        <v>753161.77863798593</v>
      </c>
      <c r="J27" s="30">
        <f ca="1"/>
        <v>784796.38465358107</v>
      </c>
      <c r="K27" s="30">
        <f ca="1"/>
        <v>817688.97645923588</v>
      </c>
      <c r="L27" s="30">
        <f ca="1"/>
        <v>851887.54218194366</v>
      </c>
      <c r="M27" s="30">
        <f ca="1"/>
        <v>887441.8503913515</v>
      </c>
      <c r="N27" s="30">
        <f ca="1"/>
        <v>924403.51495563018</v>
      </c>
      <c r="O27" s="30">
        <f ca="1"/>
        <v>962826.06223100785</v>
      </c>
    </row>
    <row r="28" spans="2:15" x14ac:dyDescent="0.25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</row>
    <row r="29" spans="2:15" x14ac:dyDescent="0.25">
      <c r="B29" t="s">
        <v>115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</row>
    <row r="30" spans="2:15" x14ac:dyDescent="0.25">
      <c r="B30" s="1" t="s">
        <v>54</v>
      </c>
      <c r="E30" s="30" cm="1">
        <f t="array" ref="E30:O30">SUMIF(_xlfn.ANCHORARRAY(Monthly.Revenue.Year),_xlfn.ANCHORARRAY(E$3),_xlfn.ANCHORARRAY(Forecast.ReLeasing.Cost))</f>
        <v>16560</v>
      </c>
      <c r="F30" s="30">
        <v>16891.2</v>
      </c>
      <c r="G30" s="30">
        <v>17229.023999999998</v>
      </c>
      <c r="H30" s="30">
        <v>17573.604479999998</v>
      </c>
      <c r="I30" s="30">
        <v>17925.076569600002</v>
      </c>
      <c r="J30" s="30">
        <v>18283.578100992003</v>
      </c>
      <c r="K30" s="30">
        <v>18649.249663011844</v>
      </c>
      <c r="L30" s="30">
        <v>19022.234656272074</v>
      </c>
      <c r="M30" s="30">
        <v>19402.679349397516</v>
      </c>
      <c r="N30" s="30">
        <v>19790.732936385466</v>
      </c>
      <c r="O30" s="30">
        <v>20186.547595113178</v>
      </c>
    </row>
    <row r="31" spans="2:15" x14ac:dyDescent="0.25">
      <c r="B31" s="1" t="s">
        <v>116</v>
      </c>
      <c r="E31" s="30" cm="1">
        <f t="array" ref="E31:O31">Forecast.Value.Add.Costs</f>
        <v>350000</v>
      </c>
      <c r="F31" s="30">
        <v>250000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</row>
    <row r="32" spans="2:15" x14ac:dyDescent="0.25">
      <c r="B32" s="1" t="s">
        <v>118</v>
      </c>
      <c r="E32" s="30" cm="1">
        <f t="array" ref="E32:O32">SUMIF(_xlfn.ANCHORARRAY(Monthly.Revenue.Year),_xlfn.ANCHORARRAY(E$3),_xlfn.ANCHORARRAY(Forecast.CapEx))</f>
        <v>85200</v>
      </c>
      <c r="F32" s="30">
        <v>88182</v>
      </c>
      <c r="G32" s="30">
        <v>91268.369999999952</v>
      </c>
      <c r="H32" s="30">
        <v>94462.762949999989</v>
      </c>
      <c r="I32" s="30">
        <v>97768.95965325</v>
      </c>
      <c r="J32" s="30">
        <v>101190.87324111372</v>
      </c>
      <c r="K32" s="30">
        <v>104732.55380455271</v>
      </c>
      <c r="L32" s="30">
        <v>108398.19318771207</v>
      </c>
      <c r="M32" s="30">
        <v>112192.12994928192</v>
      </c>
      <c r="N32" s="30">
        <v>116118.85449750676</v>
      </c>
      <c r="O32" s="30">
        <v>120183.01440491948</v>
      </c>
    </row>
    <row r="33" spans="2:15" x14ac:dyDescent="0.25">
      <c r="B33" s="18" t="s">
        <v>117</v>
      </c>
      <c r="D33" s="49">
        <f ca="1">AVERAGE(_xlfn.ANCHORARRAY(E33))/AVERAGE(_xlfn.ANCHORARRAY(Estimated.Gross.Revenue))</f>
        <v>0.30395604983304975</v>
      </c>
      <c r="E33" s="33">
        <f>SUM(E30:E32)</f>
        <v>451760</v>
      </c>
      <c r="F33" s="33">
        <f t="shared" ref="F33:O33" si="0">SUM(F30:F32)</f>
        <v>355073.2</v>
      </c>
      <c r="G33" s="33">
        <f t="shared" si="0"/>
        <v>108497.39399999994</v>
      </c>
      <c r="H33" s="33">
        <f t="shared" si="0"/>
        <v>112036.36742999998</v>
      </c>
      <c r="I33" s="33">
        <f t="shared" si="0"/>
        <v>115694.03622285</v>
      </c>
      <c r="J33" s="33">
        <f t="shared" si="0"/>
        <v>119474.45134210572</v>
      </c>
      <c r="K33" s="33">
        <f t="shared" si="0"/>
        <v>123381.80346756455</v>
      </c>
      <c r="L33" s="33">
        <f t="shared" si="0"/>
        <v>127420.42784398414</v>
      </c>
      <c r="M33" s="33">
        <f t="shared" si="0"/>
        <v>131594.80929867944</v>
      </c>
      <c r="N33" s="33">
        <f t="shared" si="0"/>
        <v>135909.58743389224</v>
      </c>
      <c r="O33" s="33">
        <f t="shared" si="0"/>
        <v>140369.56200003266</v>
      </c>
    </row>
    <row r="34" spans="2:15" x14ac:dyDescent="0.25"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</row>
    <row r="35" spans="2:15" ht="15.75" thickBot="1" x14ac:dyDescent="0.3">
      <c r="B35" s="18" t="s">
        <v>119</v>
      </c>
      <c r="E35" s="50">
        <f ca="1">E27-E33</f>
        <v>24047.919999999925</v>
      </c>
      <c r="F35" s="50">
        <f t="shared" ref="F35:O35" ca="1" si="1">F27-F33</f>
        <v>237704.66359999991</v>
      </c>
      <c r="G35" s="50">
        <f t="shared" ca="1" si="1"/>
        <v>584985.70624199987</v>
      </c>
      <c r="H35" s="50">
        <f t="shared" ca="1" si="1"/>
        <v>610702.52069546923</v>
      </c>
      <c r="I35" s="50">
        <f t="shared" ca="1" si="1"/>
        <v>637467.74241513596</v>
      </c>
      <c r="J35" s="50">
        <f t="shared" ca="1" si="1"/>
        <v>665321.93331147532</v>
      </c>
      <c r="K35" s="50">
        <f t="shared" ca="1" si="1"/>
        <v>694307.17299167137</v>
      </c>
      <c r="L35" s="50">
        <f t="shared" ca="1" si="1"/>
        <v>724467.11433795956</v>
      </c>
      <c r="M35" s="50">
        <f t="shared" ca="1" si="1"/>
        <v>755847.04109267204</v>
      </c>
      <c r="N35" s="50">
        <f t="shared" ca="1" si="1"/>
        <v>788493.92752173799</v>
      </c>
      <c r="O35" s="50">
        <f t="shared" ca="1" si="1"/>
        <v>822456.50023097522</v>
      </c>
    </row>
    <row r="36" spans="2:15" ht="15.75" thickTop="1" x14ac:dyDescent="0.25"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</row>
    <row r="37" spans="2:15" x14ac:dyDescent="0.25"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</row>
    <row r="38" spans="2:15" x14ac:dyDescent="0.25"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</row>
    <row r="39" spans="2:15" x14ac:dyDescent="0.25"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</row>
    <row r="40" spans="2:15" x14ac:dyDescent="0.25"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</row>
    <row r="41" spans="2:15" x14ac:dyDescent="0.25"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</row>
    <row r="42" spans="2:15" x14ac:dyDescent="0.25"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</row>
    <row r="43" spans="2:15" x14ac:dyDescent="0.25"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</row>
    <row r="44" spans="2:15" x14ac:dyDescent="0.25"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</row>
    <row r="45" spans="2:15" x14ac:dyDescent="0.25"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</row>
    <row r="46" spans="2:15" x14ac:dyDescent="0.25"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</row>
    <row r="47" spans="2:15" x14ac:dyDescent="0.25"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</row>
    <row r="48" spans="2:15" x14ac:dyDescent="0.25"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</row>
    <row r="49" spans="5:15" x14ac:dyDescent="0.25"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</row>
    <row r="50" spans="5:15" x14ac:dyDescent="0.25"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850D-CD31-42F1-A8EA-99758FC22D25}">
  <sheetPr>
    <tabColor rgb="FFFF6565"/>
  </sheetPr>
  <dimension ref="B1:O7"/>
  <sheetViews>
    <sheetView zoomScale="120" zoomScaleNormal="120" workbookViewId="0">
      <selection activeCell="C8" sqref="C8"/>
    </sheetView>
  </sheetViews>
  <sheetFormatPr defaultRowHeight="15" x14ac:dyDescent="0.25"/>
  <cols>
    <col min="1" max="1" width="0.42578125" customWidth="1"/>
    <col min="2" max="2" width="1.42578125" customWidth="1"/>
    <col min="3" max="3" width="17.7109375" customWidth="1"/>
    <col min="4" max="4" width="12" bestFit="1" customWidth="1"/>
    <col min="5" max="15" width="11" bestFit="1" customWidth="1"/>
  </cols>
  <sheetData>
    <row r="1" spans="2:15" ht="2.25" customHeight="1" x14ac:dyDescent="0.25"/>
    <row r="2" spans="2:15" x14ac:dyDescent="0.25">
      <c r="B2" s="59" t="s">
        <v>138</v>
      </c>
    </row>
    <row r="4" spans="2:15" x14ac:dyDescent="0.25">
      <c r="B4" t="str">
        <f>Property</f>
        <v>Flashewoode Heights</v>
      </c>
      <c r="D4" s="61" t="s">
        <v>141</v>
      </c>
      <c r="E4" s="51" cm="1">
        <f t="array" ref="E4:O4">_xlfn.ANCHORARRAY(Timeline)</f>
        <v>1</v>
      </c>
      <c r="F4" s="51">
        <v>2</v>
      </c>
      <c r="G4" s="51">
        <v>3</v>
      </c>
      <c r="H4" s="51">
        <v>4</v>
      </c>
      <c r="I4" s="51">
        <v>5</v>
      </c>
      <c r="J4" s="51">
        <v>6</v>
      </c>
      <c r="K4" s="51">
        <v>7</v>
      </c>
      <c r="L4" s="51">
        <v>8</v>
      </c>
      <c r="M4" s="51">
        <v>9</v>
      </c>
      <c r="N4" s="51">
        <v>10</v>
      </c>
      <c r="O4" s="51">
        <v>11</v>
      </c>
    </row>
    <row r="5" spans="2:15" x14ac:dyDescent="0.25">
      <c r="C5" t="s">
        <v>137</v>
      </c>
      <c r="D5" s="30"/>
      <c r="E5" s="30">
        <f t="shared" ref="E5:O5" si="0">IF(OR(E4&lt;=PIK.Period,E4&gt;Term),0,PPMT(Interest.Rate,E4,Amort.Period-PIK.Period,Loan.Amount))</f>
        <v>0</v>
      </c>
      <c r="F5" s="30">
        <f t="shared" si="0"/>
        <v>0</v>
      </c>
      <c r="G5" s="30">
        <f t="shared" si="0"/>
        <v>-78561.7143982376</v>
      </c>
      <c r="H5" s="30">
        <f t="shared" si="0"/>
        <v>-84061.034406114224</v>
      </c>
      <c r="I5" s="30">
        <f t="shared" si="0"/>
        <v>-89945.306814542229</v>
      </c>
      <c r="J5" s="30">
        <f t="shared" si="0"/>
        <v>-96241.478291560168</v>
      </c>
      <c r="K5" s="30">
        <f t="shared" si="0"/>
        <v>-102978.38177196939</v>
      </c>
      <c r="L5" s="30">
        <f t="shared" si="0"/>
        <v>-110186.86849600726</v>
      </c>
      <c r="M5" s="30">
        <f t="shared" si="0"/>
        <v>-117899.94929072773</v>
      </c>
      <c r="N5" s="30">
        <f t="shared" si="0"/>
        <v>-126152.94574107867</v>
      </c>
      <c r="O5" s="30">
        <f t="shared" si="0"/>
        <v>-134983.65194295419</v>
      </c>
    </row>
    <row r="6" spans="2:15" x14ac:dyDescent="0.25">
      <c r="C6" t="s">
        <v>139</v>
      </c>
      <c r="D6" s="30"/>
      <c r="E6" s="30">
        <f t="shared" ref="E6:O6" si="1">IPMT(Interest.Rate,E4,Amort.Period,Loan.Amount)</f>
        <v>-329875.00000000006</v>
      </c>
      <c r="F6" s="30">
        <f t="shared" si="1"/>
        <v>-325787.21265098231</v>
      </c>
      <c r="G6" s="30">
        <f t="shared" si="1"/>
        <v>-321413.2801875333</v>
      </c>
      <c r="H6" s="30">
        <f t="shared" si="1"/>
        <v>-316733.17245164292</v>
      </c>
      <c r="I6" s="30">
        <f t="shared" si="1"/>
        <v>-311725.45717424015</v>
      </c>
      <c r="J6" s="30">
        <f t="shared" si="1"/>
        <v>-306367.20182741917</v>
      </c>
      <c r="K6" s="30">
        <f t="shared" si="1"/>
        <v>-300633.86860632076</v>
      </c>
      <c r="L6" s="30">
        <f t="shared" si="1"/>
        <v>-294499.2020597455</v>
      </c>
      <c r="M6" s="30">
        <f t="shared" si="1"/>
        <v>-287935.10885490989</v>
      </c>
      <c r="N6" s="30">
        <f t="shared" si="1"/>
        <v>-280911.5291257358</v>
      </c>
      <c r="O6" s="30">
        <f t="shared" si="1"/>
        <v>-273396.29881551961</v>
      </c>
    </row>
    <row r="7" spans="2:15" x14ac:dyDescent="0.25">
      <c r="C7" t="s">
        <v>140</v>
      </c>
      <c r="D7" s="2">
        <f>Loan.Amount</f>
        <v>4712500</v>
      </c>
      <c r="E7" s="30">
        <f>+D7+E5</f>
        <v>4712500</v>
      </c>
      <c r="F7" s="30">
        <f t="shared" ref="F7:O7" si="2">+E7+F5</f>
        <v>4712500</v>
      </c>
      <c r="G7" s="30">
        <f t="shared" si="2"/>
        <v>4633938.2856017621</v>
      </c>
      <c r="H7" s="30">
        <f t="shared" si="2"/>
        <v>4549877.2511956478</v>
      </c>
      <c r="I7" s="30">
        <f t="shared" si="2"/>
        <v>4459931.9443811057</v>
      </c>
      <c r="J7" s="30">
        <f t="shared" si="2"/>
        <v>4363690.4660895457</v>
      </c>
      <c r="K7" s="30">
        <f t="shared" si="2"/>
        <v>4260712.0843175761</v>
      </c>
      <c r="L7" s="30">
        <f t="shared" si="2"/>
        <v>4150525.2158215689</v>
      </c>
      <c r="M7" s="30">
        <f t="shared" si="2"/>
        <v>4032625.2665308411</v>
      </c>
      <c r="N7" s="30">
        <f t="shared" si="2"/>
        <v>3906472.3207897623</v>
      </c>
      <c r="O7" s="30">
        <f t="shared" si="2"/>
        <v>3771488.6688468079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B060-8E76-4B2C-BE75-9C13DF936BAE}">
  <sheetPr>
    <tabColor theme="1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FB6E-407D-41BE-BC11-C2AD3C9E62AF}">
  <sheetPr>
    <tabColor theme="3" tint="0.749992370372631"/>
  </sheetPr>
  <dimension ref="B1:O153"/>
  <sheetViews>
    <sheetView topLeftCell="A12" zoomScale="130" zoomScaleNormal="130" workbookViewId="0">
      <selection activeCell="E22" sqref="E22"/>
    </sheetView>
  </sheetViews>
  <sheetFormatPr defaultRowHeight="15" x14ac:dyDescent="0.25"/>
  <cols>
    <col min="1" max="1" width="0.5703125" customWidth="1"/>
    <col min="4" max="4" width="11.28515625" customWidth="1"/>
    <col min="5" max="5" width="20.28515625" customWidth="1"/>
    <col min="6" max="6" width="10.140625" bestFit="1" customWidth="1"/>
  </cols>
  <sheetData>
    <row r="1" spans="2:10" ht="3" customHeight="1" x14ac:dyDescent="0.25"/>
    <row r="2" spans="2:10" ht="26.25" x14ac:dyDescent="0.4">
      <c r="B2" s="35" t="s">
        <v>93</v>
      </c>
    </row>
    <row r="3" spans="2:10" x14ac:dyDescent="0.25">
      <c r="E3" t="str" cm="1">
        <f t="array" ref="E3:J18">TRANSPOSE(rent.roll.assumptions)</f>
        <v>Unit Name</v>
      </c>
      <c r="F3" s="36" t="str">
        <v>Studio</v>
      </c>
      <c r="G3" s="36" t="str">
        <v>1bd/1ba</v>
      </c>
      <c r="H3" s="36" t="str">
        <v>2bd/2ba</v>
      </c>
      <c r="I3" s="36" t="str">
        <v>2bd/1.5ba</v>
      </c>
      <c r="J3" s="36" t="str">
        <v>3bd/2ba</v>
      </c>
    </row>
    <row r="4" spans="2:10" x14ac:dyDescent="0.25">
      <c r="E4" t="str">
        <v># of Units</v>
      </c>
      <c r="F4">
        <v>40</v>
      </c>
      <c r="G4">
        <v>24</v>
      </c>
      <c r="H4">
        <v>24</v>
      </c>
      <c r="I4">
        <v>12</v>
      </c>
      <c r="J4">
        <v>24</v>
      </c>
    </row>
    <row r="5" spans="2:10" x14ac:dyDescent="0.25">
      <c r="E5" t="str">
        <v>Bedrooms</v>
      </c>
      <c r="F5">
        <v>0</v>
      </c>
      <c r="G5">
        <v>1</v>
      </c>
      <c r="H5">
        <v>2</v>
      </c>
      <c r="I5">
        <v>2</v>
      </c>
      <c r="J5">
        <v>3</v>
      </c>
    </row>
    <row r="6" spans="2:10" x14ac:dyDescent="0.25">
      <c r="E6" t="str">
        <v>Baths</v>
      </c>
      <c r="F6">
        <v>1</v>
      </c>
      <c r="G6">
        <v>1</v>
      </c>
      <c r="H6">
        <v>2</v>
      </c>
      <c r="I6">
        <v>1.5</v>
      </c>
      <c r="J6">
        <v>2</v>
      </c>
    </row>
    <row r="7" spans="2:10" x14ac:dyDescent="0.25">
      <c r="E7" t="str">
        <v>Rentable Area</v>
      </c>
      <c r="F7">
        <v>430</v>
      </c>
      <c r="G7">
        <v>671</v>
      </c>
      <c r="H7">
        <v>945</v>
      </c>
      <c r="I7">
        <v>1025</v>
      </c>
      <c r="J7">
        <v>1046</v>
      </c>
    </row>
    <row r="8" spans="2:10" x14ac:dyDescent="0.25">
      <c r="E8" t="str">
        <v>In-Place Rent/Mo</v>
      </c>
      <c r="F8">
        <v>510</v>
      </c>
      <c r="G8">
        <v>660</v>
      </c>
      <c r="H8">
        <v>850</v>
      </c>
      <c r="I8">
        <v>850</v>
      </c>
      <c r="J8">
        <v>1100</v>
      </c>
    </row>
    <row r="9" spans="2:10" x14ac:dyDescent="0.25">
      <c r="E9" t="str">
        <v>Market Rent/Mo</v>
      </c>
      <c r="F9">
        <v>630</v>
      </c>
      <c r="G9">
        <v>780</v>
      </c>
      <c r="H9">
        <v>970</v>
      </c>
      <c r="I9">
        <v>970</v>
      </c>
      <c r="J9">
        <v>1220</v>
      </c>
    </row>
    <row r="10" spans="2:10" x14ac:dyDescent="0.25">
      <c r="E10" t="str">
        <v>Months to roll to market</v>
      </c>
      <c r="F10">
        <v>12</v>
      </c>
      <c r="G10">
        <v>16</v>
      </c>
      <c r="H10">
        <v>19</v>
      </c>
      <c r="I10">
        <v>22</v>
      </c>
      <c r="J10">
        <v>25</v>
      </c>
    </row>
    <row r="11" spans="2:10" x14ac:dyDescent="0.25">
      <c r="E11" t="str">
        <v>Lease Term</v>
      </c>
      <c r="F11">
        <v>12</v>
      </c>
      <c r="G11">
        <v>12</v>
      </c>
      <c r="H11">
        <v>12</v>
      </c>
      <c r="I11">
        <v>12</v>
      </c>
      <c r="J11">
        <v>12</v>
      </c>
    </row>
    <row r="12" spans="2:10" x14ac:dyDescent="0.25">
      <c r="E12" t="str">
        <v>CapEx/Unit</v>
      </c>
      <c r="F12">
        <v>50</v>
      </c>
      <c r="G12">
        <v>50</v>
      </c>
      <c r="H12">
        <v>60</v>
      </c>
      <c r="I12">
        <v>65</v>
      </c>
      <c r="J12">
        <v>70</v>
      </c>
    </row>
    <row r="13" spans="2:10" x14ac:dyDescent="0.25">
      <c r="E13" t="str">
        <v>Free Rent Per New Lease</v>
      </c>
      <c r="F13">
        <v>1</v>
      </c>
      <c r="G13">
        <v>1</v>
      </c>
      <c r="H13">
        <v>0</v>
      </c>
      <c r="I13">
        <v>0</v>
      </c>
      <c r="J13">
        <v>0</v>
      </c>
    </row>
    <row r="14" spans="2:10" x14ac:dyDescent="0.25">
      <c r="E14" t="str">
        <v>Vacancy Between Leases</v>
      </c>
      <c r="F14">
        <v>20</v>
      </c>
      <c r="G14">
        <v>20</v>
      </c>
      <c r="H14">
        <v>25</v>
      </c>
      <c r="I14">
        <v>25</v>
      </c>
      <c r="J14">
        <v>30</v>
      </c>
    </row>
    <row r="15" spans="2:10" x14ac:dyDescent="0.25">
      <c r="E15" t="str">
        <v>Re-Leasing Costs</v>
      </c>
      <c r="F15">
        <v>300</v>
      </c>
      <c r="G15">
        <v>300</v>
      </c>
      <c r="H15">
        <v>350</v>
      </c>
      <c r="I15">
        <v>350</v>
      </c>
      <c r="J15">
        <v>400</v>
      </c>
    </row>
    <row r="16" spans="2:10" x14ac:dyDescent="0.25">
      <c r="E16" t="str">
        <v>Renewal Probability</v>
      </c>
      <c r="F16">
        <v>0.6</v>
      </c>
      <c r="G16">
        <v>0.6</v>
      </c>
      <c r="H16">
        <v>0.6</v>
      </c>
      <c r="I16">
        <v>0.6</v>
      </c>
      <c r="J16">
        <v>0.6</v>
      </c>
    </row>
    <row r="17" spans="2:15" x14ac:dyDescent="0.25">
      <c r="E17" t="str">
        <v>Days Vacant</v>
      </c>
      <c r="F17">
        <v>8</v>
      </c>
      <c r="G17">
        <v>8</v>
      </c>
      <c r="H17">
        <v>10</v>
      </c>
      <c r="I17">
        <v>10</v>
      </c>
      <c r="J17">
        <v>12</v>
      </c>
    </row>
    <row r="18" spans="2:15" x14ac:dyDescent="0.25">
      <c r="E18" t="str">
        <v>Blended Releasing Cost</v>
      </c>
      <c r="F18">
        <v>120</v>
      </c>
      <c r="G18">
        <v>120</v>
      </c>
      <c r="H18">
        <v>140</v>
      </c>
      <c r="I18">
        <v>140</v>
      </c>
      <c r="J18">
        <v>160</v>
      </c>
    </row>
    <row r="19" spans="2:15" ht="15.75" thickBot="1" x14ac:dyDescent="0.3"/>
    <row r="20" spans="2:15" ht="15.75" thickBot="1" x14ac:dyDescent="0.3">
      <c r="B20" s="44" t="s">
        <v>94</v>
      </c>
      <c r="C20" s="45"/>
      <c r="D20" s="45"/>
      <c r="E20" s="45"/>
      <c r="F20" s="45"/>
      <c r="G20" s="45"/>
      <c r="H20" s="45"/>
      <c r="I20" s="45"/>
      <c r="J20" s="46"/>
    </row>
    <row r="21" spans="2:15" x14ac:dyDescent="0.25">
      <c r="B21" s="36" t="s">
        <v>95</v>
      </c>
      <c r="C21" s="36" t="s">
        <v>96</v>
      </c>
      <c r="D21" s="36" t="s">
        <v>98</v>
      </c>
      <c r="E21" s="36" t="s">
        <v>97</v>
      </c>
      <c r="F21" s="36" t="str" cm="1">
        <f t="array" ref="F21:J21">+F3:J3</f>
        <v>Studio</v>
      </c>
      <c r="G21" s="36" t="str">
        <v>1bd/1ba</v>
      </c>
      <c r="H21" s="36" t="str">
        <v>2bd/2ba</v>
      </c>
      <c r="I21" s="36" t="str">
        <v>2bd/1.5ba</v>
      </c>
      <c r="J21" s="36" t="str">
        <v>3bd/2ba</v>
      </c>
    </row>
    <row r="22" spans="2:15" x14ac:dyDescent="0.25">
      <c r="B22" cm="1">
        <f t="array" ref="B22:B153">_xlfn.SEQUENCE(12*Term.Cap.Year,1,1)</f>
        <v>1</v>
      </c>
      <c r="C22" cm="1">
        <f t="array" ref="C22:C153">ROUNDUP(_xlfn.ANCHORARRAY(B22)/12,0)</f>
        <v>1</v>
      </c>
      <c r="D22" s="39" cm="1">
        <f t="array" ref="D22:D153">EOMONTH(Start.Date,_xlfn.ANCHORARRAY(B22)-1)</f>
        <v>45838</v>
      </c>
      <c r="E22" s="30" cm="1">
        <f t="array" ref="E22:E153">_xlfn.BYROW(_xlfn.ANCHORARRAY(F22),_xlfn.LAMBDA(_xlpm.array,SUM(_xlpm.array)))</f>
        <v>93240</v>
      </c>
      <c r="F22" s="30" cm="1">
        <f t="array" ref="F22:J153">IF(_xlfn.ANCHORARRAY($B$22)&lt;F$10:J$10,F$8:J$8,F$9:J$9)*F$4:J$4*(1+Infl.Rent)^(_xlfn.ANCHORARRAY($C$22)-1)</f>
        <v>20400</v>
      </c>
      <c r="G22" s="30">
        <v>15840</v>
      </c>
      <c r="H22" s="30">
        <v>20400</v>
      </c>
      <c r="I22" s="30">
        <v>10200</v>
      </c>
      <c r="J22" s="30">
        <v>26400</v>
      </c>
      <c r="K22" s="30"/>
      <c r="L22" s="30"/>
      <c r="M22" s="30"/>
      <c r="N22" s="30"/>
      <c r="O22" s="30"/>
    </row>
    <row r="23" spans="2:15" x14ac:dyDescent="0.25">
      <c r="B23">
        <v>2</v>
      </c>
      <c r="C23">
        <v>1</v>
      </c>
      <c r="D23" s="39">
        <v>45869</v>
      </c>
      <c r="E23" s="30">
        <v>93240</v>
      </c>
      <c r="F23" s="30">
        <v>20400</v>
      </c>
      <c r="G23" s="30">
        <v>15840</v>
      </c>
      <c r="H23" s="30">
        <v>20400</v>
      </c>
      <c r="I23" s="30">
        <v>10200</v>
      </c>
      <c r="J23" s="30">
        <v>26400</v>
      </c>
      <c r="K23" s="30"/>
      <c r="L23" s="30"/>
      <c r="M23" s="30"/>
      <c r="N23" s="30"/>
      <c r="O23" s="30"/>
    </row>
    <row r="24" spans="2:15" x14ac:dyDescent="0.25">
      <c r="B24">
        <v>3</v>
      </c>
      <c r="C24">
        <v>1</v>
      </c>
      <c r="D24" s="39">
        <v>45900</v>
      </c>
      <c r="E24" s="30">
        <v>93240</v>
      </c>
      <c r="F24" s="30">
        <v>20400</v>
      </c>
      <c r="G24" s="30">
        <v>15840</v>
      </c>
      <c r="H24" s="30">
        <v>20400</v>
      </c>
      <c r="I24" s="30">
        <v>10200</v>
      </c>
      <c r="J24" s="30">
        <v>26400</v>
      </c>
      <c r="K24" s="30"/>
      <c r="L24" s="30"/>
      <c r="M24" s="30"/>
      <c r="N24" s="30"/>
      <c r="O24" s="30"/>
    </row>
    <row r="25" spans="2:15" x14ac:dyDescent="0.25">
      <c r="B25">
        <v>4</v>
      </c>
      <c r="C25">
        <v>1</v>
      </c>
      <c r="D25" s="39">
        <v>45930</v>
      </c>
      <c r="E25" s="30">
        <v>93240</v>
      </c>
      <c r="F25" s="30">
        <v>20400</v>
      </c>
      <c r="G25" s="30">
        <v>15840</v>
      </c>
      <c r="H25" s="30">
        <v>20400</v>
      </c>
      <c r="I25" s="30">
        <v>10200</v>
      </c>
      <c r="J25" s="30">
        <v>26400</v>
      </c>
      <c r="K25" s="30"/>
      <c r="L25" s="30"/>
      <c r="M25" s="30"/>
      <c r="N25" s="30"/>
      <c r="O25" s="30"/>
    </row>
    <row r="26" spans="2:15" x14ac:dyDescent="0.25">
      <c r="B26">
        <v>5</v>
      </c>
      <c r="C26">
        <v>1</v>
      </c>
      <c r="D26" s="39">
        <v>45961</v>
      </c>
      <c r="E26" s="30">
        <v>93240</v>
      </c>
      <c r="F26" s="30">
        <v>20400</v>
      </c>
      <c r="G26" s="30">
        <v>15840</v>
      </c>
      <c r="H26" s="30">
        <v>20400</v>
      </c>
      <c r="I26" s="30">
        <v>10200</v>
      </c>
      <c r="J26" s="30">
        <v>26400</v>
      </c>
      <c r="K26" s="30"/>
      <c r="L26" s="30"/>
      <c r="M26" s="30"/>
      <c r="N26" s="30"/>
      <c r="O26" s="30"/>
    </row>
    <row r="27" spans="2:15" x14ac:dyDescent="0.25">
      <c r="B27">
        <v>6</v>
      </c>
      <c r="C27">
        <v>1</v>
      </c>
      <c r="D27" s="39">
        <v>45991</v>
      </c>
      <c r="E27" s="30">
        <v>93240</v>
      </c>
      <c r="F27" s="30">
        <v>20400</v>
      </c>
      <c r="G27" s="30">
        <v>15840</v>
      </c>
      <c r="H27" s="30">
        <v>20400</v>
      </c>
      <c r="I27" s="30">
        <v>10200</v>
      </c>
      <c r="J27" s="30">
        <v>26400</v>
      </c>
      <c r="K27" s="30"/>
      <c r="L27" s="30"/>
      <c r="M27" s="30"/>
      <c r="N27" s="30"/>
      <c r="O27" s="30"/>
    </row>
    <row r="28" spans="2:15" x14ac:dyDescent="0.25">
      <c r="B28">
        <v>7</v>
      </c>
      <c r="C28">
        <v>1</v>
      </c>
      <c r="D28" s="39">
        <v>46022</v>
      </c>
      <c r="E28" s="30">
        <v>93240</v>
      </c>
      <c r="F28" s="30">
        <v>20400</v>
      </c>
      <c r="G28" s="30">
        <v>15840</v>
      </c>
      <c r="H28" s="30">
        <v>20400</v>
      </c>
      <c r="I28" s="30">
        <v>10200</v>
      </c>
      <c r="J28" s="30">
        <v>26400</v>
      </c>
      <c r="K28" s="30"/>
      <c r="L28" s="30"/>
      <c r="M28" s="30"/>
      <c r="N28" s="30"/>
      <c r="O28" s="30"/>
    </row>
    <row r="29" spans="2:15" x14ac:dyDescent="0.25">
      <c r="B29">
        <v>8</v>
      </c>
      <c r="C29">
        <v>1</v>
      </c>
      <c r="D29" s="39">
        <v>46053</v>
      </c>
      <c r="E29" s="30">
        <v>93240</v>
      </c>
      <c r="F29" s="30">
        <v>20400</v>
      </c>
      <c r="G29" s="30">
        <v>15840</v>
      </c>
      <c r="H29" s="41">
        <v>20400</v>
      </c>
      <c r="I29" s="30">
        <v>10200</v>
      </c>
      <c r="J29" s="30">
        <v>26400</v>
      </c>
      <c r="K29" s="30"/>
      <c r="L29" s="30"/>
      <c r="M29" s="30"/>
      <c r="N29" s="30"/>
      <c r="O29" s="30"/>
    </row>
    <row r="30" spans="2:15" x14ac:dyDescent="0.25">
      <c r="B30">
        <v>9</v>
      </c>
      <c r="C30">
        <v>1</v>
      </c>
      <c r="D30" s="39">
        <v>46081</v>
      </c>
      <c r="E30" s="30">
        <v>93240</v>
      </c>
      <c r="F30" s="30">
        <v>20400</v>
      </c>
      <c r="G30" s="30">
        <v>15840</v>
      </c>
      <c r="H30" s="30">
        <v>20400</v>
      </c>
      <c r="I30" s="30">
        <v>10200</v>
      </c>
      <c r="J30" s="30">
        <v>26400</v>
      </c>
      <c r="K30" s="30"/>
      <c r="L30" s="30"/>
      <c r="M30" s="30"/>
      <c r="N30" s="30"/>
      <c r="O30" s="30"/>
    </row>
    <row r="31" spans="2:15" x14ac:dyDescent="0.25">
      <c r="B31">
        <v>10</v>
      </c>
      <c r="C31">
        <v>1</v>
      </c>
      <c r="D31" s="39">
        <v>46112</v>
      </c>
      <c r="E31" s="30">
        <v>93240</v>
      </c>
      <c r="F31" s="30">
        <v>20400</v>
      </c>
      <c r="G31" s="30">
        <v>15840</v>
      </c>
      <c r="H31" s="30">
        <v>20400</v>
      </c>
      <c r="I31" s="30">
        <v>10200</v>
      </c>
      <c r="J31" s="30">
        <v>26400</v>
      </c>
      <c r="K31" s="30"/>
      <c r="L31" s="30"/>
      <c r="M31" s="30"/>
      <c r="N31" s="30"/>
      <c r="O31" s="30"/>
    </row>
    <row r="32" spans="2:15" x14ac:dyDescent="0.25">
      <c r="B32">
        <v>11</v>
      </c>
      <c r="C32">
        <v>1</v>
      </c>
      <c r="D32" s="39">
        <v>46142</v>
      </c>
      <c r="E32" s="30">
        <v>93240</v>
      </c>
      <c r="F32" s="30">
        <v>20400</v>
      </c>
      <c r="G32" s="30">
        <v>15840</v>
      </c>
      <c r="H32" s="30">
        <v>20400</v>
      </c>
      <c r="I32" s="30">
        <v>10200</v>
      </c>
      <c r="J32" s="30">
        <v>26400</v>
      </c>
      <c r="K32" s="30"/>
      <c r="L32" s="30"/>
      <c r="M32" s="30"/>
      <c r="N32" s="30"/>
      <c r="O32" s="30"/>
    </row>
    <row r="33" spans="2:15" x14ac:dyDescent="0.25">
      <c r="B33">
        <v>12</v>
      </c>
      <c r="C33">
        <v>1</v>
      </c>
      <c r="D33" s="39">
        <v>46173</v>
      </c>
      <c r="E33" s="30">
        <v>98040</v>
      </c>
      <c r="F33" s="30">
        <v>25200</v>
      </c>
      <c r="G33" s="30">
        <v>15840</v>
      </c>
      <c r="H33" s="30">
        <v>20400</v>
      </c>
      <c r="I33" s="30">
        <v>10200</v>
      </c>
      <c r="J33" s="30">
        <v>26400</v>
      </c>
      <c r="K33" s="30"/>
      <c r="L33" s="30"/>
      <c r="M33" s="30"/>
      <c r="N33" s="30"/>
      <c r="O33" s="30"/>
    </row>
    <row r="34" spans="2:15" x14ac:dyDescent="0.25">
      <c r="B34">
        <v>13</v>
      </c>
      <c r="C34">
        <v>2</v>
      </c>
      <c r="D34" s="39">
        <v>46203</v>
      </c>
      <c r="E34" s="30">
        <v>101471.4</v>
      </c>
      <c r="F34" s="30">
        <v>26081.999999999996</v>
      </c>
      <c r="G34" s="30">
        <v>16394.399999999998</v>
      </c>
      <c r="H34" s="30">
        <v>21114</v>
      </c>
      <c r="I34" s="30">
        <v>10557</v>
      </c>
      <c r="J34" s="30">
        <v>27323.999999999996</v>
      </c>
      <c r="K34" s="30"/>
      <c r="L34" s="30"/>
      <c r="M34" s="30"/>
      <c r="N34" s="30"/>
      <c r="O34" s="30"/>
    </row>
    <row r="35" spans="2:15" x14ac:dyDescent="0.25">
      <c r="B35">
        <v>14</v>
      </c>
      <c r="C35">
        <v>2</v>
      </c>
      <c r="D35" s="39">
        <v>46234</v>
      </c>
      <c r="E35" s="30">
        <v>101471.4</v>
      </c>
      <c r="F35" s="30">
        <v>26081.999999999996</v>
      </c>
      <c r="G35" s="30">
        <v>16394.399999999998</v>
      </c>
      <c r="H35" s="30">
        <v>21114</v>
      </c>
      <c r="I35" s="30">
        <v>10557</v>
      </c>
      <c r="J35" s="30">
        <v>27323.999999999996</v>
      </c>
      <c r="K35" s="30"/>
      <c r="L35" s="30"/>
      <c r="M35" s="30"/>
      <c r="N35" s="30"/>
      <c r="O35" s="30"/>
    </row>
    <row r="36" spans="2:15" x14ac:dyDescent="0.25">
      <c r="B36">
        <v>15</v>
      </c>
      <c r="C36">
        <v>2</v>
      </c>
      <c r="D36" s="39">
        <v>46265</v>
      </c>
      <c r="E36" s="30">
        <v>101471.4</v>
      </c>
      <c r="F36" s="30">
        <v>26081.999999999996</v>
      </c>
      <c r="G36" s="30">
        <v>16394.399999999998</v>
      </c>
      <c r="H36" s="30">
        <v>21114</v>
      </c>
      <c r="I36" s="30">
        <v>10557</v>
      </c>
      <c r="J36" s="30">
        <v>27323.999999999996</v>
      </c>
      <c r="K36" s="30"/>
      <c r="L36" s="30"/>
      <c r="M36" s="30"/>
      <c r="N36" s="30"/>
      <c r="O36" s="30"/>
    </row>
    <row r="37" spans="2:15" x14ac:dyDescent="0.25">
      <c r="B37">
        <v>16</v>
      </c>
      <c r="C37">
        <v>2</v>
      </c>
      <c r="D37" s="39">
        <v>46295</v>
      </c>
      <c r="E37" s="30">
        <v>104452.2</v>
      </c>
      <c r="F37" s="30">
        <v>26081.999999999996</v>
      </c>
      <c r="G37" s="30">
        <v>19375.199999999997</v>
      </c>
      <c r="H37" s="30">
        <v>21114</v>
      </c>
      <c r="I37" s="30">
        <v>10557</v>
      </c>
      <c r="J37" s="30">
        <v>27323.999999999996</v>
      </c>
      <c r="K37" s="30"/>
      <c r="L37" s="30"/>
      <c r="M37" s="30"/>
      <c r="N37" s="30"/>
      <c r="O37" s="30"/>
    </row>
    <row r="38" spans="2:15" x14ac:dyDescent="0.25">
      <c r="B38">
        <v>17</v>
      </c>
      <c r="C38">
        <v>2</v>
      </c>
      <c r="D38" s="39">
        <v>46326</v>
      </c>
      <c r="E38" s="30">
        <v>104452.2</v>
      </c>
      <c r="F38" s="30">
        <v>26081.999999999996</v>
      </c>
      <c r="G38" s="30">
        <v>19375.199999999997</v>
      </c>
      <c r="H38" s="30">
        <v>21114</v>
      </c>
      <c r="I38" s="30">
        <v>10557</v>
      </c>
      <c r="J38" s="30">
        <v>27323.999999999996</v>
      </c>
      <c r="K38" s="30"/>
      <c r="L38" s="30"/>
      <c r="M38" s="30"/>
      <c r="N38" s="30"/>
      <c r="O38" s="30"/>
    </row>
    <row r="39" spans="2:15" x14ac:dyDescent="0.25">
      <c r="B39">
        <v>18</v>
      </c>
      <c r="C39">
        <v>2</v>
      </c>
      <c r="D39" s="39">
        <v>46356</v>
      </c>
      <c r="E39" s="30">
        <v>104452.2</v>
      </c>
      <c r="F39" s="30">
        <v>26081.999999999996</v>
      </c>
      <c r="G39" s="30">
        <v>19375.199999999997</v>
      </c>
      <c r="H39" s="30">
        <v>21114</v>
      </c>
      <c r="I39" s="30">
        <v>10557</v>
      </c>
      <c r="J39" s="30">
        <v>27323.999999999996</v>
      </c>
      <c r="K39" s="30"/>
      <c r="L39" s="30"/>
      <c r="M39" s="30"/>
      <c r="N39" s="30"/>
      <c r="O39" s="30"/>
    </row>
    <row r="40" spans="2:15" x14ac:dyDescent="0.25">
      <c r="B40">
        <v>19</v>
      </c>
      <c r="C40">
        <v>2</v>
      </c>
      <c r="D40" s="39">
        <v>46387</v>
      </c>
      <c r="E40" s="30">
        <v>107433</v>
      </c>
      <c r="F40" s="30">
        <v>26081.999999999996</v>
      </c>
      <c r="G40" s="30">
        <v>19375.199999999997</v>
      </c>
      <c r="H40" s="30">
        <v>24094.799999999999</v>
      </c>
      <c r="I40" s="30">
        <v>10557</v>
      </c>
      <c r="J40" s="30">
        <v>27323.999999999996</v>
      </c>
      <c r="K40" s="30"/>
      <c r="L40" s="30"/>
      <c r="M40" s="30"/>
      <c r="N40" s="30"/>
      <c r="O40" s="30"/>
    </row>
    <row r="41" spans="2:15" x14ac:dyDescent="0.25">
      <c r="B41">
        <v>20</v>
      </c>
      <c r="C41">
        <v>2</v>
      </c>
      <c r="D41" s="39">
        <v>46418</v>
      </c>
      <c r="E41" s="30">
        <v>107433</v>
      </c>
      <c r="F41" s="30">
        <v>26081.999999999996</v>
      </c>
      <c r="G41" s="30">
        <v>19375.199999999997</v>
      </c>
      <c r="H41" s="30">
        <v>24094.799999999999</v>
      </c>
      <c r="I41" s="30">
        <v>10557</v>
      </c>
      <c r="J41" s="30">
        <v>27323.999999999996</v>
      </c>
      <c r="K41" s="30"/>
      <c r="L41" s="30"/>
      <c r="M41" s="30"/>
      <c r="N41" s="30"/>
      <c r="O41" s="30"/>
    </row>
    <row r="42" spans="2:15" x14ac:dyDescent="0.25">
      <c r="B42">
        <v>21</v>
      </c>
      <c r="C42">
        <v>2</v>
      </c>
      <c r="D42" s="39">
        <v>46446</v>
      </c>
      <c r="E42" s="30">
        <v>107433</v>
      </c>
      <c r="F42" s="30">
        <v>26081.999999999996</v>
      </c>
      <c r="G42" s="30">
        <v>19375.199999999997</v>
      </c>
      <c r="H42" s="30">
        <v>24094.799999999999</v>
      </c>
      <c r="I42" s="30">
        <v>10557</v>
      </c>
      <c r="J42" s="30">
        <v>27323.999999999996</v>
      </c>
      <c r="K42" s="30"/>
      <c r="L42" s="30"/>
      <c r="M42" s="30"/>
      <c r="N42" s="30"/>
      <c r="O42" s="30"/>
    </row>
    <row r="43" spans="2:15" x14ac:dyDescent="0.25">
      <c r="B43">
        <v>22</v>
      </c>
      <c r="C43">
        <v>2</v>
      </c>
      <c r="D43" s="39">
        <v>46477</v>
      </c>
      <c r="E43" s="30">
        <v>108923.4</v>
      </c>
      <c r="F43" s="30">
        <v>26081.999999999996</v>
      </c>
      <c r="G43" s="30">
        <v>19375.199999999997</v>
      </c>
      <c r="H43" s="30">
        <v>24094.799999999999</v>
      </c>
      <c r="I43" s="30">
        <v>12047.4</v>
      </c>
      <c r="J43" s="30">
        <v>27323.999999999996</v>
      </c>
      <c r="K43" s="30"/>
      <c r="L43" s="30"/>
      <c r="M43" s="30"/>
      <c r="N43" s="30"/>
      <c r="O43" s="30"/>
    </row>
    <row r="44" spans="2:15" x14ac:dyDescent="0.25">
      <c r="B44">
        <v>23</v>
      </c>
      <c r="C44">
        <v>2</v>
      </c>
      <c r="D44" s="39">
        <v>46507</v>
      </c>
      <c r="E44" s="30">
        <v>108923.4</v>
      </c>
      <c r="F44" s="30">
        <v>26081.999999999996</v>
      </c>
      <c r="G44" s="30">
        <v>19375.199999999997</v>
      </c>
      <c r="H44" s="30">
        <v>24094.799999999999</v>
      </c>
      <c r="I44" s="30">
        <v>12047.4</v>
      </c>
      <c r="J44" s="30">
        <v>27323.999999999996</v>
      </c>
      <c r="K44" s="30"/>
      <c r="L44" s="30"/>
      <c r="M44" s="30"/>
      <c r="N44" s="30"/>
      <c r="O44" s="30"/>
    </row>
    <row r="45" spans="2:15" x14ac:dyDescent="0.25">
      <c r="B45">
        <v>24</v>
      </c>
      <c r="C45">
        <v>2</v>
      </c>
      <c r="D45" s="39">
        <v>46538</v>
      </c>
      <c r="E45" s="30">
        <v>108923.4</v>
      </c>
      <c r="F45" s="30">
        <v>26081.999999999996</v>
      </c>
      <c r="G45" s="30">
        <v>19375.199999999997</v>
      </c>
      <c r="H45" s="30">
        <v>24094.799999999999</v>
      </c>
      <c r="I45" s="30">
        <v>12047.4</v>
      </c>
      <c r="J45" s="30">
        <v>27323.999999999996</v>
      </c>
      <c r="K45" s="30"/>
      <c r="L45" s="30"/>
      <c r="M45" s="30"/>
      <c r="N45" s="30"/>
      <c r="O45" s="30"/>
    </row>
    <row r="46" spans="2:15" x14ac:dyDescent="0.25">
      <c r="B46">
        <v>25</v>
      </c>
      <c r="C46">
        <v>3</v>
      </c>
      <c r="D46" s="39">
        <v>46568</v>
      </c>
      <c r="E46" s="30">
        <v>115820.84699999998</v>
      </c>
      <c r="F46" s="30">
        <v>26994.869999999995</v>
      </c>
      <c r="G46" s="30">
        <v>20053.331999999999</v>
      </c>
      <c r="H46" s="30">
        <v>24938.117999999999</v>
      </c>
      <c r="I46" s="30">
        <v>12469.058999999999</v>
      </c>
      <c r="J46" s="30">
        <v>31365.467999999997</v>
      </c>
      <c r="K46" s="30"/>
      <c r="L46" s="30"/>
      <c r="M46" s="30"/>
      <c r="N46" s="30"/>
      <c r="O46" s="30"/>
    </row>
    <row r="47" spans="2:15" x14ac:dyDescent="0.25">
      <c r="B47">
        <v>26</v>
      </c>
      <c r="C47">
        <v>3</v>
      </c>
      <c r="D47" s="39">
        <v>46599</v>
      </c>
      <c r="E47" s="30">
        <v>115820.84699999998</v>
      </c>
      <c r="F47" s="30">
        <v>26994.869999999995</v>
      </c>
      <c r="G47" s="30">
        <v>20053.331999999999</v>
      </c>
      <c r="H47" s="30">
        <v>24938.117999999999</v>
      </c>
      <c r="I47" s="30">
        <v>12469.058999999999</v>
      </c>
      <c r="J47" s="30">
        <v>31365.467999999997</v>
      </c>
      <c r="K47" s="30"/>
      <c r="L47" s="30"/>
      <c r="M47" s="30"/>
      <c r="N47" s="30"/>
      <c r="O47" s="30"/>
    </row>
    <row r="48" spans="2:15" x14ac:dyDescent="0.25">
      <c r="B48">
        <v>27</v>
      </c>
      <c r="C48">
        <v>3</v>
      </c>
      <c r="D48" s="39">
        <v>46630</v>
      </c>
      <c r="E48" s="30">
        <v>115820.84699999998</v>
      </c>
      <c r="F48" s="30">
        <v>26994.869999999995</v>
      </c>
      <c r="G48" s="30">
        <v>20053.331999999999</v>
      </c>
      <c r="H48" s="30">
        <v>24938.117999999999</v>
      </c>
      <c r="I48" s="30">
        <v>12469.058999999999</v>
      </c>
      <c r="J48" s="30">
        <v>31365.467999999997</v>
      </c>
      <c r="K48" s="30"/>
      <c r="L48" s="30"/>
      <c r="M48" s="30"/>
      <c r="N48" s="30"/>
      <c r="O48" s="30"/>
    </row>
    <row r="49" spans="2:15" x14ac:dyDescent="0.25">
      <c r="B49">
        <v>28</v>
      </c>
      <c r="C49">
        <v>3</v>
      </c>
      <c r="D49" s="39">
        <v>46660</v>
      </c>
      <c r="E49" s="30">
        <v>115820.84699999998</v>
      </c>
      <c r="F49" s="30">
        <v>26994.869999999995</v>
      </c>
      <c r="G49" s="30">
        <v>20053.331999999999</v>
      </c>
      <c r="H49" s="30">
        <v>24938.117999999999</v>
      </c>
      <c r="I49" s="30">
        <v>12469.058999999999</v>
      </c>
      <c r="J49" s="30">
        <v>31365.467999999997</v>
      </c>
      <c r="K49" s="30"/>
      <c r="L49" s="30"/>
      <c r="M49" s="30"/>
      <c r="N49" s="30"/>
      <c r="O49" s="30"/>
    </row>
    <row r="50" spans="2:15" x14ac:dyDescent="0.25">
      <c r="B50">
        <v>29</v>
      </c>
      <c r="C50">
        <v>3</v>
      </c>
      <c r="D50" s="39">
        <v>46691</v>
      </c>
      <c r="E50" s="30">
        <v>115820.84699999998</v>
      </c>
      <c r="F50" s="30">
        <v>26994.869999999995</v>
      </c>
      <c r="G50" s="30">
        <v>20053.331999999999</v>
      </c>
      <c r="H50" s="30">
        <v>24938.117999999999</v>
      </c>
      <c r="I50" s="30">
        <v>12469.058999999999</v>
      </c>
      <c r="J50" s="30">
        <v>31365.467999999997</v>
      </c>
      <c r="K50" s="30"/>
      <c r="L50" s="30"/>
      <c r="M50" s="30"/>
      <c r="N50" s="30"/>
      <c r="O50" s="30"/>
    </row>
    <row r="51" spans="2:15" x14ac:dyDescent="0.25">
      <c r="B51">
        <v>30</v>
      </c>
      <c r="C51">
        <v>3</v>
      </c>
      <c r="D51" s="39">
        <v>46721</v>
      </c>
      <c r="E51" s="30">
        <v>115820.84699999998</v>
      </c>
      <c r="F51" s="30">
        <v>26994.869999999995</v>
      </c>
      <c r="G51" s="30">
        <v>20053.331999999999</v>
      </c>
      <c r="H51" s="30">
        <v>24938.117999999999</v>
      </c>
      <c r="I51" s="30">
        <v>12469.058999999999</v>
      </c>
      <c r="J51" s="30">
        <v>31365.467999999997</v>
      </c>
      <c r="K51" s="30"/>
      <c r="L51" s="30"/>
      <c r="M51" s="30"/>
      <c r="N51" s="30"/>
      <c r="O51" s="30"/>
    </row>
    <row r="52" spans="2:15" x14ac:dyDescent="0.25">
      <c r="B52">
        <v>31</v>
      </c>
      <c r="C52">
        <v>3</v>
      </c>
      <c r="D52" s="39">
        <v>46752</v>
      </c>
      <c r="E52" s="30">
        <v>115820.84699999998</v>
      </c>
      <c r="F52" s="30">
        <v>26994.869999999995</v>
      </c>
      <c r="G52" s="30">
        <v>20053.331999999999</v>
      </c>
      <c r="H52" s="30">
        <v>24938.117999999999</v>
      </c>
      <c r="I52" s="30">
        <v>12469.058999999999</v>
      </c>
      <c r="J52" s="30">
        <v>31365.467999999997</v>
      </c>
      <c r="K52" s="30"/>
      <c r="L52" s="30"/>
      <c r="M52" s="30"/>
      <c r="N52" s="30"/>
      <c r="O52" s="30"/>
    </row>
    <row r="53" spans="2:15" x14ac:dyDescent="0.25">
      <c r="B53">
        <v>32</v>
      </c>
      <c r="C53">
        <v>3</v>
      </c>
      <c r="D53" s="39">
        <v>46783</v>
      </c>
      <c r="E53" s="30">
        <v>115820.84699999998</v>
      </c>
      <c r="F53" s="30">
        <v>26994.869999999995</v>
      </c>
      <c r="G53" s="30">
        <v>20053.331999999999</v>
      </c>
      <c r="H53" s="30">
        <v>24938.117999999999</v>
      </c>
      <c r="I53" s="30">
        <v>12469.058999999999</v>
      </c>
      <c r="J53" s="30">
        <v>31365.467999999997</v>
      </c>
      <c r="K53" s="30"/>
      <c r="L53" s="30"/>
      <c r="M53" s="30"/>
      <c r="N53" s="30"/>
      <c r="O53" s="30"/>
    </row>
    <row r="54" spans="2:15" x14ac:dyDescent="0.25">
      <c r="B54">
        <v>33</v>
      </c>
      <c r="C54">
        <v>3</v>
      </c>
      <c r="D54" s="39">
        <v>46812</v>
      </c>
      <c r="E54" s="30">
        <v>115820.84699999998</v>
      </c>
      <c r="F54" s="30">
        <v>26994.869999999995</v>
      </c>
      <c r="G54" s="30">
        <v>20053.331999999999</v>
      </c>
      <c r="H54" s="30">
        <v>24938.117999999999</v>
      </c>
      <c r="I54" s="30">
        <v>12469.058999999999</v>
      </c>
      <c r="J54" s="30">
        <v>31365.467999999997</v>
      </c>
      <c r="K54" s="30"/>
      <c r="L54" s="30"/>
      <c r="M54" s="30"/>
      <c r="N54" s="30"/>
      <c r="O54" s="30"/>
    </row>
    <row r="55" spans="2:15" x14ac:dyDescent="0.25">
      <c r="B55">
        <v>34</v>
      </c>
      <c r="C55">
        <v>3</v>
      </c>
      <c r="D55" s="39">
        <v>46843</v>
      </c>
      <c r="E55" s="30">
        <v>115820.84699999998</v>
      </c>
      <c r="F55" s="30">
        <v>26994.869999999995</v>
      </c>
      <c r="G55" s="30">
        <v>20053.331999999999</v>
      </c>
      <c r="H55" s="30">
        <v>24938.117999999999</v>
      </c>
      <c r="I55" s="30">
        <v>12469.058999999999</v>
      </c>
      <c r="J55" s="30">
        <v>31365.467999999997</v>
      </c>
      <c r="K55" s="30"/>
      <c r="L55" s="30"/>
      <c r="M55" s="30"/>
      <c r="N55" s="30"/>
      <c r="O55" s="30"/>
    </row>
    <row r="56" spans="2:15" x14ac:dyDescent="0.25">
      <c r="B56">
        <v>35</v>
      </c>
      <c r="C56">
        <v>3</v>
      </c>
      <c r="D56" s="39">
        <v>46873</v>
      </c>
      <c r="E56" s="30">
        <v>115820.84699999998</v>
      </c>
      <c r="F56" s="30">
        <v>26994.869999999995</v>
      </c>
      <c r="G56" s="30">
        <v>20053.331999999999</v>
      </c>
      <c r="H56" s="30">
        <v>24938.117999999999</v>
      </c>
      <c r="I56" s="30">
        <v>12469.058999999999</v>
      </c>
      <c r="J56" s="30">
        <v>31365.467999999997</v>
      </c>
      <c r="K56" s="30"/>
      <c r="L56" s="30"/>
      <c r="M56" s="30"/>
      <c r="N56" s="30"/>
      <c r="O56" s="30"/>
    </row>
    <row r="57" spans="2:15" x14ac:dyDescent="0.25">
      <c r="B57">
        <v>36</v>
      </c>
      <c r="C57">
        <v>3</v>
      </c>
      <c r="D57" s="39">
        <v>46904</v>
      </c>
      <c r="E57" s="30">
        <v>115820.84699999998</v>
      </c>
      <c r="F57" s="30">
        <v>26994.869999999995</v>
      </c>
      <c r="G57" s="30">
        <v>20053.331999999999</v>
      </c>
      <c r="H57" s="30">
        <v>24938.117999999999</v>
      </c>
      <c r="I57" s="30">
        <v>12469.058999999999</v>
      </c>
      <c r="J57" s="30">
        <v>31365.467999999997</v>
      </c>
      <c r="K57" s="30"/>
      <c r="L57" s="30"/>
      <c r="M57" s="30"/>
      <c r="N57" s="30"/>
      <c r="O57" s="30"/>
    </row>
    <row r="58" spans="2:15" x14ac:dyDescent="0.25">
      <c r="B58">
        <v>37</v>
      </c>
      <c r="C58">
        <v>4</v>
      </c>
      <c r="D58" s="39">
        <v>46934</v>
      </c>
      <c r="E58" s="30">
        <v>119874.57664499996</v>
      </c>
      <c r="F58" s="30">
        <v>27939.690449999995</v>
      </c>
      <c r="G58" s="30">
        <v>20755.198619999996</v>
      </c>
      <c r="H58" s="30">
        <v>25810.952129999994</v>
      </c>
      <c r="I58" s="30">
        <v>12905.476064999997</v>
      </c>
      <c r="J58" s="30">
        <v>32463.259379999992</v>
      </c>
      <c r="K58" s="30"/>
      <c r="L58" s="30"/>
      <c r="M58" s="30"/>
      <c r="N58" s="30"/>
      <c r="O58" s="30"/>
    </row>
    <row r="59" spans="2:15" x14ac:dyDescent="0.25">
      <c r="B59">
        <v>38</v>
      </c>
      <c r="C59">
        <v>4</v>
      </c>
      <c r="D59" s="39">
        <v>46965</v>
      </c>
      <c r="E59" s="30">
        <v>119874.57664499996</v>
      </c>
      <c r="F59" s="30">
        <v>27939.690449999995</v>
      </c>
      <c r="G59" s="30">
        <v>20755.198619999996</v>
      </c>
      <c r="H59" s="30">
        <v>25810.952129999994</v>
      </c>
      <c r="I59" s="30">
        <v>12905.476064999997</v>
      </c>
      <c r="J59" s="30">
        <v>32463.259379999992</v>
      </c>
      <c r="K59" s="30"/>
      <c r="L59" s="30"/>
      <c r="M59" s="30"/>
      <c r="N59" s="30"/>
      <c r="O59" s="30"/>
    </row>
    <row r="60" spans="2:15" x14ac:dyDescent="0.25">
      <c r="B60">
        <v>39</v>
      </c>
      <c r="C60">
        <v>4</v>
      </c>
      <c r="D60" s="39">
        <v>46996</v>
      </c>
      <c r="E60" s="30">
        <v>119874.57664499996</v>
      </c>
      <c r="F60" s="30">
        <v>27939.690449999995</v>
      </c>
      <c r="G60" s="30">
        <v>20755.198619999996</v>
      </c>
      <c r="H60" s="30">
        <v>25810.952129999994</v>
      </c>
      <c r="I60" s="30">
        <v>12905.476064999997</v>
      </c>
      <c r="J60" s="30">
        <v>32463.259379999992</v>
      </c>
      <c r="K60" s="30"/>
      <c r="L60" s="30"/>
      <c r="M60" s="30"/>
      <c r="N60" s="30"/>
      <c r="O60" s="30"/>
    </row>
    <row r="61" spans="2:15" x14ac:dyDescent="0.25">
      <c r="B61">
        <v>40</v>
      </c>
      <c r="C61">
        <v>4</v>
      </c>
      <c r="D61" s="39">
        <v>47026</v>
      </c>
      <c r="E61" s="30">
        <v>119874.57664499996</v>
      </c>
      <c r="F61" s="30">
        <v>27939.690449999995</v>
      </c>
      <c r="G61" s="30">
        <v>20755.198619999996</v>
      </c>
      <c r="H61" s="30">
        <v>25810.952129999994</v>
      </c>
      <c r="I61" s="30">
        <v>12905.476064999997</v>
      </c>
      <c r="J61" s="30">
        <v>32463.259379999992</v>
      </c>
      <c r="K61" s="30"/>
      <c r="L61" s="30"/>
      <c r="M61" s="30"/>
      <c r="N61" s="30"/>
      <c r="O61" s="30"/>
    </row>
    <row r="62" spans="2:15" x14ac:dyDescent="0.25">
      <c r="B62">
        <v>41</v>
      </c>
      <c r="C62">
        <v>4</v>
      </c>
      <c r="D62" s="39">
        <v>47057</v>
      </c>
      <c r="E62" s="30">
        <v>119874.57664499996</v>
      </c>
      <c r="F62" s="30">
        <v>27939.690449999995</v>
      </c>
      <c r="G62" s="30">
        <v>20755.198619999996</v>
      </c>
      <c r="H62" s="30">
        <v>25810.952129999994</v>
      </c>
      <c r="I62" s="30">
        <v>12905.476064999997</v>
      </c>
      <c r="J62" s="30">
        <v>32463.259379999992</v>
      </c>
      <c r="K62" s="30"/>
      <c r="L62" s="30"/>
      <c r="M62" s="30"/>
      <c r="N62" s="30"/>
      <c r="O62" s="30"/>
    </row>
    <row r="63" spans="2:15" x14ac:dyDescent="0.25">
      <c r="B63">
        <v>42</v>
      </c>
      <c r="C63">
        <v>4</v>
      </c>
      <c r="D63" s="39">
        <v>47087</v>
      </c>
      <c r="E63" s="30">
        <v>119874.57664499996</v>
      </c>
      <c r="F63" s="30">
        <v>27939.690449999995</v>
      </c>
      <c r="G63" s="30">
        <v>20755.198619999996</v>
      </c>
      <c r="H63" s="30">
        <v>25810.952129999994</v>
      </c>
      <c r="I63" s="30">
        <v>12905.476064999997</v>
      </c>
      <c r="J63" s="30">
        <v>32463.259379999992</v>
      </c>
      <c r="K63" s="30"/>
      <c r="L63" s="30"/>
      <c r="M63" s="30"/>
      <c r="N63" s="30"/>
      <c r="O63" s="30"/>
    </row>
    <row r="64" spans="2:15" x14ac:dyDescent="0.25">
      <c r="B64">
        <v>43</v>
      </c>
      <c r="C64">
        <v>4</v>
      </c>
      <c r="D64" s="39">
        <v>47118</v>
      </c>
      <c r="E64" s="30">
        <v>119874.57664499996</v>
      </c>
      <c r="F64" s="30">
        <v>27939.690449999995</v>
      </c>
      <c r="G64" s="30">
        <v>20755.198619999996</v>
      </c>
      <c r="H64" s="30">
        <v>25810.952129999994</v>
      </c>
      <c r="I64" s="30">
        <v>12905.476064999997</v>
      </c>
      <c r="J64" s="30">
        <v>32463.259379999992</v>
      </c>
      <c r="K64" s="30"/>
      <c r="L64" s="30"/>
      <c r="M64" s="30"/>
      <c r="N64" s="30"/>
      <c r="O64" s="30"/>
    </row>
    <row r="65" spans="2:15" x14ac:dyDescent="0.25">
      <c r="B65">
        <v>44</v>
      </c>
      <c r="C65">
        <v>4</v>
      </c>
      <c r="D65" s="39">
        <v>47149</v>
      </c>
      <c r="E65" s="30">
        <v>119874.57664499996</v>
      </c>
      <c r="F65" s="30">
        <v>27939.690449999995</v>
      </c>
      <c r="G65" s="30">
        <v>20755.198619999996</v>
      </c>
      <c r="H65" s="30">
        <v>25810.952129999994</v>
      </c>
      <c r="I65" s="30">
        <v>12905.476064999997</v>
      </c>
      <c r="J65" s="30">
        <v>32463.259379999992</v>
      </c>
      <c r="K65" s="30"/>
      <c r="L65" s="30"/>
      <c r="M65" s="30"/>
      <c r="N65" s="30"/>
      <c r="O65" s="30"/>
    </row>
    <row r="66" spans="2:15" x14ac:dyDescent="0.25">
      <c r="B66">
        <v>45</v>
      </c>
      <c r="C66">
        <v>4</v>
      </c>
      <c r="D66" s="39">
        <v>47177</v>
      </c>
      <c r="E66" s="30">
        <v>119874.57664499996</v>
      </c>
      <c r="F66" s="30">
        <v>27939.690449999995</v>
      </c>
      <c r="G66" s="30">
        <v>20755.198619999996</v>
      </c>
      <c r="H66" s="30">
        <v>25810.952129999994</v>
      </c>
      <c r="I66" s="30">
        <v>12905.476064999997</v>
      </c>
      <c r="J66" s="30">
        <v>32463.259379999992</v>
      </c>
      <c r="K66" s="30"/>
      <c r="L66" s="30"/>
      <c r="M66" s="30"/>
      <c r="N66" s="30"/>
      <c r="O66" s="30"/>
    </row>
    <row r="67" spans="2:15" x14ac:dyDescent="0.25">
      <c r="B67">
        <v>46</v>
      </c>
      <c r="C67">
        <v>4</v>
      </c>
      <c r="D67" s="39">
        <v>47208</v>
      </c>
      <c r="E67" s="30">
        <v>119874.57664499996</v>
      </c>
      <c r="F67" s="30">
        <v>27939.690449999995</v>
      </c>
      <c r="G67" s="30">
        <v>20755.198619999996</v>
      </c>
      <c r="H67" s="30">
        <v>25810.952129999994</v>
      </c>
      <c r="I67" s="30">
        <v>12905.476064999997</v>
      </c>
      <c r="J67" s="30">
        <v>32463.259379999992</v>
      </c>
      <c r="K67" s="30"/>
      <c r="L67" s="30"/>
      <c r="M67" s="30"/>
      <c r="N67" s="30"/>
      <c r="O67" s="30"/>
    </row>
    <row r="68" spans="2:15" x14ac:dyDescent="0.25">
      <c r="B68">
        <v>47</v>
      </c>
      <c r="C68">
        <v>4</v>
      </c>
      <c r="D68" s="39">
        <v>47238</v>
      </c>
      <c r="E68" s="30">
        <v>119874.57664499996</v>
      </c>
      <c r="F68" s="30">
        <v>27939.690449999995</v>
      </c>
      <c r="G68" s="30">
        <v>20755.198619999996</v>
      </c>
      <c r="H68" s="30">
        <v>25810.952129999994</v>
      </c>
      <c r="I68" s="30">
        <v>12905.476064999997</v>
      </c>
      <c r="J68" s="30">
        <v>32463.259379999992</v>
      </c>
      <c r="K68" s="30"/>
      <c r="L68" s="30"/>
      <c r="M68" s="30"/>
      <c r="N68" s="30"/>
      <c r="O68" s="30"/>
    </row>
    <row r="69" spans="2:15" x14ac:dyDescent="0.25">
      <c r="B69">
        <v>48</v>
      </c>
      <c r="C69">
        <v>4</v>
      </c>
      <c r="D69" s="39">
        <v>47269</v>
      </c>
      <c r="E69" s="30">
        <v>119874.57664499996</v>
      </c>
      <c r="F69" s="30">
        <v>27939.690449999995</v>
      </c>
      <c r="G69" s="30">
        <v>20755.198619999996</v>
      </c>
      <c r="H69" s="30">
        <v>25810.952129999994</v>
      </c>
      <c r="I69" s="30">
        <v>12905.476064999997</v>
      </c>
      <c r="J69" s="30">
        <v>32463.259379999992</v>
      </c>
      <c r="K69" s="30"/>
      <c r="L69" s="30"/>
      <c r="M69" s="30"/>
      <c r="N69" s="30"/>
      <c r="O69" s="30"/>
    </row>
    <row r="70" spans="2:15" x14ac:dyDescent="0.25">
      <c r="B70">
        <v>49</v>
      </c>
      <c r="C70">
        <v>5</v>
      </c>
      <c r="D70" s="39">
        <v>47299</v>
      </c>
      <c r="E70" s="30">
        <v>124070.18682757497</v>
      </c>
      <c r="F70" s="30">
        <v>28917.579615749994</v>
      </c>
      <c r="G70" s="30">
        <v>21481.630571699992</v>
      </c>
      <c r="H70" s="30">
        <v>26714.335454549993</v>
      </c>
      <c r="I70" s="30">
        <v>13357.167727274997</v>
      </c>
      <c r="J70" s="30">
        <v>33599.473458299988</v>
      </c>
      <c r="K70" s="30"/>
      <c r="L70" s="30"/>
      <c r="M70" s="30"/>
      <c r="N70" s="30"/>
      <c r="O70" s="30"/>
    </row>
    <row r="71" spans="2:15" x14ac:dyDescent="0.25">
      <c r="B71">
        <v>50</v>
      </c>
      <c r="C71">
        <v>5</v>
      </c>
      <c r="D71" s="39">
        <v>47330</v>
      </c>
      <c r="E71" s="30">
        <v>124070.18682757497</v>
      </c>
      <c r="F71" s="30">
        <v>28917.579615749994</v>
      </c>
      <c r="G71" s="30">
        <v>21481.630571699992</v>
      </c>
      <c r="H71" s="30">
        <v>26714.335454549993</v>
      </c>
      <c r="I71" s="30">
        <v>13357.167727274997</v>
      </c>
      <c r="J71" s="30">
        <v>33599.473458299988</v>
      </c>
      <c r="K71" s="30"/>
      <c r="L71" s="30"/>
      <c r="M71" s="30"/>
      <c r="N71" s="30"/>
      <c r="O71" s="30"/>
    </row>
    <row r="72" spans="2:15" x14ac:dyDescent="0.25">
      <c r="B72">
        <v>51</v>
      </c>
      <c r="C72">
        <v>5</v>
      </c>
      <c r="D72" s="39">
        <v>47361</v>
      </c>
      <c r="E72" s="30">
        <v>124070.18682757497</v>
      </c>
      <c r="F72" s="30">
        <v>28917.579615749994</v>
      </c>
      <c r="G72" s="30">
        <v>21481.630571699992</v>
      </c>
      <c r="H72" s="30">
        <v>26714.335454549993</v>
      </c>
      <c r="I72" s="30">
        <v>13357.167727274997</v>
      </c>
      <c r="J72" s="30">
        <v>33599.473458299988</v>
      </c>
      <c r="K72" s="30"/>
      <c r="L72" s="30"/>
      <c r="M72" s="30"/>
      <c r="N72" s="30"/>
      <c r="O72" s="30"/>
    </row>
    <row r="73" spans="2:15" x14ac:dyDescent="0.25">
      <c r="B73">
        <v>52</v>
      </c>
      <c r="C73">
        <v>5</v>
      </c>
      <c r="D73" s="39">
        <v>47391</v>
      </c>
      <c r="E73" s="30">
        <v>124070.18682757497</v>
      </c>
      <c r="F73" s="30">
        <v>28917.579615749994</v>
      </c>
      <c r="G73" s="30">
        <v>21481.630571699992</v>
      </c>
      <c r="H73" s="30">
        <v>26714.335454549993</v>
      </c>
      <c r="I73" s="30">
        <v>13357.167727274997</v>
      </c>
      <c r="J73" s="30">
        <v>33599.473458299988</v>
      </c>
      <c r="K73" s="30"/>
      <c r="L73" s="30"/>
      <c r="M73" s="30"/>
      <c r="N73" s="30"/>
      <c r="O73" s="30"/>
    </row>
    <row r="74" spans="2:15" x14ac:dyDescent="0.25">
      <c r="B74">
        <v>53</v>
      </c>
      <c r="C74">
        <v>5</v>
      </c>
      <c r="D74" s="39">
        <v>47422</v>
      </c>
      <c r="E74" s="30">
        <v>124070.18682757497</v>
      </c>
      <c r="F74" s="30">
        <v>28917.579615749994</v>
      </c>
      <c r="G74" s="30">
        <v>21481.630571699992</v>
      </c>
      <c r="H74" s="30">
        <v>26714.335454549993</v>
      </c>
      <c r="I74" s="30">
        <v>13357.167727274997</v>
      </c>
      <c r="J74" s="30">
        <v>33599.473458299988</v>
      </c>
      <c r="K74" s="30"/>
      <c r="L74" s="30"/>
      <c r="M74" s="30"/>
      <c r="N74" s="30"/>
      <c r="O74" s="30"/>
    </row>
    <row r="75" spans="2:15" x14ac:dyDescent="0.25">
      <c r="B75">
        <v>54</v>
      </c>
      <c r="C75">
        <v>5</v>
      </c>
      <c r="D75" s="39">
        <v>47452</v>
      </c>
      <c r="E75" s="30">
        <v>124070.18682757497</v>
      </c>
      <c r="F75" s="30">
        <v>28917.579615749994</v>
      </c>
      <c r="G75" s="30">
        <v>21481.630571699992</v>
      </c>
      <c r="H75" s="30">
        <v>26714.335454549993</v>
      </c>
      <c r="I75" s="30">
        <v>13357.167727274997</v>
      </c>
      <c r="J75" s="30">
        <v>33599.473458299988</v>
      </c>
      <c r="K75" s="30"/>
      <c r="L75" s="30"/>
      <c r="M75" s="30"/>
      <c r="N75" s="30"/>
      <c r="O75" s="30"/>
    </row>
    <row r="76" spans="2:15" x14ac:dyDescent="0.25">
      <c r="B76">
        <v>55</v>
      </c>
      <c r="C76">
        <v>5</v>
      </c>
      <c r="D76" s="39">
        <v>47483</v>
      </c>
      <c r="E76" s="30">
        <v>124070.18682757497</v>
      </c>
      <c r="F76" s="30">
        <v>28917.579615749994</v>
      </c>
      <c r="G76" s="30">
        <v>21481.630571699992</v>
      </c>
      <c r="H76" s="30">
        <v>26714.335454549993</v>
      </c>
      <c r="I76" s="30">
        <v>13357.167727274997</v>
      </c>
      <c r="J76" s="30">
        <v>33599.473458299988</v>
      </c>
      <c r="K76" s="30"/>
      <c r="L76" s="30"/>
      <c r="M76" s="30"/>
      <c r="N76" s="30"/>
      <c r="O76" s="30"/>
    </row>
    <row r="77" spans="2:15" x14ac:dyDescent="0.25">
      <c r="B77">
        <v>56</v>
      </c>
      <c r="C77">
        <v>5</v>
      </c>
      <c r="D77" s="39">
        <v>47514</v>
      </c>
      <c r="E77" s="30">
        <v>124070.18682757497</v>
      </c>
      <c r="F77" s="30">
        <v>28917.579615749994</v>
      </c>
      <c r="G77" s="30">
        <v>21481.630571699992</v>
      </c>
      <c r="H77" s="30">
        <v>26714.335454549993</v>
      </c>
      <c r="I77" s="30">
        <v>13357.167727274997</v>
      </c>
      <c r="J77" s="30">
        <v>33599.473458299988</v>
      </c>
      <c r="K77" s="30"/>
      <c r="L77" s="30"/>
      <c r="M77" s="30"/>
      <c r="N77" s="30"/>
      <c r="O77" s="30"/>
    </row>
    <row r="78" spans="2:15" x14ac:dyDescent="0.25">
      <c r="B78">
        <v>57</v>
      </c>
      <c r="C78">
        <v>5</v>
      </c>
      <c r="D78" s="39">
        <v>47542</v>
      </c>
      <c r="E78" s="30">
        <v>124070.18682757497</v>
      </c>
      <c r="F78" s="30">
        <v>28917.579615749994</v>
      </c>
      <c r="G78" s="30">
        <v>21481.630571699992</v>
      </c>
      <c r="H78" s="30">
        <v>26714.335454549993</v>
      </c>
      <c r="I78" s="30">
        <v>13357.167727274997</v>
      </c>
      <c r="J78" s="30">
        <v>33599.473458299988</v>
      </c>
      <c r="K78" s="30"/>
      <c r="L78" s="30"/>
      <c r="M78" s="30"/>
      <c r="N78" s="30"/>
      <c r="O78" s="30"/>
    </row>
    <row r="79" spans="2:15" x14ac:dyDescent="0.25">
      <c r="B79">
        <v>58</v>
      </c>
      <c r="C79">
        <v>5</v>
      </c>
      <c r="D79" s="39">
        <v>47573</v>
      </c>
      <c r="E79" s="30">
        <v>124070.18682757497</v>
      </c>
      <c r="F79" s="30">
        <v>28917.579615749994</v>
      </c>
      <c r="G79" s="30">
        <v>21481.630571699992</v>
      </c>
      <c r="H79" s="30">
        <v>26714.335454549993</v>
      </c>
      <c r="I79" s="30">
        <v>13357.167727274997</v>
      </c>
      <c r="J79" s="30">
        <v>33599.473458299988</v>
      </c>
      <c r="K79" s="30"/>
      <c r="L79" s="30"/>
      <c r="M79" s="30"/>
      <c r="N79" s="30"/>
      <c r="O79" s="30"/>
    </row>
    <row r="80" spans="2:15" x14ac:dyDescent="0.25">
      <c r="B80">
        <v>59</v>
      </c>
      <c r="C80">
        <v>5</v>
      </c>
      <c r="D80" s="39">
        <v>47603</v>
      </c>
      <c r="E80" s="30">
        <v>124070.18682757497</v>
      </c>
      <c r="F80" s="30">
        <v>28917.579615749994</v>
      </c>
      <c r="G80" s="30">
        <v>21481.630571699992</v>
      </c>
      <c r="H80" s="30">
        <v>26714.335454549993</v>
      </c>
      <c r="I80" s="30">
        <v>13357.167727274997</v>
      </c>
      <c r="J80" s="30">
        <v>33599.473458299988</v>
      </c>
      <c r="K80" s="30"/>
      <c r="L80" s="30"/>
      <c r="M80" s="30"/>
      <c r="N80" s="30"/>
      <c r="O80" s="30"/>
    </row>
    <row r="81" spans="2:15" x14ac:dyDescent="0.25">
      <c r="B81">
        <v>60</v>
      </c>
      <c r="C81">
        <v>5</v>
      </c>
      <c r="D81" s="39">
        <v>47634</v>
      </c>
      <c r="E81" s="30">
        <v>124070.18682757497</v>
      </c>
      <c r="F81" s="30">
        <v>28917.579615749994</v>
      </c>
      <c r="G81" s="30">
        <v>21481.630571699992</v>
      </c>
      <c r="H81" s="30">
        <v>26714.335454549993</v>
      </c>
      <c r="I81" s="30">
        <v>13357.167727274997</v>
      </c>
      <c r="J81" s="30">
        <v>33599.473458299988</v>
      </c>
      <c r="K81" s="30"/>
      <c r="L81" s="30"/>
      <c r="M81" s="30"/>
      <c r="N81" s="30"/>
      <c r="O81" s="30"/>
    </row>
    <row r="82" spans="2:15" x14ac:dyDescent="0.25">
      <c r="B82">
        <v>61</v>
      </c>
      <c r="C82">
        <v>6</v>
      </c>
      <c r="D82" s="39">
        <v>47664</v>
      </c>
      <c r="E82" s="30">
        <v>128412.64336654005</v>
      </c>
      <c r="F82" s="30">
        <v>29929.694902301238</v>
      </c>
      <c r="G82" s="30">
        <v>22233.487641709489</v>
      </c>
      <c r="H82" s="30">
        <v>27649.337195459237</v>
      </c>
      <c r="I82" s="30">
        <v>13824.668597729618</v>
      </c>
      <c r="J82" s="30">
        <v>34775.455029340483</v>
      </c>
      <c r="K82" s="30"/>
      <c r="L82" s="30"/>
      <c r="M82" s="30"/>
      <c r="N82" s="30"/>
      <c r="O82" s="30"/>
    </row>
    <row r="83" spans="2:15" x14ac:dyDescent="0.25">
      <c r="B83">
        <v>62</v>
      </c>
      <c r="C83">
        <v>6</v>
      </c>
      <c r="D83" s="39">
        <v>47695</v>
      </c>
      <c r="E83" s="30">
        <v>128412.64336654005</v>
      </c>
      <c r="F83" s="30">
        <v>29929.694902301238</v>
      </c>
      <c r="G83" s="30">
        <v>22233.487641709489</v>
      </c>
      <c r="H83" s="30">
        <v>27649.337195459237</v>
      </c>
      <c r="I83" s="30">
        <v>13824.668597729618</v>
      </c>
      <c r="J83" s="30">
        <v>34775.455029340483</v>
      </c>
      <c r="K83" s="30"/>
      <c r="L83" s="30"/>
      <c r="M83" s="30"/>
      <c r="N83" s="30"/>
      <c r="O83" s="30"/>
    </row>
    <row r="84" spans="2:15" x14ac:dyDescent="0.25">
      <c r="B84">
        <v>63</v>
      </c>
      <c r="C84">
        <v>6</v>
      </c>
      <c r="D84" s="39">
        <v>47726</v>
      </c>
      <c r="E84" s="30">
        <v>128412.64336654005</v>
      </c>
      <c r="F84" s="30">
        <v>29929.694902301238</v>
      </c>
      <c r="G84" s="30">
        <v>22233.487641709489</v>
      </c>
      <c r="H84" s="30">
        <v>27649.337195459237</v>
      </c>
      <c r="I84" s="30">
        <v>13824.668597729618</v>
      </c>
      <c r="J84" s="30">
        <v>34775.455029340483</v>
      </c>
      <c r="K84" s="30"/>
      <c r="L84" s="30"/>
      <c r="M84" s="30"/>
      <c r="N84" s="30"/>
      <c r="O84" s="30"/>
    </row>
    <row r="85" spans="2:15" x14ac:dyDescent="0.25">
      <c r="B85">
        <v>64</v>
      </c>
      <c r="C85">
        <v>6</v>
      </c>
      <c r="D85" s="39">
        <v>47756</v>
      </c>
      <c r="E85" s="30">
        <v>128412.64336654005</v>
      </c>
      <c r="F85" s="30">
        <v>29929.694902301238</v>
      </c>
      <c r="G85" s="30">
        <v>22233.487641709489</v>
      </c>
      <c r="H85" s="30">
        <v>27649.337195459237</v>
      </c>
      <c r="I85" s="30">
        <v>13824.668597729618</v>
      </c>
      <c r="J85" s="30">
        <v>34775.455029340483</v>
      </c>
      <c r="K85" s="30"/>
      <c r="L85" s="30"/>
      <c r="M85" s="30"/>
      <c r="N85" s="30"/>
      <c r="O85" s="30"/>
    </row>
    <row r="86" spans="2:15" x14ac:dyDescent="0.25">
      <c r="B86">
        <v>65</v>
      </c>
      <c r="C86">
        <v>6</v>
      </c>
      <c r="D86" s="39">
        <v>47787</v>
      </c>
      <c r="E86" s="30">
        <v>128412.64336654005</v>
      </c>
      <c r="F86" s="30">
        <v>29929.694902301238</v>
      </c>
      <c r="G86" s="30">
        <v>22233.487641709489</v>
      </c>
      <c r="H86" s="30">
        <v>27649.337195459237</v>
      </c>
      <c r="I86" s="30">
        <v>13824.668597729618</v>
      </c>
      <c r="J86" s="30">
        <v>34775.455029340483</v>
      </c>
      <c r="K86" s="30"/>
      <c r="L86" s="30"/>
      <c r="M86" s="30"/>
      <c r="N86" s="30"/>
      <c r="O86" s="30"/>
    </row>
    <row r="87" spans="2:15" x14ac:dyDescent="0.25">
      <c r="B87">
        <v>66</v>
      </c>
      <c r="C87">
        <v>6</v>
      </c>
      <c r="D87" s="39">
        <v>47817</v>
      </c>
      <c r="E87" s="30">
        <v>128412.64336654005</v>
      </c>
      <c r="F87" s="30">
        <v>29929.694902301238</v>
      </c>
      <c r="G87" s="30">
        <v>22233.487641709489</v>
      </c>
      <c r="H87" s="30">
        <v>27649.337195459237</v>
      </c>
      <c r="I87" s="30">
        <v>13824.668597729618</v>
      </c>
      <c r="J87" s="30">
        <v>34775.455029340483</v>
      </c>
      <c r="K87" s="30"/>
      <c r="L87" s="30"/>
      <c r="M87" s="30"/>
      <c r="N87" s="30"/>
      <c r="O87" s="30"/>
    </row>
    <row r="88" spans="2:15" x14ac:dyDescent="0.25">
      <c r="B88">
        <v>67</v>
      </c>
      <c r="C88">
        <v>6</v>
      </c>
      <c r="D88" s="39">
        <v>47848</v>
      </c>
      <c r="E88" s="30">
        <v>128412.64336654005</v>
      </c>
      <c r="F88" s="30">
        <v>29929.694902301238</v>
      </c>
      <c r="G88" s="30">
        <v>22233.487641709489</v>
      </c>
      <c r="H88" s="30">
        <v>27649.337195459237</v>
      </c>
      <c r="I88" s="30">
        <v>13824.668597729618</v>
      </c>
      <c r="J88" s="30">
        <v>34775.455029340483</v>
      </c>
      <c r="K88" s="30"/>
      <c r="L88" s="30"/>
      <c r="M88" s="30"/>
      <c r="N88" s="30"/>
      <c r="O88" s="30"/>
    </row>
    <row r="89" spans="2:15" x14ac:dyDescent="0.25">
      <c r="B89">
        <v>68</v>
      </c>
      <c r="C89">
        <v>6</v>
      </c>
      <c r="D89" s="39">
        <v>47879</v>
      </c>
      <c r="E89" s="30">
        <v>128412.64336654005</v>
      </c>
      <c r="F89" s="30">
        <v>29929.694902301238</v>
      </c>
      <c r="G89" s="30">
        <v>22233.487641709489</v>
      </c>
      <c r="H89" s="30">
        <v>27649.337195459237</v>
      </c>
      <c r="I89" s="30">
        <v>13824.668597729618</v>
      </c>
      <c r="J89" s="30">
        <v>34775.455029340483</v>
      </c>
      <c r="K89" s="30"/>
      <c r="L89" s="30"/>
      <c r="M89" s="30"/>
      <c r="N89" s="30"/>
      <c r="O89" s="30"/>
    </row>
    <row r="90" spans="2:15" x14ac:dyDescent="0.25">
      <c r="B90">
        <v>69</v>
      </c>
      <c r="C90">
        <v>6</v>
      </c>
      <c r="D90" s="39">
        <v>47907</v>
      </c>
      <c r="E90" s="30">
        <v>128412.64336654005</v>
      </c>
      <c r="F90" s="30">
        <v>29929.694902301238</v>
      </c>
      <c r="G90" s="30">
        <v>22233.487641709489</v>
      </c>
      <c r="H90" s="30">
        <v>27649.337195459237</v>
      </c>
      <c r="I90" s="30">
        <v>13824.668597729618</v>
      </c>
      <c r="J90" s="30">
        <v>34775.455029340483</v>
      </c>
      <c r="K90" s="30"/>
      <c r="L90" s="30"/>
      <c r="M90" s="30"/>
      <c r="N90" s="30"/>
      <c r="O90" s="30"/>
    </row>
    <row r="91" spans="2:15" x14ac:dyDescent="0.25">
      <c r="B91">
        <v>70</v>
      </c>
      <c r="C91">
        <v>6</v>
      </c>
      <c r="D91" s="39">
        <v>47938</v>
      </c>
      <c r="E91" s="30">
        <v>128412.64336654005</v>
      </c>
      <c r="F91" s="30">
        <v>29929.694902301238</v>
      </c>
      <c r="G91" s="30">
        <v>22233.487641709489</v>
      </c>
      <c r="H91" s="30">
        <v>27649.337195459237</v>
      </c>
      <c r="I91" s="30">
        <v>13824.668597729618</v>
      </c>
      <c r="J91" s="30">
        <v>34775.455029340483</v>
      </c>
      <c r="K91" s="30"/>
      <c r="L91" s="30"/>
      <c r="M91" s="30"/>
      <c r="N91" s="30"/>
      <c r="O91" s="30"/>
    </row>
    <row r="92" spans="2:15" x14ac:dyDescent="0.25">
      <c r="B92">
        <v>71</v>
      </c>
      <c r="C92">
        <v>6</v>
      </c>
      <c r="D92" s="39">
        <v>47968</v>
      </c>
      <c r="E92" s="30">
        <v>128412.64336654005</v>
      </c>
      <c r="F92" s="30">
        <v>29929.694902301238</v>
      </c>
      <c r="G92" s="30">
        <v>22233.487641709489</v>
      </c>
      <c r="H92" s="30">
        <v>27649.337195459237</v>
      </c>
      <c r="I92" s="30">
        <v>13824.668597729618</v>
      </c>
      <c r="J92" s="30">
        <v>34775.455029340483</v>
      </c>
      <c r="K92" s="30"/>
      <c r="L92" s="30"/>
      <c r="M92" s="30"/>
      <c r="N92" s="30"/>
      <c r="O92" s="30"/>
    </row>
    <row r="93" spans="2:15" x14ac:dyDescent="0.25">
      <c r="B93">
        <v>72</v>
      </c>
      <c r="C93">
        <v>6</v>
      </c>
      <c r="D93" s="39">
        <v>47999</v>
      </c>
      <c r="E93" s="30">
        <v>128412.64336654005</v>
      </c>
      <c r="F93" s="30">
        <v>29929.694902301238</v>
      </c>
      <c r="G93" s="30">
        <v>22233.487641709489</v>
      </c>
      <c r="H93" s="30">
        <v>27649.337195459237</v>
      </c>
      <c r="I93" s="30">
        <v>13824.668597729618</v>
      </c>
      <c r="J93" s="30">
        <v>34775.455029340483</v>
      </c>
      <c r="K93" s="30"/>
      <c r="L93" s="30"/>
      <c r="M93" s="30"/>
      <c r="N93" s="30"/>
      <c r="O93" s="30"/>
    </row>
    <row r="94" spans="2:15" x14ac:dyDescent="0.25">
      <c r="B94">
        <v>73</v>
      </c>
      <c r="C94">
        <v>7</v>
      </c>
      <c r="D94" s="39">
        <v>48029</v>
      </c>
      <c r="E94" s="30">
        <v>132907.08588436898</v>
      </c>
      <c r="F94" s="30">
        <v>30977.234223881784</v>
      </c>
      <c r="G94" s="30">
        <v>23011.659709169326</v>
      </c>
      <c r="H94" s="30">
        <v>28617.063997300313</v>
      </c>
      <c r="I94" s="30">
        <v>14308.531998650156</v>
      </c>
      <c r="J94" s="30">
        <v>35992.595955367404</v>
      </c>
      <c r="K94" s="30"/>
      <c r="L94" s="30"/>
      <c r="M94" s="30"/>
      <c r="N94" s="30"/>
      <c r="O94" s="30"/>
    </row>
    <row r="95" spans="2:15" x14ac:dyDescent="0.25">
      <c r="B95">
        <v>74</v>
      </c>
      <c r="C95">
        <v>7</v>
      </c>
      <c r="D95" s="39">
        <v>48060</v>
      </c>
      <c r="E95" s="30">
        <v>132907.08588436898</v>
      </c>
      <c r="F95" s="30">
        <v>30977.234223881784</v>
      </c>
      <c r="G95" s="30">
        <v>23011.659709169326</v>
      </c>
      <c r="H95" s="30">
        <v>28617.063997300313</v>
      </c>
      <c r="I95" s="30">
        <v>14308.531998650156</v>
      </c>
      <c r="J95" s="30">
        <v>35992.595955367404</v>
      </c>
      <c r="K95" s="30"/>
      <c r="L95" s="30"/>
      <c r="M95" s="30"/>
      <c r="N95" s="30"/>
      <c r="O95" s="30"/>
    </row>
    <row r="96" spans="2:15" x14ac:dyDescent="0.25">
      <c r="B96">
        <v>75</v>
      </c>
      <c r="C96">
        <v>7</v>
      </c>
      <c r="D96" s="39">
        <v>48091</v>
      </c>
      <c r="E96" s="30">
        <v>132907.08588436898</v>
      </c>
      <c r="F96" s="30">
        <v>30977.234223881784</v>
      </c>
      <c r="G96" s="30">
        <v>23011.659709169326</v>
      </c>
      <c r="H96" s="30">
        <v>28617.063997300313</v>
      </c>
      <c r="I96" s="30">
        <v>14308.531998650156</v>
      </c>
      <c r="J96" s="30">
        <v>35992.595955367404</v>
      </c>
      <c r="K96" s="30"/>
      <c r="L96" s="30"/>
      <c r="M96" s="30"/>
      <c r="N96" s="30"/>
      <c r="O96" s="30"/>
    </row>
    <row r="97" spans="2:15" x14ac:dyDescent="0.25">
      <c r="B97">
        <v>76</v>
      </c>
      <c r="C97">
        <v>7</v>
      </c>
      <c r="D97" s="39">
        <v>48121</v>
      </c>
      <c r="E97" s="30">
        <v>132907.08588436898</v>
      </c>
      <c r="F97" s="30">
        <v>30977.234223881784</v>
      </c>
      <c r="G97" s="30">
        <v>23011.659709169326</v>
      </c>
      <c r="H97" s="30">
        <v>28617.063997300313</v>
      </c>
      <c r="I97" s="30">
        <v>14308.531998650156</v>
      </c>
      <c r="J97" s="30">
        <v>35992.595955367404</v>
      </c>
      <c r="K97" s="30"/>
      <c r="L97" s="30"/>
      <c r="M97" s="30"/>
      <c r="N97" s="30"/>
      <c r="O97" s="30"/>
    </row>
    <row r="98" spans="2:15" x14ac:dyDescent="0.25">
      <c r="B98">
        <v>77</v>
      </c>
      <c r="C98">
        <v>7</v>
      </c>
      <c r="D98" s="39">
        <v>48152</v>
      </c>
      <c r="E98" s="30">
        <v>132907.08588436898</v>
      </c>
      <c r="F98" s="30">
        <v>30977.234223881784</v>
      </c>
      <c r="G98" s="30">
        <v>23011.659709169326</v>
      </c>
      <c r="H98" s="30">
        <v>28617.063997300313</v>
      </c>
      <c r="I98" s="30">
        <v>14308.531998650156</v>
      </c>
      <c r="J98" s="30">
        <v>35992.595955367404</v>
      </c>
      <c r="K98" s="30"/>
      <c r="L98" s="30"/>
      <c r="M98" s="30"/>
      <c r="N98" s="30"/>
      <c r="O98" s="30"/>
    </row>
    <row r="99" spans="2:15" x14ac:dyDescent="0.25">
      <c r="B99">
        <v>78</v>
      </c>
      <c r="C99">
        <v>7</v>
      </c>
      <c r="D99" s="39">
        <v>48182</v>
      </c>
      <c r="E99" s="30">
        <v>132907.08588436898</v>
      </c>
      <c r="F99" s="30">
        <v>30977.234223881784</v>
      </c>
      <c r="G99" s="30">
        <v>23011.659709169326</v>
      </c>
      <c r="H99" s="30">
        <v>28617.063997300313</v>
      </c>
      <c r="I99" s="30">
        <v>14308.531998650156</v>
      </c>
      <c r="J99" s="30">
        <v>35992.595955367404</v>
      </c>
      <c r="K99" s="30"/>
      <c r="L99" s="30"/>
      <c r="M99" s="30"/>
      <c r="N99" s="30"/>
      <c r="O99" s="30"/>
    </row>
    <row r="100" spans="2:15" x14ac:dyDescent="0.25">
      <c r="B100">
        <v>79</v>
      </c>
      <c r="C100">
        <v>7</v>
      </c>
      <c r="D100" s="39">
        <v>48213</v>
      </c>
      <c r="E100" s="30">
        <v>132907.08588436898</v>
      </c>
      <c r="F100" s="30">
        <v>30977.234223881784</v>
      </c>
      <c r="G100" s="30">
        <v>23011.659709169326</v>
      </c>
      <c r="H100" s="30">
        <v>28617.063997300313</v>
      </c>
      <c r="I100" s="30">
        <v>14308.531998650156</v>
      </c>
      <c r="J100" s="30">
        <v>35992.595955367404</v>
      </c>
      <c r="K100" s="30"/>
      <c r="L100" s="30"/>
      <c r="M100" s="30"/>
      <c r="N100" s="30"/>
      <c r="O100" s="30"/>
    </row>
    <row r="101" spans="2:15" x14ac:dyDescent="0.25">
      <c r="B101">
        <v>80</v>
      </c>
      <c r="C101">
        <v>7</v>
      </c>
      <c r="D101" s="39">
        <v>48244</v>
      </c>
      <c r="E101" s="30">
        <v>132907.08588436898</v>
      </c>
      <c r="F101" s="30">
        <v>30977.234223881784</v>
      </c>
      <c r="G101" s="30">
        <v>23011.659709169326</v>
      </c>
      <c r="H101" s="30">
        <v>28617.063997300313</v>
      </c>
      <c r="I101" s="30">
        <v>14308.531998650156</v>
      </c>
      <c r="J101" s="30">
        <v>35992.595955367404</v>
      </c>
      <c r="K101" s="30"/>
      <c r="L101" s="30"/>
      <c r="M101" s="30"/>
      <c r="N101" s="30"/>
      <c r="O101" s="30"/>
    </row>
    <row r="102" spans="2:15" x14ac:dyDescent="0.25">
      <c r="B102">
        <v>81</v>
      </c>
      <c r="C102">
        <v>7</v>
      </c>
      <c r="D102" s="39">
        <v>48273</v>
      </c>
      <c r="E102" s="30">
        <v>132907.08588436898</v>
      </c>
      <c r="F102" s="30">
        <v>30977.234223881784</v>
      </c>
      <c r="G102" s="30">
        <v>23011.659709169326</v>
      </c>
      <c r="H102" s="30">
        <v>28617.063997300313</v>
      </c>
      <c r="I102" s="30">
        <v>14308.531998650156</v>
      </c>
      <c r="J102" s="30">
        <v>35992.595955367404</v>
      </c>
      <c r="K102" s="30"/>
      <c r="L102" s="30"/>
      <c r="M102" s="30"/>
      <c r="N102" s="30"/>
      <c r="O102" s="30"/>
    </row>
    <row r="103" spans="2:15" x14ac:dyDescent="0.25">
      <c r="B103">
        <v>82</v>
      </c>
      <c r="C103">
        <v>7</v>
      </c>
      <c r="D103" s="39">
        <v>48304</v>
      </c>
      <c r="E103" s="30">
        <v>132907.08588436898</v>
      </c>
      <c r="F103" s="30">
        <v>30977.234223881784</v>
      </c>
      <c r="G103" s="30">
        <v>23011.659709169326</v>
      </c>
      <c r="H103" s="30">
        <v>28617.063997300313</v>
      </c>
      <c r="I103" s="30">
        <v>14308.531998650156</v>
      </c>
      <c r="J103" s="30">
        <v>35992.595955367404</v>
      </c>
      <c r="K103" s="30"/>
      <c r="L103" s="30"/>
      <c r="M103" s="30"/>
      <c r="N103" s="30"/>
      <c r="O103" s="30"/>
    </row>
    <row r="104" spans="2:15" x14ac:dyDescent="0.25">
      <c r="B104">
        <v>83</v>
      </c>
      <c r="C104">
        <v>7</v>
      </c>
      <c r="D104" s="39">
        <v>48334</v>
      </c>
      <c r="E104" s="30">
        <v>132907.08588436898</v>
      </c>
      <c r="F104" s="30">
        <v>30977.234223881784</v>
      </c>
      <c r="G104" s="30">
        <v>23011.659709169326</v>
      </c>
      <c r="H104" s="30">
        <v>28617.063997300313</v>
      </c>
      <c r="I104" s="30">
        <v>14308.531998650156</v>
      </c>
      <c r="J104" s="30">
        <v>35992.595955367404</v>
      </c>
      <c r="K104" s="30"/>
      <c r="L104" s="30"/>
      <c r="M104" s="30"/>
      <c r="N104" s="30"/>
      <c r="O104" s="30"/>
    </row>
    <row r="105" spans="2:15" x14ac:dyDescent="0.25">
      <c r="B105">
        <v>84</v>
      </c>
      <c r="C105">
        <v>7</v>
      </c>
      <c r="D105" s="39">
        <v>48365</v>
      </c>
      <c r="E105" s="30">
        <v>132907.08588436898</v>
      </c>
      <c r="F105" s="30">
        <v>30977.234223881784</v>
      </c>
      <c r="G105" s="30">
        <v>23011.659709169326</v>
      </c>
      <c r="H105" s="30">
        <v>28617.063997300313</v>
      </c>
      <c r="I105" s="30">
        <v>14308.531998650156</v>
      </c>
      <c r="J105" s="30">
        <v>35992.595955367404</v>
      </c>
      <c r="K105" s="30"/>
      <c r="L105" s="30"/>
      <c r="M105" s="30"/>
      <c r="N105" s="30"/>
      <c r="O105" s="30"/>
    </row>
    <row r="106" spans="2:15" x14ac:dyDescent="0.25">
      <c r="B106">
        <v>85</v>
      </c>
      <c r="C106">
        <v>8</v>
      </c>
      <c r="D106" s="39">
        <v>48395</v>
      </c>
      <c r="E106" s="30">
        <v>137558.83389032187</v>
      </c>
      <c r="F106" s="30">
        <v>32061.437421717641</v>
      </c>
      <c r="G106" s="30">
        <v>23817.067798990247</v>
      </c>
      <c r="H106" s="30">
        <v>29618.661237205823</v>
      </c>
      <c r="I106" s="30">
        <v>14809.330618602911</v>
      </c>
      <c r="J106" s="30">
        <v>37252.336813805261</v>
      </c>
      <c r="K106" s="30"/>
      <c r="L106" s="30"/>
      <c r="M106" s="30"/>
      <c r="N106" s="30"/>
      <c r="O106" s="30"/>
    </row>
    <row r="107" spans="2:15" x14ac:dyDescent="0.25">
      <c r="B107">
        <v>86</v>
      </c>
      <c r="C107">
        <v>8</v>
      </c>
      <c r="D107" s="39">
        <v>48426</v>
      </c>
      <c r="E107" s="30">
        <v>137558.83389032187</v>
      </c>
      <c r="F107" s="30">
        <v>32061.437421717641</v>
      </c>
      <c r="G107" s="30">
        <v>23817.067798990247</v>
      </c>
      <c r="H107" s="30">
        <v>29618.661237205823</v>
      </c>
      <c r="I107" s="30">
        <v>14809.330618602911</v>
      </c>
      <c r="J107" s="30">
        <v>37252.336813805261</v>
      </c>
      <c r="K107" s="30"/>
      <c r="L107" s="30"/>
      <c r="M107" s="30"/>
      <c r="N107" s="30"/>
      <c r="O107" s="30"/>
    </row>
    <row r="108" spans="2:15" x14ac:dyDescent="0.25">
      <c r="B108">
        <v>87</v>
      </c>
      <c r="C108">
        <v>8</v>
      </c>
      <c r="D108" s="39">
        <v>48457</v>
      </c>
      <c r="E108" s="30">
        <v>137558.83389032187</v>
      </c>
      <c r="F108" s="30">
        <v>32061.437421717641</v>
      </c>
      <c r="G108" s="30">
        <v>23817.067798990247</v>
      </c>
      <c r="H108" s="30">
        <v>29618.661237205823</v>
      </c>
      <c r="I108" s="30">
        <v>14809.330618602911</v>
      </c>
      <c r="J108" s="30">
        <v>37252.336813805261</v>
      </c>
      <c r="K108" s="30"/>
      <c r="L108" s="30"/>
      <c r="M108" s="30"/>
      <c r="N108" s="30"/>
      <c r="O108" s="30"/>
    </row>
    <row r="109" spans="2:15" x14ac:dyDescent="0.25">
      <c r="B109">
        <v>88</v>
      </c>
      <c r="C109">
        <v>8</v>
      </c>
      <c r="D109" s="39">
        <v>48487</v>
      </c>
      <c r="E109" s="30">
        <v>137558.83389032187</v>
      </c>
      <c r="F109" s="30">
        <v>32061.437421717641</v>
      </c>
      <c r="G109" s="30">
        <v>23817.067798990247</v>
      </c>
      <c r="H109" s="30">
        <v>29618.661237205823</v>
      </c>
      <c r="I109" s="30">
        <v>14809.330618602911</v>
      </c>
      <c r="J109" s="30">
        <v>37252.336813805261</v>
      </c>
      <c r="K109" s="30"/>
      <c r="L109" s="30"/>
      <c r="M109" s="30"/>
      <c r="N109" s="30"/>
      <c r="O109" s="30"/>
    </row>
    <row r="110" spans="2:15" x14ac:dyDescent="0.25">
      <c r="B110">
        <v>89</v>
      </c>
      <c r="C110">
        <v>8</v>
      </c>
      <c r="D110" s="39">
        <v>48518</v>
      </c>
      <c r="E110" s="30">
        <v>137558.83389032187</v>
      </c>
      <c r="F110" s="30">
        <v>32061.437421717641</v>
      </c>
      <c r="G110" s="30">
        <v>23817.067798990247</v>
      </c>
      <c r="H110" s="30">
        <v>29618.661237205823</v>
      </c>
      <c r="I110" s="30">
        <v>14809.330618602911</v>
      </c>
      <c r="J110" s="30">
        <v>37252.336813805261</v>
      </c>
      <c r="K110" s="30"/>
      <c r="L110" s="30"/>
      <c r="M110" s="30"/>
      <c r="N110" s="30"/>
      <c r="O110" s="30"/>
    </row>
    <row r="111" spans="2:15" x14ac:dyDescent="0.25">
      <c r="B111">
        <v>90</v>
      </c>
      <c r="C111">
        <v>8</v>
      </c>
      <c r="D111" s="39">
        <v>48548</v>
      </c>
      <c r="E111" s="30">
        <v>137558.83389032187</v>
      </c>
      <c r="F111" s="30">
        <v>32061.437421717641</v>
      </c>
      <c r="G111" s="30">
        <v>23817.067798990247</v>
      </c>
      <c r="H111" s="30">
        <v>29618.661237205823</v>
      </c>
      <c r="I111" s="30">
        <v>14809.330618602911</v>
      </c>
      <c r="J111" s="30">
        <v>37252.336813805261</v>
      </c>
      <c r="K111" s="30"/>
      <c r="L111" s="30"/>
      <c r="M111" s="30"/>
      <c r="N111" s="30"/>
      <c r="O111" s="30"/>
    </row>
    <row r="112" spans="2:15" x14ac:dyDescent="0.25">
      <c r="B112">
        <v>91</v>
      </c>
      <c r="C112">
        <v>8</v>
      </c>
      <c r="D112" s="39">
        <v>48579</v>
      </c>
      <c r="E112" s="30">
        <v>137558.83389032187</v>
      </c>
      <c r="F112" s="30">
        <v>32061.437421717641</v>
      </c>
      <c r="G112" s="30">
        <v>23817.067798990247</v>
      </c>
      <c r="H112" s="30">
        <v>29618.661237205823</v>
      </c>
      <c r="I112" s="30">
        <v>14809.330618602911</v>
      </c>
      <c r="J112" s="30">
        <v>37252.336813805261</v>
      </c>
      <c r="K112" s="30"/>
      <c r="L112" s="30"/>
      <c r="M112" s="30"/>
      <c r="N112" s="30"/>
      <c r="O112" s="30"/>
    </row>
    <row r="113" spans="2:15" x14ac:dyDescent="0.25">
      <c r="B113">
        <v>92</v>
      </c>
      <c r="C113">
        <v>8</v>
      </c>
      <c r="D113" s="39">
        <v>48610</v>
      </c>
      <c r="E113" s="30">
        <v>137558.83389032187</v>
      </c>
      <c r="F113" s="30">
        <v>32061.437421717641</v>
      </c>
      <c r="G113" s="30">
        <v>23817.067798990247</v>
      </c>
      <c r="H113" s="30">
        <v>29618.661237205823</v>
      </c>
      <c r="I113" s="30">
        <v>14809.330618602911</v>
      </c>
      <c r="J113" s="30">
        <v>37252.336813805261</v>
      </c>
      <c r="K113" s="30"/>
      <c r="L113" s="30"/>
      <c r="M113" s="30"/>
      <c r="N113" s="30"/>
      <c r="O113" s="30"/>
    </row>
    <row r="114" spans="2:15" x14ac:dyDescent="0.25">
      <c r="B114">
        <v>93</v>
      </c>
      <c r="C114">
        <v>8</v>
      </c>
      <c r="D114" s="39">
        <v>48638</v>
      </c>
      <c r="E114" s="30">
        <v>137558.83389032187</v>
      </c>
      <c r="F114" s="30">
        <v>32061.437421717641</v>
      </c>
      <c r="G114" s="30">
        <v>23817.067798990247</v>
      </c>
      <c r="H114" s="30">
        <v>29618.661237205823</v>
      </c>
      <c r="I114" s="30">
        <v>14809.330618602911</v>
      </c>
      <c r="J114" s="30">
        <v>37252.336813805261</v>
      </c>
      <c r="K114" s="30"/>
      <c r="L114" s="30"/>
      <c r="M114" s="30"/>
      <c r="N114" s="30"/>
      <c r="O114" s="30"/>
    </row>
    <row r="115" spans="2:15" x14ac:dyDescent="0.25">
      <c r="B115">
        <v>94</v>
      </c>
      <c r="C115">
        <v>8</v>
      </c>
      <c r="D115" s="39">
        <v>48669</v>
      </c>
      <c r="E115" s="30">
        <v>137558.83389032187</v>
      </c>
      <c r="F115" s="30">
        <v>32061.437421717641</v>
      </c>
      <c r="G115" s="30">
        <v>23817.067798990247</v>
      </c>
      <c r="H115" s="30">
        <v>29618.661237205823</v>
      </c>
      <c r="I115" s="30">
        <v>14809.330618602911</v>
      </c>
      <c r="J115" s="30">
        <v>37252.336813805261</v>
      </c>
      <c r="K115" s="30"/>
      <c r="L115" s="30"/>
      <c r="M115" s="30"/>
      <c r="N115" s="30"/>
      <c r="O115" s="30"/>
    </row>
    <row r="116" spans="2:15" x14ac:dyDescent="0.25">
      <c r="B116">
        <v>95</v>
      </c>
      <c r="C116">
        <v>8</v>
      </c>
      <c r="D116" s="39">
        <v>48699</v>
      </c>
      <c r="E116" s="30">
        <v>137558.83389032187</v>
      </c>
      <c r="F116" s="30">
        <v>32061.437421717641</v>
      </c>
      <c r="G116" s="30">
        <v>23817.067798990247</v>
      </c>
      <c r="H116" s="30">
        <v>29618.661237205823</v>
      </c>
      <c r="I116" s="30">
        <v>14809.330618602911</v>
      </c>
      <c r="J116" s="30">
        <v>37252.336813805261</v>
      </c>
      <c r="K116" s="30"/>
      <c r="L116" s="30"/>
      <c r="M116" s="30"/>
      <c r="N116" s="30"/>
      <c r="O116" s="30"/>
    </row>
    <row r="117" spans="2:15" x14ac:dyDescent="0.25">
      <c r="B117">
        <v>96</v>
      </c>
      <c r="C117">
        <v>8</v>
      </c>
      <c r="D117" s="39">
        <v>48730</v>
      </c>
      <c r="E117" s="30">
        <v>137558.83389032187</v>
      </c>
      <c r="F117" s="30">
        <v>32061.437421717641</v>
      </c>
      <c r="G117" s="30">
        <v>23817.067798990247</v>
      </c>
      <c r="H117" s="30">
        <v>29618.661237205823</v>
      </c>
      <c r="I117" s="30">
        <v>14809.330618602911</v>
      </c>
      <c r="J117" s="30">
        <v>37252.336813805261</v>
      </c>
      <c r="K117" s="30"/>
      <c r="L117" s="30"/>
      <c r="M117" s="30"/>
      <c r="N117" s="30"/>
      <c r="O117" s="30"/>
    </row>
    <row r="118" spans="2:15" x14ac:dyDescent="0.25">
      <c r="B118">
        <v>97</v>
      </c>
      <c r="C118">
        <v>9</v>
      </c>
      <c r="D118" s="39">
        <v>48760</v>
      </c>
      <c r="E118" s="30">
        <v>142373.39307648313</v>
      </c>
      <c r="F118" s="30">
        <v>33183.587731477754</v>
      </c>
      <c r="G118" s="30">
        <v>24650.665171954901</v>
      </c>
      <c r="H118" s="30">
        <v>30655.314380508018</v>
      </c>
      <c r="I118" s="30">
        <v>15327.657190254009</v>
      </c>
      <c r="J118" s="30">
        <v>38556.168602288439</v>
      </c>
      <c r="K118" s="30"/>
      <c r="L118" s="30"/>
      <c r="M118" s="30"/>
      <c r="N118" s="30"/>
      <c r="O118" s="30"/>
    </row>
    <row r="119" spans="2:15" x14ac:dyDescent="0.25">
      <c r="B119">
        <v>98</v>
      </c>
      <c r="C119">
        <v>9</v>
      </c>
      <c r="D119" s="39">
        <v>48791</v>
      </c>
      <c r="E119" s="30">
        <v>142373.39307648313</v>
      </c>
      <c r="F119" s="30">
        <v>33183.587731477754</v>
      </c>
      <c r="G119" s="30">
        <v>24650.665171954901</v>
      </c>
      <c r="H119" s="30">
        <v>30655.314380508018</v>
      </c>
      <c r="I119" s="30">
        <v>15327.657190254009</v>
      </c>
      <c r="J119" s="30">
        <v>38556.168602288439</v>
      </c>
      <c r="K119" s="30"/>
      <c r="L119" s="30"/>
      <c r="M119" s="30"/>
      <c r="N119" s="30"/>
      <c r="O119" s="30"/>
    </row>
    <row r="120" spans="2:15" x14ac:dyDescent="0.25">
      <c r="B120">
        <v>99</v>
      </c>
      <c r="C120">
        <v>9</v>
      </c>
      <c r="D120" s="39">
        <v>48822</v>
      </c>
      <c r="E120" s="30">
        <v>142373.39307648313</v>
      </c>
      <c r="F120" s="30">
        <v>33183.587731477754</v>
      </c>
      <c r="G120" s="30">
        <v>24650.665171954901</v>
      </c>
      <c r="H120" s="30">
        <v>30655.314380508018</v>
      </c>
      <c r="I120" s="30">
        <v>15327.657190254009</v>
      </c>
      <c r="J120" s="30">
        <v>38556.168602288439</v>
      </c>
      <c r="K120" s="30"/>
      <c r="L120" s="30"/>
      <c r="M120" s="30"/>
      <c r="N120" s="30"/>
      <c r="O120" s="30"/>
    </row>
    <row r="121" spans="2:15" x14ac:dyDescent="0.25">
      <c r="B121">
        <v>100</v>
      </c>
      <c r="C121">
        <v>9</v>
      </c>
      <c r="D121" s="39">
        <v>48852</v>
      </c>
      <c r="E121" s="30">
        <v>142373.39307648313</v>
      </c>
      <c r="F121" s="30">
        <v>33183.587731477754</v>
      </c>
      <c r="G121" s="30">
        <v>24650.665171954901</v>
      </c>
      <c r="H121" s="30">
        <v>30655.314380508018</v>
      </c>
      <c r="I121" s="30">
        <v>15327.657190254009</v>
      </c>
      <c r="J121" s="30">
        <v>38556.168602288439</v>
      </c>
      <c r="K121" s="30"/>
      <c r="L121" s="30"/>
      <c r="M121" s="30"/>
      <c r="N121" s="30"/>
      <c r="O121" s="30"/>
    </row>
    <row r="122" spans="2:15" x14ac:dyDescent="0.25">
      <c r="B122">
        <v>101</v>
      </c>
      <c r="C122">
        <v>9</v>
      </c>
      <c r="D122" s="39">
        <v>48883</v>
      </c>
      <c r="E122" s="30">
        <v>142373.39307648313</v>
      </c>
      <c r="F122" s="30">
        <v>33183.587731477754</v>
      </c>
      <c r="G122" s="30">
        <v>24650.665171954901</v>
      </c>
      <c r="H122" s="30">
        <v>30655.314380508018</v>
      </c>
      <c r="I122" s="30">
        <v>15327.657190254009</v>
      </c>
      <c r="J122" s="30">
        <v>38556.168602288439</v>
      </c>
      <c r="K122" s="30"/>
      <c r="L122" s="30"/>
      <c r="M122" s="30"/>
      <c r="N122" s="30"/>
      <c r="O122" s="30"/>
    </row>
    <row r="123" spans="2:15" x14ac:dyDescent="0.25">
      <c r="B123">
        <v>102</v>
      </c>
      <c r="C123">
        <v>9</v>
      </c>
      <c r="D123" s="39">
        <v>48913</v>
      </c>
      <c r="E123" s="30">
        <v>142373.39307648313</v>
      </c>
      <c r="F123" s="30">
        <v>33183.587731477754</v>
      </c>
      <c r="G123" s="30">
        <v>24650.665171954901</v>
      </c>
      <c r="H123" s="30">
        <v>30655.314380508018</v>
      </c>
      <c r="I123" s="30">
        <v>15327.657190254009</v>
      </c>
      <c r="J123" s="30">
        <v>38556.168602288439</v>
      </c>
      <c r="K123" s="30"/>
      <c r="L123" s="30"/>
      <c r="M123" s="30"/>
      <c r="N123" s="30"/>
      <c r="O123" s="30"/>
    </row>
    <row r="124" spans="2:15" x14ac:dyDescent="0.25">
      <c r="B124">
        <v>103</v>
      </c>
      <c r="C124">
        <v>9</v>
      </c>
      <c r="D124" s="39">
        <v>48944</v>
      </c>
      <c r="E124" s="30">
        <v>142373.39307648313</v>
      </c>
      <c r="F124" s="30">
        <v>33183.587731477754</v>
      </c>
      <c r="G124" s="30">
        <v>24650.665171954901</v>
      </c>
      <c r="H124" s="30">
        <v>30655.314380508018</v>
      </c>
      <c r="I124" s="30">
        <v>15327.657190254009</v>
      </c>
      <c r="J124" s="30">
        <v>38556.168602288439</v>
      </c>
      <c r="K124" s="30"/>
      <c r="L124" s="30"/>
      <c r="M124" s="30"/>
      <c r="N124" s="30"/>
      <c r="O124" s="30"/>
    </row>
    <row r="125" spans="2:15" x14ac:dyDescent="0.25">
      <c r="B125">
        <v>104</v>
      </c>
      <c r="C125">
        <v>9</v>
      </c>
      <c r="D125" s="39">
        <v>48975</v>
      </c>
      <c r="E125" s="30">
        <v>142373.39307648313</v>
      </c>
      <c r="F125" s="30">
        <v>33183.587731477754</v>
      </c>
      <c r="G125" s="30">
        <v>24650.665171954901</v>
      </c>
      <c r="H125" s="30">
        <v>30655.314380508018</v>
      </c>
      <c r="I125" s="30">
        <v>15327.657190254009</v>
      </c>
      <c r="J125" s="30">
        <v>38556.168602288439</v>
      </c>
      <c r="K125" s="30"/>
      <c r="L125" s="30"/>
      <c r="M125" s="30"/>
      <c r="N125" s="30"/>
      <c r="O125" s="30"/>
    </row>
    <row r="126" spans="2:15" x14ac:dyDescent="0.25">
      <c r="B126">
        <v>105</v>
      </c>
      <c r="C126">
        <v>9</v>
      </c>
      <c r="D126" s="39">
        <v>49003</v>
      </c>
      <c r="E126" s="30">
        <v>142373.39307648313</v>
      </c>
      <c r="F126" s="30">
        <v>33183.587731477754</v>
      </c>
      <c r="G126" s="30">
        <v>24650.665171954901</v>
      </c>
      <c r="H126" s="30">
        <v>30655.314380508018</v>
      </c>
      <c r="I126" s="30">
        <v>15327.657190254009</v>
      </c>
      <c r="J126" s="30">
        <v>38556.168602288439</v>
      </c>
      <c r="K126" s="30"/>
      <c r="L126" s="30"/>
      <c r="M126" s="30"/>
      <c r="N126" s="30"/>
      <c r="O126" s="30"/>
    </row>
    <row r="127" spans="2:15" x14ac:dyDescent="0.25">
      <c r="B127">
        <v>106</v>
      </c>
      <c r="C127">
        <v>9</v>
      </c>
      <c r="D127" s="39">
        <v>49034</v>
      </c>
      <c r="E127" s="30">
        <v>142373.39307648313</v>
      </c>
      <c r="F127" s="30">
        <v>33183.587731477754</v>
      </c>
      <c r="G127" s="30">
        <v>24650.665171954901</v>
      </c>
      <c r="H127" s="30">
        <v>30655.314380508018</v>
      </c>
      <c r="I127" s="30">
        <v>15327.657190254009</v>
      </c>
      <c r="J127" s="30">
        <v>38556.168602288439</v>
      </c>
      <c r="K127" s="30"/>
      <c r="L127" s="30"/>
      <c r="M127" s="30"/>
      <c r="N127" s="30"/>
      <c r="O127" s="30"/>
    </row>
    <row r="128" spans="2:15" x14ac:dyDescent="0.25">
      <c r="B128">
        <v>107</v>
      </c>
      <c r="C128">
        <v>9</v>
      </c>
      <c r="D128" s="39">
        <v>49064</v>
      </c>
      <c r="E128" s="30">
        <v>142373.39307648313</v>
      </c>
      <c r="F128" s="30">
        <v>33183.587731477754</v>
      </c>
      <c r="G128" s="30">
        <v>24650.665171954901</v>
      </c>
      <c r="H128" s="30">
        <v>30655.314380508018</v>
      </c>
      <c r="I128" s="30">
        <v>15327.657190254009</v>
      </c>
      <c r="J128" s="30">
        <v>38556.168602288439</v>
      </c>
      <c r="K128" s="30"/>
      <c r="L128" s="30"/>
      <c r="M128" s="30"/>
      <c r="N128" s="30"/>
      <c r="O128" s="30"/>
    </row>
    <row r="129" spans="2:15" x14ac:dyDescent="0.25">
      <c r="B129">
        <v>108</v>
      </c>
      <c r="C129">
        <v>9</v>
      </c>
      <c r="D129" s="39">
        <v>49095</v>
      </c>
      <c r="E129" s="30">
        <v>142373.39307648313</v>
      </c>
      <c r="F129" s="30">
        <v>33183.587731477754</v>
      </c>
      <c r="G129" s="30">
        <v>24650.665171954901</v>
      </c>
      <c r="H129" s="30">
        <v>30655.314380508018</v>
      </c>
      <c r="I129" s="30">
        <v>15327.657190254009</v>
      </c>
      <c r="J129" s="30">
        <v>38556.168602288439</v>
      </c>
      <c r="K129" s="30"/>
      <c r="L129" s="30"/>
      <c r="M129" s="30"/>
      <c r="N129" s="30"/>
      <c r="O129" s="30"/>
    </row>
    <row r="130" spans="2:15" x14ac:dyDescent="0.25">
      <c r="B130">
        <v>109</v>
      </c>
      <c r="C130">
        <v>10</v>
      </c>
      <c r="D130" s="39">
        <v>49125</v>
      </c>
      <c r="E130" s="30">
        <v>147356.46183416</v>
      </c>
      <c r="F130" s="30">
        <v>34345.013302079467</v>
      </c>
      <c r="G130" s="30">
        <v>25513.438452973322</v>
      </c>
      <c r="H130" s="30">
        <v>31728.250383825794</v>
      </c>
      <c r="I130" s="30">
        <v>15864.125191912897</v>
      </c>
      <c r="J130" s="30">
        <v>39905.634503368528</v>
      </c>
      <c r="K130" s="30"/>
      <c r="L130" s="30"/>
      <c r="M130" s="30"/>
      <c r="N130" s="30"/>
      <c r="O130" s="30"/>
    </row>
    <row r="131" spans="2:15" x14ac:dyDescent="0.25">
      <c r="B131">
        <v>110</v>
      </c>
      <c r="C131">
        <v>10</v>
      </c>
      <c r="D131" s="39">
        <v>49156</v>
      </c>
      <c r="E131" s="30">
        <v>147356.46183416</v>
      </c>
      <c r="F131" s="30">
        <v>34345.013302079467</v>
      </c>
      <c r="G131" s="30">
        <v>25513.438452973322</v>
      </c>
      <c r="H131" s="30">
        <v>31728.250383825794</v>
      </c>
      <c r="I131" s="30">
        <v>15864.125191912897</v>
      </c>
      <c r="J131" s="30">
        <v>39905.634503368528</v>
      </c>
      <c r="K131" s="30"/>
      <c r="L131" s="30"/>
      <c r="M131" s="30"/>
      <c r="N131" s="30"/>
      <c r="O131" s="30"/>
    </row>
    <row r="132" spans="2:15" x14ac:dyDescent="0.25">
      <c r="B132">
        <v>111</v>
      </c>
      <c r="C132">
        <v>10</v>
      </c>
      <c r="D132" s="39">
        <v>49187</v>
      </c>
      <c r="E132" s="30">
        <v>147356.46183416</v>
      </c>
      <c r="F132" s="30">
        <v>34345.013302079467</v>
      </c>
      <c r="G132" s="30">
        <v>25513.438452973322</v>
      </c>
      <c r="H132" s="30">
        <v>31728.250383825794</v>
      </c>
      <c r="I132" s="30">
        <v>15864.125191912897</v>
      </c>
      <c r="J132" s="30">
        <v>39905.634503368528</v>
      </c>
      <c r="K132" s="30"/>
      <c r="L132" s="30"/>
      <c r="M132" s="30"/>
      <c r="N132" s="30"/>
      <c r="O132" s="30"/>
    </row>
    <row r="133" spans="2:15" x14ac:dyDescent="0.25">
      <c r="B133">
        <v>112</v>
      </c>
      <c r="C133">
        <v>10</v>
      </c>
      <c r="D133" s="39">
        <v>49217</v>
      </c>
      <c r="E133" s="30">
        <v>147356.46183416</v>
      </c>
      <c r="F133" s="30">
        <v>34345.013302079467</v>
      </c>
      <c r="G133" s="30">
        <v>25513.438452973322</v>
      </c>
      <c r="H133" s="30">
        <v>31728.250383825794</v>
      </c>
      <c r="I133" s="30">
        <v>15864.125191912897</v>
      </c>
      <c r="J133" s="30">
        <v>39905.634503368528</v>
      </c>
      <c r="K133" s="30"/>
      <c r="L133" s="30"/>
      <c r="M133" s="30"/>
      <c r="N133" s="30"/>
      <c r="O133" s="30"/>
    </row>
    <row r="134" spans="2:15" x14ac:dyDescent="0.25">
      <c r="B134">
        <v>113</v>
      </c>
      <c r="C134">
        <v>10</v>
      </c>
      <c r="D134" s="39">
        <v>49248</v>
      </c>
      <c r="E134" s="30">
        <v>147356.46183416</v>
      </c>
      <c r="F134" s="30">
        <v>34345.013302079467</v>
      </c>
      <c r="G134" s="30">
        <v>25513.438452973322</v>
      </c>
      <c r="H134" s="30">
        <v>31728.250383825794</v>
      </c>
      <c r="I134" s="30">
        <v>15864.125191912897</v>
      </c>
      <c r="J134" s="30">
        <v>39905.634503368528</v>
      </c>
      <c r="K134" s="30"/>
      <c r="L134" s="30"/>
      <c r="M134" s="30"/>
      <c r="N134" s="30"/>
      <c r="O134" s="30"/>
    </row>
    <row r="135" spans="2:15" x14ac:dyDescent="0.25">
      <c r="B135">
        <v>114</v>
      </c>
      <c r="C135">
        <v>10</v>
      </c>
      <c r="D135" s="39">
        <v>49278</v>
      </c>
      <c r="E135" s="30">
        <v>147356.46183416</v>
      </c>
      <c r="F135" s="30">
        <v>34345.013302079467</v>
      </c>
      <c r="G135" s="30">
        <v>25513.438452973322</v>
      </c>
      <c r="H135" s="30">
        <v>31728.250383825794</v>
      </c>
      <c r="I135" s="30">
        <v>15864.125191912897</v>
      </c>
      <c r="J135" s="30">
        <v>39905.634503368528</v>
      </c>
      <c r="K135" s="30"/>
      <c r="L135" s="30"/>
      <c r="M135" s="30"/>
      <c r="N135" s="30"/>
      <c r="O135" s="30"/>
    </row>
    <row r="136" spans="2:15" x14ac:dyDescent="0.25">
      <c r="B136">
        <v>115</v>
      </c>
      <c r="C136">
        <v>10</v>
      </c>
      <c r="D136" s="39">
        <v>49309</v>
      </c>
      <c r="E136" s="30">
        <v>147356.46183416</v>
      </c>
      <c r="F136" s="30">
        <v>34345.013302079467</v>
      </c>
      <c r="G136" s="30">
        <v>25513.438452973322</v>
      </c>
      <c r="H136" s="30">
        <v>31728.250383825794</v>
      </c>
      <c r="I136" s="30">
        <v>15864.125191912897</v>
      </c>
      <c r="J136" s="30">
        <v>39905.634503368528</v>
      </c>
      <c r="K136" s="30"/>
      <c r="L136" s="30"/>
      <c r="M136" s="30"/>
      <c r="N136" s="30"/>
      <c r="O136" s="30"/>
    </row>
    <row r="137" spans="2:15" x14ac:dyDescent="0.25">
      <c r="B137">
        <v>116</v>
      </c>
      <c r="C137">
        <v>10</v>
      </c>
      <c r="D137" s="39">
        <v>49340</v>
      </c>
      <c r="E137" s="30">
        <v>147356.46183416</v>
      </c>
      <c r="F137" s="30">
        <v>34345.013302079467</v>
      </c>
      <c r="G137" s="30">
        <v>25513.438452973322</v>
      </c>
      <c r="H137" s="30">
        <v>31728.250383825794</v>
      </c>
      <c r="I137" s="30">
        <v>15864.125191912897</v>
      </c>
      <c r="J137" s="30">
        <v>39905.634503368528</v>
      </c>
      <c r="K137" s="30"/>
      <c r="L137" s="30"/>
      <c r="M137" s="30"/>
      <c r="N137" s="30"/>
      <c r="O137" s="30"/>
    </row>
    <row r="138" spans="2:15" x14ac:dyDescent="0.25">
      <c r="B138">
        <v>117</v>
      </c>
      <c r="C138">
        <v>10</v>
      </c>
      <c r="D138" s="39">
        <v>49368</v>
      </c>
      <c r="E138" s="30">
        <v>147356.46183416</v>
      </c>
      <c r="F138" s="30">
        <v>34345.013302079467</v>
      </c>
      <c r="G138" s="30">
        <v>25513.438452973322</v>
      </c>
      <c r="H138" s="30">
        <v>31728.250383825794</v>
      </c>
      <c r="I138" s="30">
        <v>15864.125191912897</v>
      </c>
      <c r="J138" s="30">
        <v>39905.634503368528</v>
      </c>
      <c r="K138" s="30"/>
      <c r="L138" s="30"/>
      <c r="M138" s="30"/>
      <c r="N138" s="30"/>
      <c r="O138" s="30"/>
    </row>
    <row r="139" spans="2:15" x14ac:dyDescent="0.25">
      <c r="B139">
        <v>118</v>
      </c>
      <c r="C139">
        <v>10</v>
      </c>
      <c r="D139" s="39">
        <v>49399</v>
      </c>
      <c r="E139" s="30">
        <v>147356.46183416</v>
      </c>
      <c r="F139" s="30">
        <v>34345.013302079467</v>
      </c>
      <c r="G139" s="30">
        <v>25513.438452973322</v>
      </c>
      <c r="H139" s="30">
        <v>31728.250383825794</v>
      </c>
      <c r="I139" s="30">
        <v>15864.125191912897</v>
      </c>
      <c r="J139" s="30">
        <v>39905.634503368528</v>
      </c>
      <c r="K139" s="30"/>
      <c r="L139" s="30"/>
      <c r="M139" s="30"/>
      <c r="N139" s="30"/>
      <c r="O139" s="30"/>
    </row>
    <row r="140" spans="2:15" x14ac:dyDescent="0.25">
      <c r="B140">
        <v>119</v>
      </c>
      <c r="C140">
        <v>10</v>
      </c>
      <c r="D140" s="39">
        <v>49429</v>
      </c>
      <c r="E140" s="30">
        <v>147356.46183416</v>
      </c>
      <c r="F140" s="30">
        <v>34345.013302079467</v>
      </c>
      <c r="G140" s="30">
        <v>25513.438452973322</v>
      </c>
      <c r="H140" s="30">
        <v>31728.250383825794</v>
      </c>
      <c r="I140" s="30">
        <v>15864.125191912897</v>
      </c>
      <c r="J140" s="30">
        <v>39905.634503368528</v>
      </c>
      <c r="K140" s="30"/>
      <c r="L140" s="30"/>
      <c r="M140" s="30"/>
      <c r="N140" s="30"/>
      <c r="O140" s="30"/>
    </row>
    <row r="141" spans="2:15" x14ac:dyDescent="0.25">
      <c r="B141">
        <v>120</v>
      </c>
      <c r="C141">
        <v>10</v>
      </c>
      <c r="D141" s="39">
        <v>49460</v>
      </c>
      <c r="E141" s="30">
        <v>147356.46183416</v>
      </c>
      <c r="F141" s="30">
        <v>34345.013302079467</v>
      </c>
      <c r="G141" s="30">
        <v>25513.438452973322</v>
      </c>
      <c r="H141" s="30">
        <v>31728.250383825794</v>
      </c>
      <c r="I141" s="30">
        <v>15864.125191912897</v>
      </c>
      <c r="J141" s="30">
        <v>39905.634503368528</v>
      </c>
      <c r="K141" s="30"/>
      <c r="L141" s="30"/>
      <c r="M141" s="30"/>
      <c r="N141" s="30"/>
      <c r="O141" s="30"/>
    </row>
    <row r="142" spans="2:15" x14ac:dyDescent="0.25">
      <c r="B142">
        <v>121</v>
      </c>
      <c r="C142">
        <v>11</v>
      </c>
      <c r="D142" s="39">
        <v>49490</v>
      </c>
      <c r="E142" s="30">
        <v>152513.9379983556</v>
      </c>
      <c r="F142" s="30">
        <v>35547.088767652247</v>
      </c>
      <c r="G142" s="30">
        <v>26406.408798827386</v>
      </c>
      <c r="H142" s="30">
        <v>32838.739147259694</v>
      </c>
      <c r="I142" s="30">
        <v>16419.369573629847</v>
      </c>
      <c r="J142" s="30">
        <v>41302.331710986422</v>
      </c>
      <c r="K142" s="30"/>
      <c r="L142" s="30"/>
      <c r="M142" s="30"/>
      <c r="N142" s="30"/>
      <c r="O142" s="30"/>
    </row>
    <row r="143" spans="2:15" x14ac:dyDescent="0.25">
      <c r="B143">
        <v>122</v>
      </c>
      <c r="C143">
        <v>11</v>
      </c>
      <c r="D143" s="39">
        <v>49521</v>
      </c>
      <c r="E143" s="30">
        <v>152513.9379983556</v>
      </c>
      <c r="F143" s="30">
        <v>35547.088767652247</v>
      </c>
      <c r="G143" s="30">
        <v>26406.408798827386</v>
      </c>
      <c r="H143" s="30">
        <v>32838.739147259694</v>
      </c>
      <c r="I143" s="30">
        <v>16419.369573629847</v>
      </c>
      <c r="J143" s="30">
        <v>41302.331710986422</v>
      </c>
      <c r="K143" s="30"/>
      <c r="L143" s="30"/>
      <c r="M143" s="30"/>
      <c r="N143" s="30"/>
      <c r="O143" s="30"/>
    </row>
    <row r="144" spans="2:15" x14ac:dyDescent="0.25">
      <c r="B144">
        <v>123</v>
      </c>
      <c r="C144">
        <v>11</v>
      </c>
      <c r="D144" s="39">
        <v>49552</v>
      </c>
      <c r="E144" s="30">
        <v>152513.9379983556</v>
      </c>
      <c r="F144" s="30">
        <v>35547.088767652247</v>
      </c>
      <c r="G144" s="30">
        <v>26406.408798827386</v>
      </c>
      <c r="H144" s="30">
        <v>32838.739147259694</v>
      </c>
      <c r="I144" s="30">
        <v>16419.369573629847</v>
      </c>
      <c r="J144" s="30">
        <v>41302.331710986422</v>
      </c>
      <c r="K144" s="30"/>
      <c r="L144" s="30"/>
      <c r="M144" s="30"/>
      <c r="N144" s="30"/>
      <c r="O144" s="30"/>
    </row>
    <row r="145" spans="2:15" x14ac:dyDescent="0.25">
      <c r="B145">
        <v>124</v>
      </c>
      <c r="C145">
        <v>11</v>
      </c>
      <c r="D145" s="39">
        <v>49582</v>
      </c>
      <c r="E145" s="30">
        <v>152513.9379983556</v>
      </c>
      <c r="F145" s="30">
        <v>35547.088767652247</v>
      </c>
      <c r="G145" s="30">
        <v>26406.408798827386</v>
      </c>
      <c r="H145" s="30">
        <v>32838.739147259694</v>
      </c>
      <c r="I145" s="30">
        <v>16419.369573629847</v>
      </c>
      <c r="J145" s="30">
        <v>41302.331710986422</v>
      </c>
      <c r="K145" s="30"/>
      <c r="L145" s="30"/>
      <c r="M145" s="30"/>
      <c r="N145" s="30"/>
      <c r="O145" s="30"/>
    </row>
    <row r="146" spans="2:15" x14ac:dyDescent="0.25">
      <c r="B146">
        <v>125</v>
      </c>
      <c r="C146">
        <v>11</v>
      </c>
      <c r="D146" s="39">
        <v>49613</v>
      </c>
      <c r="E146" s="30">
        <v>152513.9379983556</v>
      </c>
      <c r="F146" s="30">
        <v>35547.088767652247</v>
      </c>
      <c r="G146" s="30">
        <v>26406.408798827386</v>
      </c>
      <c r="H146" s="30">
        <v>32838.739147259694</v>
      </c>
      <c r="I146" s="30">
        <v>16419.369573629847</v>
      </c>
      <c r="J146" s="30">
        <v>41302.331710986422</v>
      </c>
      <c r="K146" s="30"/>
      <c r="L146" s="30"/>
      <c r="M146" s="30"/>
      <c r="N146" s="30"/>
      <c r="O146" s="30"/>
    </row>
    <row r="147" spans="2:15" x14ac:dyDescent="0.25">
      <c r="B147">
        <v>126</v>
      </c>
      <c r="C147">
        <v>11</v>
      </c>
      <c r="D147" s="39">
        <v>49643</v>
      </c>
      <c r="E147" s="30">
        <v>152513.9379983556</v>
      </c>
      <c r="F147" s="30">
        <v>35547.088767652247</v>
      </c>
      <c r="G147" s="30">
        <v>26406.408798827386</v>
      </c>
      <c r="H147" s="30">
        <v>32838.739147259694</v>
      </c>
      <c r="I147" s="30">
        <v>16419.369573629847</v>
      </c>
      <c r="J147" s="30">
        <v>41302.331710986422</v>
      </c>
      <c r="K147" s="30"/>
      <c r="L147" s="30"/>
      <c r="M147" s="30"/>
      <c r="N147" s="30"/>
      <c r="O147" s="30"/>
    </row>
    <row r="148" spans="2:15" x14ac:dyDescent="0.25">
      <c r="B148">
        <v>127</v>
      </c>
      <c r="C148">
        <v>11</v>
      </c>
      <c r="D148" s="39">
        <v>49674</v>
      </c>
      <c r="E148" s="30">
        <v>152513.9379983556</v>
      </c>
      <c r="F148" s="30">
        <v>35547.088767652247</v>
      </c>
      <c r="G148" s="30">
        <v>26406.408798827386</v>
      </c>
      <c r="H148" s="30">
        <v>32838.739147259694</v>
      </c>
      <c r="I148" s="30">
        <v>16419.369573629847</v>
      </c>
      <c r="J148" s="30">
        <v>41302.331710986422</v>
      </c>
      <c r="K148" s="30"/>
      <c r="L148" s="30"/>
      <c r="M148" s="30"/>
      <c r="N148" s="30"/>
      <c r="O148" s="30"/>
    </row>
    <row r="149" spans="2:15" x14ac:dyDescent="0.25">
      <c r="B149">
        <v>128</v>
      </c>
      <c r="C149">
        <v>11</v>
      </c>
      <c r="D149" s="39">
        <v>49705</v>
      </c>
      <c r="E149" s="30">
        <v>152513.9379983556</v>
      </c>
      <c r="F149" s="30">
        <v>35547.088767652247</v>
      </c>
      <c r="G149" s="30">
        <v>26406.408798827386</v>
      </c>
      <c r="H149" s="30">
        <v>32838.739147259694</v>
      </c>
      <c r="I149" s="30">
        <v>16419.369573629847</v>
      </c>
      <c r="J149" s="30">
        <v>41302.331710986422</v>
      </c>
      <c r="K149" s="30"/>
      <c r="L149" s="30"/>
      <c r="M149" s="30"/>
      <c r="N149" s="30"/>
      <c r="O149" s="30"/>
    </row>
    <row r="150" spans="2:15" x14ac:dyDescent="0.25">
      <c r="B150">
        <v>129</v>
      </c>
      <c r="C150">
        <v>11</v>
      </c>
      <c r="D150" s="39">
        <v>49734</v>
      </c>
      <c r="E150" s="30">
        <v>152513.9379983556</v>
      </c>
      <c r="F150" s="30">
        <v>35547.088767652247</v>
      </c>
      <c r="G150" s="30">
        <v>26406.408798827386</v>
      </c>
      <c r="H150" s="30">
        <v>32838.739147259694</v>
      </c>
      <c r="I150" s="30">
        <v>16419.369573629847</v>
      </c>
      <c r="J150" s="30">
        <v>41302.331710986422</v>
      </c>
      <c r="K150" s="30"/>
      <c r="L150" s="30"/>
      <c r="M150" s="30"/>
      <c r="N150" s="30"/>
      <c r="O150" s="30"/>
    </row>
    <row r="151" spans="2:15" x14ac:dyDescent="0.25">
      <c r="B151">
        <v>130</v>
      </c>
      <c r="C151">
        <v>11</v>
      </c>
      <c r="D151" s="39">
        <v>49765</v>
      </c>
      <c r="E151" s="30">
        <v>152513.9379983556</v>
      </c>
      <c r="F151" s="30">
        <v>35547.088767652247</v>
      </c>
      <c r="G151" s="30">
        <v>26406.408798827386</v>
      </c>
      <c r="H151" s="30">
        <v>32838.739147259694</v>
      </c>
      <c r="I151" s="30">
        <v>16419.369573629847</v>
      </c>
      <c r="J151" s="30">
        <v>41302.331710986422</v>
      </c>
      <c r="K151" s="30"/>
      <c r="L151" s="30"/>
      <c r="M151" s="30"/>
      <c r="N151" s="30"/>
      <c r="O151" s="30"/>
    </row>
    <row r="152" spans="2:15" x14ac:dyDescent="0.25">
      <c r="B152">
        <v>131</v>
      </c>
      <c r="C152">
        <v>11</v>
      </c>
      <c r="D152" s="39">
        <v>49795</v>
      </c>
      <c r="E152" s="30">
        <v>152513.9379983556</v>
      </c>
      <c r="F152" s="30">
        <v>35547.088767652247</v>
      </c>
      <c r="G152" s="30">
        <v>26406.408798827386</v>
      </c>
      <c r="H152" s="30">
        <v>32838.739147259694</v>
      </c>
      <c r="I152" s="30">
        <v>16419.369573629847</v>
      </c>
      <c r="J152" s="30">
        <v>41302.331710986422</v>
      </c>
      <c r="K152" s="30"/>
      <c r="L152" s="30"/>
      <c r="M152" s="30"/>
      <c r="N152" s="30"/>
      <c r="O152" s="30"/>
    </row>
    <row r="153" spans="2:15" x14ac:dyDescent="0.25">
      <c r="B153">
        <v>132</v>
      </c>
      <c r="C153">
        <v>11</v>
      </c>
      <c r="D153" s="39">
        <v>49826</v>
      </c>
      <c r="E153" s="30">
        <v>152513.9379983556</v>
      </c>
      <c r="F153" s="30">
        <v>35547.088767652247</v>
      </c>
      <c r="G153" s="30">
        <v>26406.408798827386</v>
      </c>
      <c r="H153" s="30">
        <v>32838.739147259694</v>
      </c>
      <c r="I153" s="30">
        <v>16419.369573629847</v>
      </c>
      <c r="J153" s="30">
        <v>41302.331710986422</v>
      </c>
      <c r="K153" s="30"/>
      <c r="L153" s="30"/>
      <c r="M153" s="30"/>
      <c r="N153" s="30"/>
      <c r="O153" s="3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EE44-A140-441F-8285-119DD4FB59B9}">
  <sheetPr>
    <tabColor theme="3" tint="0.749992370372631"/>
  </sheetPr>
  <dimension ref="B1:O153"/>
  <sheetViews>
    <sheetView zoomScale="130" zoomScaleNormal="130" workbookViewId="0">
      <selection activeCell="F22" sqref="F22"/>
    </sheetView>
  </sheetViews>
  <sheetFormatPr defaultRowHeight="15" x14ac:dyDescent="0.25"/>
  <cols>
    <col min="1" max="1" width="0.5703125" customWidth="1"/>
    <col min="4" max="4" width="11.28515625" customWidth="1"/>
    <col min="5" max="5" width="20.28515625" customWidth="1"/>
    <col min="6" max="6" width="10.140625" bestFit="1" customWidth="1"/>
  </cols>
  <sheetData>
    <row r="1" spans="2:10" ht="3" customHeight="1" x14ac:dyDescent="0.25"/>
    <row r="2" spans="2:10" ht="26.25" x14ac:dyDescent="0.4">
      <c r="B2" s="35" t="s">
        <v>93</v>
      </c>
    </row>
    <row r="3" spans="2:10" x14ac:dyDescent="0.25">
      <c r="E3" t="str" cm="1">
        <f t="array" ref="E3:J18">TRANSPOSE(rent.roll.assumptions)</f>
        <v>Unit Name</v>
      </c>
      <c r="F3" s="36" t="str">
        <v>Studio</v>
      </c>
      <c r="G3" s="36" t="str">
        <v>1bd/1ba</v>
      </c>
      <c r="H3" s="36" t="str">
        <v>2bd/2ba</v>
      </c>
      <c r="I3" s="36" t="str">
        <v>2bd/1.5ba</v>
      </c>
      <c r="J3" s="36" t="str">
        <v>3bd/2ba</v>
      </c>
    </row>
    <row r="4" spans="2:10" x14ac:dyDescent="0.25">
      <c r="E4" t="str">
        <v># of Units</v>
      </c>
      <c r="F4">
        <v>40</v>
      </c>
      <c r="G4">
        <v>24</v>
      </c>
      <c r="H4">
        <v>24</v>
      </c>
      <c r="I4">
        <v>12</v>
      </c>
      <c r="J4">
        <v>24</v>
      </c>
    </row>
    <row r="5" spans="2:10" x14ac:dyDescent="0.25">
      <c r="E5" t="str">
        <v>Bedrooms</v>
      </c>
      <c r="F5">
        <v>0</v>
      </c>
      <c r="G5">
        <v>1</v>
      </c>
      <c r="H5">
        <v>2</v>
      </c>
      <c r="I5">
        <v>2</v>
      </c>
      <c r="J5">
        <v>3</v>
      </c>
    </row>
    <row r="6" spans="2:10" x14ac:dyDescent="0.25">
      <c r="E6" t="str">
        <v>Baths</v>
      </c>
      <c r="F6">
        <v>1</v>
      </c>
      <c r="G6">
        <v>1</v>
      </c>
      <c r="H6">
        <v>2</v>
      </c>
      <c r="I6">
        <v>1.5</v>
      </c>
      <c r="J6">
        <v>2</v>
      </c>
    </row>
    <row r="7" spans="2:10" x14ac:dyDescent="0.25">
      <c r="E7" t="str">
        <v>Rentable Area</v>
      </c>
      <c r="F7">
        <v>430</v>
      </c>
      <c r="G7">
        <v>671</v>
      </c>
      <c r="H7">
        <v>945</v>
      </c>
      <c r="I7">
        <v>1025</v>
      </c>
      <c r="J7">
        <v>1046</v>
      </c>
    </row>
    <row r="8" spans="2:10" x14ac:dyDescent="0.25">
      <c r="E8" t="str">
        <v>In-Place Rent/Mo</v>
      </c>
      <c r="F8">
        <v>510</v>
      </c>
      <c r="G8">
        <v>660</v>
      </c>
      <c r="H8">
        <v>850</v>
      </c>
      <c r="I8">
        <v>850</v>
      </c>
      <c r="J8">
        <v>1100</v>
      </c>
    </row>
    <row r="9" spans="2:10" x14ac:dyDescent="0.25">
      <c r="E9" t="str">
        <v>Market Rent/Mo</v>
      </c>
      <c r="F9">
        <v>630</v>
      </c>
      <c r="G9">
        <v>780</v>
      </c>
      <c r="H9">
        <v>970</v>
      </c>
      <c r="I9">
        <v>970</v>
      </c>
      <c r="J9">
        <v>1220</v>
      </c>
    </row>
    <row r="10" spans="2:10" x14ac:dyDescent="0.25">
      <c r="E10" t="str">
        <v>Months to roll to market</v>
      </c>
      <c r="F10">
        <v>12</v>
      </c>
      <c r="G10">
        <v>16</v>
      </c>
      <c r="H10">
        <v>19</v>
      </c>
      <c r="I10">
        <v>22</v>
      </c>
      <c r="J10">
        <v>25</v>
      </c>
    </row>
    <row r="11" spans="2:10" x14ac:dyDescent="0.25">
      <c r="E11" t="str">
        <v>Lease Term</v>
      </c>
      <c r="F11">
        <v>12</v>
      </c>
      <c r="G11">
        <v>12</v>
      </c>
      <c r="H11">
        <v>12</v>
      </c>
      <c r="I11">
        <v>12</v>
      </c>
      <c r="J11">
        <v>12</v>
      </c>
    </row>
    <row r="12" spans="2:10" x14ac:dyDescent="0.25">
      <c r="E12" t="str">
        <v>CapEx/Unit</v>
      </c>
      <c r="F12">
        <v>50</v>
      </c>
      <c r="G12">
        <v>50</v>
      </c>
      <c r="H12">
        <v>60</v>
      </c>
      <c r="I12">
        <v>65</v>
      </c>
      <c r="J12">
        <v>70</v>
      </c>
    </row>
    <row r="13" spans="2:10" x14ac:dyDescent="0.25">
      <c r="E13" t="str">
        <v>Free Rent Per New Lease</v>
      </c>
      <c r="F13">
        <v>1</v>
      </c>
      <c r="G13">
        <v>1</v>
      </c>
      <c r="H13">
        <v>0</v>
      </c>
      <c r="I13">
        <v>0</v>
      </c>
      <c r="J13">
        <v>0</v>
      </c>
    </row>
    <row r="14" spans="2:10" x14ac:dyDescent="0.25">
      <c r="E14" t="str">
        <v>Vacancy Between Leases</v>
      </c>
      <c r="F14">
        <v>20</v>
      </c>
      <c r="G14">
        <v>20</v>
      </c>
      <c r="H14">
        <v>25</v>
      </c>
      <c r="I14">
        <v>25</v>
      </c>
      <c r="J14">
        <v>30</v>
      </c>
    </row>
    <row r="15" spans="2:10" x14ac:dyDescent="0.25">
      <c r="E15" t="str">
        <v>Re-Leasing Costs</v>
      </c>
      <c r="F15">
        <v>300</v>
      </c>
      <c r="G15">
        <v>300</v>
      </c>
      <c r="H15">
        <v>350</v>
      </c>
      <c r="I15">
        <v>350</v>
      </c>
      <c r="J15">
        <v>400</v>
      </c>
    </row>
    <row r="16" spans="2:10" x14ac:dyDescent="0.25">
      <c r="E16" t="str">
        <v>Renewal Probability</v>
      </c>
      <c r="F16">
        <v>0.6</v>
      </c>
      <c r="G16">
        <v>0.6</v>
      </c>
      <c r="H16">
        <v>0.6</v>
      </c>
      <c r="I16">
        <v>0.6</v>
      </c>
      <c r="J16">
        <v>0.6</v>
      </c>
    </row>
    <row r="17" spans="2:15" x14ac:dyDescent="0.25">
      <c r="E17" t="str">
        <v>Days Vacant</v>
      </c>
      <c r="F17">
        <v>8</v>
      </c>
      <c r="G17">
        <v>8</v>
      </c>
      <c r="H17">
        <v>10</v>
      </c>
      <c r="I17">
        <v>10</v>
      </c>
      <c r="J17">
        <v>12</v>
      </c>
    </row>
    <row r="18" spans="2:15" x14ac:dyDescent="0.25">
      <c r="E18" t="str">
        <v>Blended Releasing Cost</v>
      </c>
      <c r="F18">
        <v>120</v>
      </c>
      <c r="G18">
        <v>120</v>
      </c>
      <c r="H18">
        <v>140</v>
      </c>
      <c r="I18">
        <v>140</v>
      </c>
      <c r="J18">
        <v>160</v>
      </c>
    </row>
    <row r="19" spans="2:15" ht="15.75" thickBot="1" x14ac:dyDescent="0.3"/>
    <row r="20" spans="2:15" ht="15.75" thickBot="1" x14ac:dyDescent="0.3">
      <c r="B20" s="44" t="s">
        <v>106</v>
      </c>
      <c r="C20" s="45"/>
      <c r="D20" s="45"/>
      <c r="E20" s="45"/>
      <c r="F20" s="45"/>
      <c r="G20" s="45"/>
      <c r="H20" s="45"/>
      <c r="I20" s="45"/>
      <c r="J20" s="46"/>
    </row>
    <row r="21" spans="2:15" x14ac:dyDescent="0.25">
      <c r="B21" s="36" t="s">
        <v>95</v>
      </c>
      <c r="C21" s="36" t="s">
        <v>96</v>
      </c>
      <c r="D21" s="36" t="s">
        <v>98</v>
      </c>
      <c r="E21" s="36" t="s">
        <v>97</v>
      </c>
      <c r="F21" s="36" t="str" cm="1">
        <f t="array" ref="F21:J21">+F3:J3</f>
        <v>Studio</v>
      </c>
      <c r="G21" s="36" t="str">
        <v>1bd/1ba</v>
      </c>
      <c r="H21" s="36" t="str">
        <v>2bd/2ba</v>
      </c>
      <c r="I21" s="36" t="str">
        <v>2bd/1.5ba</v>
      </c>
      <c r="J21" s="36" t="str">
        <v>3bd/2ba</v>
      </c>
    </row>
    <row r="22" spans="2:15" x14ac:dyDescent="0.25">
      <c r="B22" cm="1">
        <f t="array" ref="B22:B153">_xlfn.SEQUENCE(12*Term.Cap.Year,1,1)</f>
        <v>1</v>
      </c>
      <c r="C22" cm="1">
        <f t="array" ref="C22:C153">ROUNDUP(_xlfn.ANCHORARRAY(B22)/12,0)</f>
        <v>1</v>
      </c>
      <c r="D22" s="39" cm="1">
        <f t="array" ref="D22:D153">EOMONTH(Start.Date,_xlfn.ANCHORARRAY(B22)-1)</f>
        <v>45838</v>
      </c>
      <c r="E22" s="30" cm="1">
        <f t="array" ref="E22:E153">_xlfn.BYROW(_xlfn.ANCHORARRAY(F22),_xlfn.LAMBDA(_xlpm.array,SUM(_xlpm.array)))</f>
        <v>0</v>
      </c>
      <c r="F22" s="30" cm="1">
        <f t="array" ref="F22:J153">IF(_xlfn.ANCHORARRAY(B22)/12=INT(_xlfn.ANCHORARRAY(B22)/12),1,0)*_xlfn.ANCHORARRAY(Monthly.Forecast.Unit)*F13:J13</f>
        <v>0</v>
      </c>
      <c r="G22" s="30">
        <v>0</v>
      </c>
      <c r="H22" s="30">
        <v>0</v>
      </c>
      <c r="I22" s="30">
        <v>0</v>
      </c>
      <c r="J22" s="30">
        <v>0</v>
      </c>
      <c r="K22" s="30"/>
    </row>
    <row r="23" spans="2:15" x14ac:dyDescent="0.25">
      <c r="B23">
        <v>2</v>
      </c>
      <c r="C23">
        <v>1</v>
      </c>
      <c r="D23" s="39">
        <v>45869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/>
    </row>
    <row r="24" spans="2:15" x14ac:dyDescent="0.25">
      <c r="B24">
        <v>3</v>
      </c>
      <c r="C24">
        <v>1</v>
      </c>
      <c r="D24" s="39">
        <v>45900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/>
    </row>
    <row r="25" spans="2:15" x14ac:dyDescent="0.25">
      <c r="B25">
        <v>4</v>
      </c>
      <c r="C25">
        <v>1</v>
      </c>
      <c r="D25" s="39">
        <v>45930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/>
    </row>
    <row r="26" spans="2:15" x14ac:dyDescent="0.25">
      <c r="B26">
        <v>5</v>
      </c>
      <c r="C26">
        <v>1</v>
      </c>
      <c r="D26" s="39">
        <v>45961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/>
      <c r="L26" s="30"/>
      <c r="M26" s="30"/>
      <c r="N26" s="30"/>
      <c r="O26" s="30"/>
    </row>
    <row r="27" spans="2:15" x14ac:dyDescent="0.25">
      <c r="B27">
        <v>6</v>
      </c>
      <c r="C27">
        <v>1</v>
      </c>
      <c r="D27" s="39">
        <v>45991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/>
      <c r="L27" s="30"/>
      <c r="M27" s="30"/>
      <c r="N27" s="30"/>
      <c r="O27" s="30"/>
    </row>
    <row r="28" spans="2:15" x14ac:dyDescent="0.25">
      <c r="B28">
        <v>7</v>
      </c>
      <c r="C28">
        <v>1</v>
      </c>
      <c r="D28" s="39">
        <v>46022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/>
      <c r="L28" s="30"/>
      <c r="M28" s="30"/>
      <c r="N28" s="30"/>
      <c r="O28" s="30"/>
    </row>
    <row r="29" spans="2:15" x14ac:dyDescent="0.25">
      <c r="B29">
        <v>8</v>
      </c>
      <c r="C29">
        <v>1</v>
      </c>
      <c r="D29" s="39">
        <v>46053</v>
      </c>
      <c r="E29" s="30">
        <v>0</v>
      </c>
      <c r="F29" s="30">
        <v>0</v>
      </c>
      <c r="G29" s="30">
        <v>0</v>
      </c>
      <c r="H29" s="41">
        <v>0</v>
      </c>
      <c r="I29" s="30">
        <v>0</v>
      </c>
      <c r="J29" s="30">
        <v>0</v>
      </c>
      <c r="K29" s="30"/>
      <c r="L29" s="30"/>
      <c r="M29" s="30"/>
      <c r="N29" s="30"/>
      <c r="O29" s="30"/>
    </row>
    <row r="30" spans="2:15" x14ac:dyDescent="0.25">
      <c r="B30">
        <v>9</v>
      </c>
      <c r="C30">
        <v>1</v>
      </c>
      <c r="D30" s="39">
        <v>46081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/>
      <c r="L30" s="30"/>
      <c r="M30" s="30"/>
      <c r="N30" s="30"/>
      <c r="O30" s="30"/>
    </row>
    <row r="31" spans="2:15" x14ac:dyDescent="0.25">
      <c r="B31">
        <v>10</v>
      </c>
      <c r="C31">
        <v>1</v>
      </c>
      <c r="D31" s="39">
        <v>46112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/>
      <c r="L31" s="30"/>
      <c r="M31" s="30"/>
      <c r="N31" s="30"/>
      <c r="O31" s="30"/>
    </row>
    <row r="32" spans="2:15" x14ac:dyDescent="0.25">
      <c r="B32">
        <v>11</v>
      </c>
      <c r="C32">
        <v>1</v>
      </c>
      <c r="D32" s="39">
        <v>46142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/>
      <c r="L32" s="30"/>
      <c r="M32" s="30"/>
      <c r="N32" s="30"/>
      <c r="O32" s="30"/>
    </row>
    <row r="33" spans="2:15" x14ac:dyDescent="0.25">
      <c r="B33">
        <v>12</v>
      </c>
      <c r="C33">
        <v>1</v>
      </c>
      <c r="D33" s="39">
        <v>46173</v>
      </c>
      <c r="E33" s="30">
        <v>41040</v>
      </c>
      <c r="F33" s="30">
        <v>25200</v>
      </c>
      <c r="G33" s="30">
        <v>15840</v>
      </c>
      <c r="H33" s="30">
        <v>0</v>
      </c>
      <c r="I33" s="30">
        <v>0</v>
      </c>
      <c r="J33" s="30">
        <v>0</v>
      </c>
      <c r="K33" s="30"/>
      <c r="L33" s="30"/>
      <c r="M33" s="30"/>
      <c r="N33" s="30"/>
      <c r="O33" s="30"/>
    </row>
    <row r="34" spans="2:15" x14ac:dyDescent="0.25">
      <c r="B34">
        <v>13</v>
      </c>
      <c r="C34">
        <v>2</v>
      </c>
      <c r="D34" s="39">
        <v>46203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/>
      <c r="L34" s="30"/>
      <c r="M34" s="30"/>
      <c r="N34" s="30"/>
      <c r="O34" s="30"/>
    </row>
    <row r="35" spans="2:15" x14ac:dyDescent="0.25">
      <c r="B35">
        <v>14</v>
      </c>
      <c r="C35">
        <v>2</v>
      </c>
      <c r="D35" s="39">
        <v>46234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/>
      <c r="L35" s="30"/>
      <c r="M35" s="30"/>
      <c r="N35" s="30"/>
      <c r="O35" s="30"/>
    </row>
    <row r="36" spans="2:15" x14ac:dyDescent="0.25">
      <c r="B36">
        <v>15</v>
      </c>
      <c r="C36">
        <v>2</v>
      </c>
      <c r="D36" s="39">
        <v>46265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/>
      <c r="L36" s="30"/>
      <c r="M36" s="30"/>
      <c r="N36" s="30"/>
      <c r="O36" s="30"/>
    </row>
    <row r="37" spans="2:15" x14ac:dyDescent="0.25">
      <c r="B37">
        <v>16</v>
      </c>
      <c r="C37">
        <v>2</v>
      </c>
      <c r="D37" s="39">
        <v>46295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/>
      <c r="L37" s="30"/>
      <c r="M37" s="30"/>
      <c r="N37" s="30"/>
      <c r="O37" s="30"/>
    </row>
    <row r="38" spans="2:15" x14ac:dyDescent="0.25">
      <c r="B38">
        <v>17</v>
      </c>
      <c r="C38">
        <v>2</v>
      </c>
      <c r="D38" s="39">
        <v>46326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/>
      <c r="L38" s="30"/>
      <c r="M38" s="30"/>
      <c r="N38" s="30"/>
      <c r="O38" s="30"/>
    </row>
    <row r="39" spans="2:15" x14ac:dyDescent="0.25">
      <c r="B39">
        <v>18</v>
      </c>
      <c r="C39">
        <v>2</v>
      </c>
      <c r="D39" s="39">
        <v>46356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/>
      <c r="L39" s="30"/>
      <c r="M39" s="30"/>
      <c r="N39" s="30"/>
      <c r="O39" s="30"/>
    </row>
    <row r="40" spans="2:15" x14ac:dyDescent="0.25">
      <c r="B40">
        <v>19</v>
      </c>
      <c r="C40">
        <v>2</v>
      </c>
      <c r="D40" s="39">
        <v>46387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/>
      <c r="L40" s="30"/>
      <c r="M40" s="30"/>
      <c r="N40" s="30"/>
      <c r="O40" s="30"/>
    </row>
    <row r="41" spans="2:15" x14ac:dyDescent="0.25">
      <c r="B41">
        <v>20</v>
      </c>
      <c r="C41">
        <v>2</v>
      </c>
      <c r="D41" s="39">
        <v>46418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/>
      <c r="L41" s="30"/>
      <c r="M41" s="30"/>
      <c r="N41" s="30"/>
      <c r="O41" s="30"/>
    </row>
    <row r="42" spans="2:15" x14ac:dyDescent="0.25">
      <c r="B42">
        <v>21</v>
      </c>
      <c r="C42">
        <v>2</v>
      </c>
      <c r="D42" s="39">
        <v>46446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/>
      <c r="L42" s="30"/>
      <c r="M42" s="30"/>
      <c r="N42" s="30"/>
      <c r="O42" s="30"/>
    </row>
    <row r="43" spans="2:15" x14ac:dyDescent="0.25">
      <c r="B43">
        <v>22</v>
      </c>
      <c r="C43">
        <v>2</v>
      </c>
      <c r="D43" s="39">
        <v>46477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/>
      <c r="L43" s="30"/>
      <c r="M43" s="30"/>
      <c r="N43" s="30"/>
      <c r="O43" s="30"/>
    </row>
    <row r="44" spans="2:15" x14ac:dyDescent="0.25">
      <c r="B44">
        <v>23</v>
      </c>
      <c r="C44">
        <v>2</v>
      </c>
      <c r="D44" s="39">
        <v>46507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/>
      <c r="L44" s="30"/>
      <c r="M44" s="30"/>
      <c r="N44" s="30"/>
      <c r="O44" s="30"/>
    </row>
    <row r="45" spans="2:15" x14ac:dyDescent="0.25">
      <c r="B45">
        <v>24</v>
      </c>
      <c r="C45">
        <v>2</v>
      </c>
      <c r="D45" s="39">
        <v>46538</v>
      </c>
      <c r="E45" s="30">
        <v>45457.2</v>
      </c>
      <c r="F45" s="30">
        <v>26081.999999999996</v>
      </c>
      <c r="G45" s="30">
        <v>19375.199999999997</v>
      </c>
      <c r="H45" s="30">
        <v>0</v>
      </c>
      <c r="I45" s="30">
        <v>0</v>
      </c>
      <c r="J45" s="30">
        <v>0</v>
      </c>
      <c r="K45" s="30"/>
      <c r="L45" s="30"/>
      <c r="M45" s="30"/>
      <c r="N45" s="30"/>
      <c r="O45" s="30"/>
    </row>
    <row r="46" spans="2:15" x14ac:dyDescent="0.25">
      <c r="B46">
        <v>25</v>
      </c>
      <c r="C46">
        <v>3</v>
      </c>
      <c r="D46" s="39">
        <v>46568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/>
      <c r="L46" s="30"/>
      <c r="M46" s="30"/>
      <c r="N46" s="30"/>
      <c r="O46" s="30"/>
    </row>
    <row r="47" spans="2:15" x14ac:dyDescent="0.25">
      <c r="B47">
        <v>26</v>
      </c>
      <c r="C47">
        <v>3</v>
      </c>
      <c r="D47" s="39">
        <v>46599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/>
      <c r="L47" s="30"/>
      <c r="M47" s="30"/>
      <c r="N47" s="30"/>
      <c r="O47" s="30"/>
    </row>
    <row r="48" spans="2:15" x14ac:dyDescent="0.25">
      <c r="B48">
        <v>27</v>
      </c>
      <c r="C48">
        <v>3</v>
      </c>
      <c r="D48" s="39">
        <v>46630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/>
      <c r="L48" s="30"/>
      <c r="M48" s="30"/>
      <c r="N48" s="30"/>
      <c r="O48" s="30"/>
    </row>
    <row r="49" spans="2:15" x14ac:dyDescent="0.25">
      <c r="B49">
        <v>28</v>
      </c>
      <c r="C49">
        <v>3</v>
      </c>
      <c r="D49" s="39">
        <v>46660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/>
      <c r="L49" s="30"/>
      <c r="M49" s="30"/>
      <c r="N49" s="30"/>
      <c r="O49" s="30"/>
    </row>
    <row r="50" spans="2:15" x14ac:dyDescent="0.25">
      <c r="B50">
        <v>29</v>
      </c>
      <c r="C50">
        <v>3</v>
      </c>
      <c r="D50" s="39">
        <v>46691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/>
      <c r="L50" s="30"/>
      <c r="M50" s="30"/>
      <c r="N50" s="30"/>
      <c r="O50" s="30"/>
    </row>
    <row r="51" spans="2:15" x14ac:dyDescent="0.25">
      <c r="B51">
        <v>30</v>
      </c>
      <c r="C51">
        <v>3</v>
      </c>
      <c r="D51" s="39">
        <v>46721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/>
      <c r="L51" s="30"/>
      <c r="M51" s="30"/>
      <c r="N51" s="30"/>
      <c r="O51" s="30"/>
    </row>
    <row r="52" spans="2:15" x14ac:dyDescent="0.25">
      <c r="B52">
        <v>31</v>
      </c>
      <c r="C52">
        <v>3</v>
      </c>
      <c r="D52" s="39">
        <v>46752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/>
      <c r="L52" s="30"/>
      <c r="M52" s="30"/>
      <c r="N52" s="30"/>
      <c r="O52" s="30"/>
    </row>
    <row r="53" spans="2:15" x14ac:dyDescent="0.25">
      <c r="B53">
        <v>32</v>
      </c>
      <c r="C53">
        <v>3</v>
      </c>
      <c r="D53" s="39">
        <v>46783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/>
      <c r="L53" s="30"/>
      <c r="M53" s="30"/>
      <c r="N53" s="30"/>
      <c r="O53" s="30"/>
    </row>
    <row r="54" spans="2:15" x14ac:dyDescent="0.25">
      <c r="B54">
        <v>33</v>
      </c>
      <c r="C54">
        <v>3</v>
      </c>
      <c r="D54" s="39">
        <v>46812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/>
      <c r="L54" s="30"/>
      <c r="M54" s="30"/>
      <c r="N54" s="30"/>
      <c r="O54" s="30"/>
    </row>
    <row r="55" spans="2:15" x14ac:dyDescent="0.25">
      <c r="B55">
        <v>34</v>
      </c>
      <c r="C55">
        <v>3</v>
      </c>
      <c r="D55" s="39">
        <v>46843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/>
      <c r="L55" s="30"/>
      <c r="M55" s="30"/>
      <c r="N55" s="30"/>
      <c r="O55" s="30"/>
    </row>
    <row r="56" spans="2:15" x14ac:dyDescent="0.25">
      <c r="B56">
        <v>35</v>
      </c>
      <c r="C56">
        <v>3</v>
      </c>
      <c r="D56" s="39">
        <v>46873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/>
      <c r="L56" s="30"/>
      <c r="M56" s="30"/>
      <c r="N56" s="30"/>
      <c r="O56" s="30"/>
    </row>
    <row r="57" spans="2:15" x14ac:dyDescent="0.25">
      <c r="B57">
        <v>36</v>
      </c>
      <c r="C57">
        <v>3</v>
      </c>
      <c r="D57" s="39">
        <v>46904</v>
      </c>
      <c r="E57" s="30">
        <v>47048.20199999999</v>
      </c>
      <c r="F57" s="30">
        <v>26994.869999999995</v>
      </c>
      <c r="G57" s="30">
        <v>20053.331999999999</v>
      </c>
      <c r="H57" s="30">
        <v>0</v>
      </c>
      <c r="I57" s="30">
        <v>0</v>
      </c>
      <c r="J57" s="30">
        <v>0</v>
      </c>
      <c r="K57" s="30"/>
      <c r="L57" s="30"/>
      <c r="M57" s="30"/>
      <c r="N57" s="30"/>
      <c r="O57" s="30"/>
    </row>
    <row r="58" spans="2:15" x14ac:dyDescent="0.25">
      <c r="B58">
        <v>37</v>
      </c>
      <c r="C58">
        <v>4</v>
      </c>
      <c r="D58" s="39">
        <v>46934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/>
      <c r="L58" s="30"/>
      <c r="M58" s="30"/>
      <c r="N58" s="30"/>
      <c r="O58" s="30"/>
    </row>
    <row r="59" spans="2:15" x14ac:dyDescent="0.25">
      <c r="B59">
        <v>38</v>
      </c>
      <c r="C59">
        <v>4</v>
      </c>
      <c r="D59" s="39">
        <v>46965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/>
      <c r="L59" s="30"/>
      <c r="M59" s="30"/>
      <c r="N59" s="30"/>
      <c r="O59" s="30"/>
    </row>
    <row r="60" spans="2:15" x14ac:dyDescent="0.25">
      <c r="B60">
        <v>39</v>
      </c>
      <c r="C60">
        <v>4</v>
      </c>
      <c r="D60" s="39">
        <v>46996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/>
      <c r="L60" s="30"/>
      <c r="M60" s="30"/>
      <c r="N60" s="30"/>
      <c r="O60" s="30"/>
    </row>
    <row r="61" spans="2:15" x14ac:dyDescent="0.25">
      <c r="B61">
        <v>40</v>
      </c>
      <c r="C61">
        <v>4</v>
      </c>
      <c r="D61" s="39">
        <v>47026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/>
      <c r="L61" s="30"/>
      <c r="M61" s="30"/>
      <c r="N61" s="30"/>
      <c r="O61" s="30"/>
    </row>
    <row r="62" spans="2:15" x14ac:dyDescent="0.25">
      <c r="B62">
        <v>41</v>
      </c>
      <c r="C62">
        <v>4</v>
      </c>
      <c r="D62" s="39">
        <v>47057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/>
      <c r="L62" s="30"/>
      <c r="M62" s="30"/>
      <c r="N62" s="30"/>
      <c r="O62" s="30"/>
    </row>
    <row r="63" spans="2:15" x14ac:dyDescent="0.25">
      <c r="B63">
        <v>42</v>
      </c>
      <c r="C63">
        <v>4</v>
      </c>
      <c r="D63" s="39">
        <v>47087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/>
      <c r="L63" s="30"/>
      <c r="M63" s="30"/>
      <c r="N63" s="30"/>
      <c r="O63" s="30"/>
    </row>
    <row r="64" spans="2:15" x14ac:dyDescent="0.25">
      <c r="B64">
        <v>43</v>
      </c>
      <c r="C64">
        <v>4</v>
      </c>
      <c r="D64" s="39">
        <v>47118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/>
      <c r="L64" s="30"/>
      <c r="M64" s="30"/>
      <c r="N64" s="30"/>
      <c r="O64" s="30"/>
    </row>
    <row r="65" spans="2:15" x14ac:dyDescent="0.25">
      <c r="B65">
        <v>44</v>
      </c>
      <c r="C65">
        <v>4</v>
      </c>
      <c r="D65" s="39">
        <v>47149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/>
      <c r="L65" s="30"/>
      <c r="M65" s="30"/>
      <c r="N65" s="30"/>
      <c r="O65" s="30"/>
    </row>
    <row r="66" spans="2:15" x14ac:dyDescent="0.25">
      <c r="B66">
        <v>45</v>
      </c>
      <c r="C66">
        <v>4</v>
      </c>
      <c r="D66" s="39">
        <v>47177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/>
      <c r="L66" s="30"/>
      <c r="M66" s="30"/>
      <c r="N66" s="30"/>
      <c r="O66" s="30"/>
    </row>
    <row r="67" spans="2:15" x14ac:dyDescent="0.25">
      <c r="B67">
        <v>46</v>
      </c>
      <c r="C67">
        <v>4</v>
      </c>
      <c r="D67" s="39">
        <v>47208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/>
      <c r="L67" s="30"/>
      <c r="M67" s="30"/>
      <c r="N67" s="30"/>
      <c r="O67" s="30"/>
    </row>
    <row r="68" spans="2:15" x14ac:dyDescent="0.25">
      <c r="B68">
        <v>47</v>
      </c>
      <c r="C68">
        <v>4</v>
      </c>
      <c r="D68" s="39">
        <v>47238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/>
      <c r="L68" s="30"/>
      <c r="M68" s="30"/>
      <c r="N68" s="30"/>
      <c r="O68" s="30"/>
    </row>
    <row r="69" spans="2:15" x14ac:dyDescent="0.25">
      <c r="B69">
        <v>48</v>
      </c>
      <c r="C69">
        <v>4</v>
      </c>
      <c r="D69" s="39">
        <v>47269</v>
      </c>
      <c r="E69" s="30">
        <v>48694.88906999999</v>
      </c>
      <c r="F69" s="30">
        <v>27939.690449999995</v>
      </c>
      <c r="G69" s="30">
        <v>20755.198619999996</v>
      </c>
      <c r="H69" s="30">
        <v>0</v>
      </c>
      <c r="I69" s="30">
        <v>0</v>
      </c>
      <c r="J69" s="30">
        <v>0</v>
      </c>
      <c r="K69" s="30"/>
      <c r="L69" s="30"/>
      <c r="M69" s="30"/>
      <c r="N69" s="30"/>
      <c r="O69" s="30"/>
    </row>
    <row r="70" spans="2:15" x14ac:dyDescent="0.25">
      <c r="B70">
        <v>49</v>
      </c>
      <c r="C70">
        <v>5</v>
      </c>
      <c r="D70" s="39">
        <v>47299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/>
      <c r="L70" s="30"/>
      <c r="M70" s="30"/>
      <c r="N70" s="30"/>
      <c r="O70" s="30"/>
    </row>
    <row r="71" spans="2:15" x14ac:dyDescent="0.25">
      <c r="B71">
        <v>50</v>
      </c>
      <c r="C71">
        <v>5</v>
      </c>
      <c r="D71" s="39">
        <v>47330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/>
      <c r="L71" s="30"/>
      <c r="M71" s="30"/>
      <c r="N71" s="30"/>
      <c r="O71" s="30"/>
    </row>
    <row r="72" spans="2:15" x14ac:dyDescent="0.25">
      <c r="B72">
        <v>51</v>
      </c>
      <c r="C72">
        <v>5</v>
      </c>
      <c r="D72" s="39">
        <v>47361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/>
      <c r="L72" s="30"/>
      <c r="M72" s="30"/>
      <c r="N72" s="30"/>
      <c r="O72" s="30"/>
    </row>
    <row r="73" spans="2:15" x14ac:dyDescent="0.25">
      <c r="B73">
        <v>52</v>
      </c>
      <c r="C73">
        <v>5</v>
      </c>
      <c r="D73" s="39">
        <v>47391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/>
      <c r="L73" s="30"/>
      <c r="M73" s="30"/>
      <c r="N73" s="30"/>
      <c r="O73" s="30"/>
    </row>
    <row r="74" spans="2:15" x14ac:dyDescent="0.25">
      <c r="B74">
        <v>53</v>
      </c>
      <c r="C74">
        <v>5</v>
      </c>
      <c r="D74" s="39">
        <v>47422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/>
      <c r="L74" s="30"/>
      <c r="M74" s="30"/>
      <c r="N74" s="30"/>
      <c r="O74" s="30"/>
    </row>
    <row r="75" spans="2:15" x14ac:dyDescent="0.25">
      <c r="B75">
        <v>54</v>
      </c>
      <c r="C75">
        <v>5</v>
      </c>
      <c r="D75" s="39">
        <v>47452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/>
      <c r="L75" s="30"/>
      <c r="M75" s="30"/>
      <c r="N75" s="30"/>
      <c r="O75" s="30"/>
    </row>
    <row r="76" spans="2:15" x14ac:dyDescent="0.25">
      <c r="B76">
        <v>55</v>
      </c>
      <c r="C76">
        <v>5</v>
      </c>
      <c r="D76" s="39">
        <v>47483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/>
      <c r="L76" s="30"/>
      <c r="M76" s="30"/>
      <c r="N76" s="30"/>
      <c r="O76" s="30"/>
    </row>
    <row r="77" spans="2:15" x14ac:dyDescent="0.25">
      <c r="B77">
        <v>56</v>
      </c>
      <c r="C77">
        <v>5</v>
      </c>
      <c r="D77" s="39">
        <v>47514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/>
      <c r="L77" s="30"/>
      <c r="M77" s="30"/>
      <c r="N77" s="30"/>
      <c r="O77" s="30"/>
    </row>
    <row r="78" spans="2:15" x14ac:dyDescent="0.25">
      <c r="B78">
        <v>57</v>
      </c>
      <c r="C78">
        <v>5</v>
      </c>
      <c r="D78" s="39">
        <v>47542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/>
      <c r="L78" s="30"/>
      <c r="M78" s="30"/>
      <c r="N78" s="30"/>
      <c r="O78" s="30"/>
    </row>
    <row r="79" spans="2:15" x14ac:dyDescent="0.25">
      <c r="B79">
        <v>58</v>
      </c>
      <c r="C79">
        <v>5</v>
      </c>
      <c r="D79" s="39">
        <v>47573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/>
      <c r="L79" s="30"/>
      <c r="M79" s="30"/>
      <c r="N79" s="30"/>
      <c r="O79" s="30"/>
    </row>
    <row r="80" spans="2:15" x14ac:dyDescent="0.25">
      <c r="B80">
        <v>59</v>
      </c>
      <c r="C80">
        <v>5</v>
      </c>
      <c r="D80" s="39">
        <v>47603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/>
      <c r="L80" s="30"/>
      <c r="M80" s="30"/>
      <c r="N80" s="30"/>
      <c r="O80" s="30"/>
    </row>
    <row r="81" spans="2:15" x14ac:dyDescent="0.25">
      <c r="B81">
        <v>60</v>
      </c>
      <c r="C81">
        <v>5</v>
      </c>
      <c r="D81" s="39">
        <v>47634</v>
      </c>
      <c r="E81" s="30">
        <v>50399.210187449986</v>
      </c>
      <c r="F81" s="30">
        <v>28917.579615749994</v>
      </c>
      <c r="G81" s="30">
        <v>21481.630571699992</v>
      </c>
      <c r="H81" s="30">
        <v>0</v>
      </c>
      <c r="I81" s="30">
        <v>0</v>
      </c>
      <c r="J81" s="30">
        <v>0</v>
      </c>
      <c r="K81" s="30"/>
      <c r="L81" s="30"/>
      <c r="M81" s="30"/>
      <c r="N81" s="30"/>
      <c r="O81" s="30"/>
    </row>
    <row r="82" spans="2:15" x14ac:dyDescent="0.25">
      <c r="B82">
        <v>61</v>
      </c>
      <c r="C82">
        <v>6</v>
      </c>
      <c r="D82" s="39">
        <v>47664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/>
      <c r="L82" s="30"/>
      <c r="M82" s="30"/>
      <c r="N82" s="30"/>
      <c r="O82" s="30"/>
    </row>
    <row r="83" spans="2:15" x14ac:dyDescent="0.25">
      <c r="B83">
        <v>62</v>
      </c>
      <c r="C83">
        <v>6</v>
      </c>
      <c r="D83" s="39">
        <v>47695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/>
      <c r="L83" s="30"/>
      <c r="M83" s="30"/>
      <c r="N83" s="30"/>
      <c r="O83" s="30"/>
    </row>
    <row r="84" spans="2:15" x14ac:dyDescent="0.25">
      <c r="B84">
        <v>63</v>
      </c>
      <c r="C84">
        <v>6</v>
      </c>
      <c r="D84" s="39">
        <v>47726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/>
      <c r="L84" s="30"/>
      <c r="M84" s="30"/>
      <c r="N84" s="30"/>
      <c r="O84" s="30"/>
    </row>
    <row r="85" spans="2:15" x14ac:dyDescent="0.25">
      <c r="B85">
        <v>64</v>
      </c>
      <c r="C85">
        <v>6</v>
      </c>
      <c r="D85" s="39">
        <v>47756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/>
      <c r="L85" s="30"/>
      <c r="M85" s="30"/>
      <c r="N85" s="30"/>
      <c r="O85" s="30"/>
    </row>
    <row r="86" spans="2:15" x14ac:dyDescent="0.25">
      <c r="B86">
        <v>65</v>
      </c>
      <c r="C86">
        <v>6</v>
      </c>
      <c r="D86" s="39">
        <v>47787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/>
      <c r="L86" s="30"/>
      <c r="M86" s="30"/>
      <c r="N86" s="30"/>
      <c r="O86" s="30"/>
    </row>
    <row r="87" spans="2:15" x14ac:dyDescent="0.25">
      <c r="B87">
        <v>66</v>
      </c>
      <c r="C87">
        <v>6</v>
      </c>
      <c r="D87" s="39">
        <v>47817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/>
      <c r="L87" s="30"/>
      <c r="M87" s="30"/>
      <c r="N87" s="30"/>
      <c r="O87" s="30"/>
    </row>
    <row r="88" spans="2:15" x14ac:dyDescent="0.25">
      <c r="B88">
        <v>67</v>
      </c>
      <c r="C88">
        <v>6</v>
      </c>
      <c r="D88" s="39">
        <v>47848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/>
      <c r="L88" s="30"/>
      <c r="M88" s="30"/>
      <c r="N88" s="30"/>
      <c r="O88" s="30"/>
    </row>
    <row r="89" spans="2:15" x14ac:dyDescent="0.25">
      <c r="B89">
        <v>68</v>
      </c>
      <c r="C89">
        <v>6</v>
      </c>
      <c r="D89" s="39">
        <v>47879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/>
      <c r="L89" s="30"/>
      <c r="M89" s="30"/>
      <c r="N89" s="30"/>
      <c r="O89" s="30"/>
    </row>
    <row r="90" spans="2:15" x14ac:dyDescent="0.25">
      <c r="B90">
        <v>69</v>
      </c>
      <c r="C90">
        <v>6</v>
      </c>
      <c r="D90" s="39">
        <v>47907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/>
      <c r="L90" s="30"/>
      <c r="M90" s="30"/>
      <c r="N90" s="30"/>
      <c r="O90" s="30"/>
    </row>
    <row r="91" spans="2:15" x14ac:dyDescent="0.25">
      <c r="B91">
        <v>70</v>
      </c>
      <c r="C91">
        <v>6</v>
      </c>
      <c r="D91" s="39">
        <v>47938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/>
      <c r="L91" s="30"/>
      <c r="M91" s="30"/>
      <c r="N91" s="30"/>
      <c r="O91" s="30"/>
    </row>
    <row r="92" spans="2:15" x14ac:dyDescent="0.25">
      <c r="B92">
        <v>71</v>
      </c>
      <c r="C92">
        <v>6</v>
      </c>
      <c r="D92" s="39">
        <v>47968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/>
      <c r="L92" s="30"/>
      <c r="M92" s="30"/>
      <c r="N92" s="30"/>
      <c r="O92" s="30"/>
    </row>
    <row r="93" spans="2:15" x14ac:dyDescent="0.25">
      <c r="B93">
        <v>72</v>
      </c>
      <c r="C93">
        <v>6</v>
      </c>
      <c r="D93" s="39">
        <v>47999</v>
      </c>
      <c r="E93" s="30">
        <v>52163.182544010728</v>
      </c>
      <c r="F93" s="30">
        <v>29929.694902301238</v>
      </c>
      <c r="G93" s="30">
        <v>22233.487641709489</v>
      </c>
      <c r="H93" s="30">
        <v>0</v>
      </c>
      <c r="I93" s="30">
        <v>0</v>
      </c>
      <c r="J93" s="30">
        <v>0</v>
      </c>
      <c r="K93" s="30"/>
      <c r="L93" s="30"/>
      <c r="M93" s="30"/>
      <c r="N93" s="30"/>
      <c r="O93" s="30"/>
    </row>
    <row r="94" spans="2:15" x14ac:dyDescent="0.25">
      <c r="B94">
        <v>73</v>
      </c>
      <c r="C94">
        <v>7</v>
      </c>
      <c r="D94" s="39">
        <v>48029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/>
      <c r="L94" s="30"/>
      <c r="M94" s="30"/>
      <c r="N94" s="30"/>
      <c r="O94" s="30"/>
    </row>
    <row r="95" spans="2:15" x14ac:dyDescent="0.25">
      <c r="B95">
        <v>74</v>
      </c>
      <c r="C95">
        <v>7</v>
      </c>
      <c r="D95" s="39">
        <v>48060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/>
      <c r="L95" s="30"/>
      <c r="M95" s="30"/>
      <c r="N95" s="30"/>
      <c r="O95" s="30"/>
    </row>
    <row r="96" spans="2:15" x14ac:dyDescent="0.25">
      <c r="B96">
        <v>75</v>
      </c>
      <c r="C96">
        <v>7</v>
      </c>
      <c r="D96" s="39">
        <v>48091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/>
      <c r="L96" s="30"/>
      <c r="M96" s="30"/>
      <c r="N96" s="30"/>
      <c r="O96" s="30"/>
    </row>
    <row r="97" spans="2:15" x14ac:dyDescent="0.25">
      <c r="B97">
        <v>76</v>
      </c>
      <c r="C97">
        <v>7</v>
      </c>
      <c r="D97" s="39">
        <v>48121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/>
      <c r="L97" s="30"/>
      <c r="M97" s="30"/>
      <c r="N97" s="30"/>
      <c r="O97" s="30"/>
    </row>
    <row r="98" spans="2:15" x14ac:dyDescent="0.25">
      <c r="B98">
        <v>77</v>
      </c>
      <c r="C98">
        <v>7</v>
      </c>
      <c r="D98" s="39">
        <v>48152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/>
      <c r="L98" s="30"/>
      <c r="M98" s="30"/>
      <c r="N98" s="30"/>
      <c r="O98" s="30"/>
    </row>
    <row r="99" spans="2:15" x14ac:dyDescent="0.25">
      <c r="B99">
        <v>78</v>
      </c>
      <c r="C99">
        <v>7</v>
      </c>
      <c r="D99" s="39">
        <v>48182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/>
      <c r="L99" s="30"/>
      <c r="M99" s="30"/>
      <c r="N99" s="30"/>
      <c r="O99" s="30"/>
    </row>
    <row r="100" spans="2:15" x14ac:dyDescent="0.25">
      <c r="B100">
        <v>79</v>
      </c>
      <c r="C100">
        <v>7</v>
      </c>
      <c r="D100" s="39">
        <v>48213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/>
      <c r="L100" s="30"/>
      <c r="M100" s="30"/>
      <c r="N100" s="30"/>
      <c r="O100" s="30"/>
    </row>
    <row r="101" spans="2:15" x14ac:dyDescent="0.25">
      <c r="B101">
        <v>80</v>
      </c>
      <c r="C101">
        <v>7</v>
      </c>
      <c r="D101" s="39">
        <v>48244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/>
      <c r="L101" s="30"/>
      <c r="M101" s="30"/>
      <c r="N101" s="30"/>
      <c r="O101" s="30"/>
    </row>
    <row r="102" spans="2:15" x14ac:dyDescent="0.25">
      <c r="B102">
        <v>81</v>
      </c>
      <c r="C102">
        <v>7</v>
      </c>
      <c r="D102" s="39">
        <v>48273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/>
      <c r="L102" s="30"/>
      <c r="M102" s="30"/>
      <c r="N102" s="30"/>
      <c r="O102" s="30"/>
    </row>
    <row r="103" spans="2:15" x14ac:dyDescent="0.25">
      <c r="B103">
        <v>82</v>
      </c>
      <c r="C103">
        <v>7</v>
      </c>
      <c r="D103" s="39">
        <v>48304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/>
      <c r="L103" s="30"/>
      <c r="M103" s="30"/>
      <c r="N103" s="30"/>
      <c r="O103" s="30"/>
    </row>
    <row r="104" spans="2:15" x14ac:dyDescent="0.25">
      <c r="B104">
        <v>83</v>
      </c>
      <c r="C104">
        <v>7</v>
      </c>
      <c r="D104" s="39">
        <v>48334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/>
      <c r="L104" s="30"/>
      <c r="M104" s="30"/>
      <c r="N104" s="30"/>
      <c r="O104" s="30"/>
    </row>
    <row r="105" spans="2:15" x14ac:dyDescent="0.25">
      <c r="B105">
        <v>84</v>
      </c>
      <c r="C105">
        <v>7</v>
      </c>
      <c r="D105" s="39">
        <v>48365</v>
      </c>
      <c r="E105" s="30">
        <v>53988.893933051106</v>
      </c>
      <c r="F105" s="30">
        <v>30977.234223881784</v>
      </c>
      <c r="G105" s="30">
        <v>23011.659709169326</v>
      </c>
      <c r="H105" s="30">
        <v>0</v>
      </c>
      <c r="I105" s="30">
        <v>0</v>
      </c>
      <c r="J105" s="30">
        <v>0</v>
      </c>
      <c r="K105" s="30"/>
      <c r="L105" s="30"/>
      <c r="M105" s="30"/>
      <c r="N105" s="30"/>
      <c r="O105" s="30"/>
    </row>
    <row r="106" spans="2:15" x14ac:dyDescent="0.25">
      <c r="B106">
        <v>85</v>
      </c>
      <c r="C106">
        <v>8</v>
      </c>
      <c r="D106" s="39">
        <v>48395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/>
      <c r="L106" s="30"/>
      <c r="M106" s="30"/>
      <c r="N106" s="30"/>
      <c r="O106" s="30"/>
    </row>
    <row r="107" spans="2:15" x14ac:dyDescent="0.25">
      <c r="B107">
        <v>86</v>
      </c>
      <c r="C107">
        <v>8</v>
      </c>
      <c r="D107" s="39">
        <v>48426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/>
      <c r="L107" s="30"/>
      <c r="M107" s="30"/>
      <c r="N107" s="30"/>
      <c r="O107" s="30"/>
    </row>
    <row r="108" spans="2:15" x14ac:dyDescent="0.25">
      <c r="B108">
        <v>87</v>
      </c>
      <c r="C108">
        <v>8</v>
      </c>
      <c r="D108" s="39">
        <v>48457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/>
      <c r="L108" s="30"/>
      <c r="M108" s="30"/>
      <c r="N108" s="30"/>
      <c r="O108" s="30"/>
    </row>
    <row r="109" spans="2:15" x14ac:dyDescent="0.25">
      <c r="B109">
        <v>88</v>
      </c>
      <c r="C109">
        <v>8</v>
      </c>
      <c r="D109" s="39">
        <v>48487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/>
      <c r="L109" s="30"/>
      <c r="M109" s="30"/>
      <c r="N109" s="30"/>
      <c r="O109" s="30"/>
    </row>
    <row r="110" spans="2:15" x14ac:dyDescent="0.25">
      <c r="B110">
        <v>89</v>
      </c>
      <c r="C110">
        <v>8</v>
      </c>
      <c r="D110" s="39">
        <v>48518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/>
      <c r="L110" s="30"/>
      <c r="M110" s="30"/>
      <c r="N110" s="30"/>
      <c r="O110" s="30"/>
    </row>
    <row r="111" spans="2:15" x14ac:dyDescent="0.25">
      <c r="B111">
        <v>90</v>
      </c>
      <c r="C111">
        <v>8</v>
      </c>
      <c r="D111" s="39">
        <v>48548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/>
      <c r="L111" s="30"/>
      <c r="M111" s="30"/>
      <c r="N111" s="30"/>
      <c r="O111" s="30"/>
    </row>
    <row r="112" spans="2:15" x14ac:dyDescent="0.25">
      <c r="B112">
        <v>91</v>
      </c>
      <c r="C112">
        <v>8</v>
      </c>
      <c r="D112" s="39">
        <v>48579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/>
      <c r="L112" s="30"/>
      <c r="M112" s="30"/>
      <c r="N112" s="30"/>
      <c r="O112" s="30"/>
    </row>
    <row r="113" spans="2:15" x14ac:dyDescent="0.25">
      <c r="B113">
        <v>92</v>
      </c>
      <c r="C113">
        <v>8</v>
      </c>
      <c r="D113" s="39">
        <v>48610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/>
      <c r="L113" s="30"/>
      <c r="M113" s="30"/>
      <c r="N113" s="30"/>
      <c r="O113" s="30"/>
    </row>
    <row r="114" spans="2:15" x14ac:dyDescent="0.25">
      <c r="B114">
        <v>93</v>
      </c>
      <c r="C114">
        <v>8</v>
      </c>
      <c r="D114" s="39">
        <v>48638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/>
      <c r="L114" s="30"/>
      <c r="M114" s="30"/>
      <c r="N114" s="30"/>
      <c r="O114" s="30"/>
    </row>
    <row r="115" spans="2:15" x14ac:dyDescent="0.25">
      <c r="B115">
        <v>94</v>
      </c>
      <c r="C115">
        <v>8</v>
      </c>
      <c r="D115" s="39">
        <v>48669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/>
      <c r="L115" s="30"/>
      <c r="M115" s="30"/>
      <c r="N115" s="30"/>
      <c r="O115" s="30"/>
    </row>
    <row r="116" spans="2:15" x14ac:dyDescent="0.25">
      <c r="B116">
        <v>95</v>
      </c>
      <c r="C116">
        <v>8</v>
      </c>
      <c r="D116" s="39">
        <v>48699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/>
      <c r="L116" s="30"/>
      <c r="M116" s="30"/>
      <c r="N116" s="30"/>
      <c r="O116" s="30"/>
    </row>
    <row r="117" spans="2:15" x14ac:dyDescent="0.25">
      <c r="B117">
        <v>96</v>
      </c>
      <c r="C117">
        <v>8</v>
      </c>
      <c r="D117" s="39">
        <v>48730</v>
      </c>
      <c r="E117" s="30">
        <v>55878.505220707884</v>
      </c>
      <c r="F117" s="30">
        <v>32061.437421717641</v>
      </c>
      <c r="G117" s="30">
        <v>23817.067798990247</v>
      </c>
      <c r="H117" s="30">
        <v>0</v>
      </c>
      <c r="I117" s="30">
        <v>0</v>
      </c>
      <c r="J117" s="30">
        <v>0</v>
      </c>
      <c r="K117" s="30"/>
      <c r="L117" s="30"/>
      <c r="M117" s="30"/>
      <c r="N117" s="30"/>
      <c r="O117" s="30"/>
    </row>
    <row r="118" spans="2:15" x14ac:dyDescent="0.25">
      <c r="B118">
        <v>97</v>
      </c>
      <c r="C118">
        <v>9</v>
      </c>
      <c r="D118" s="39">
        <v>48760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/>
      <c r="L118" s="30"/>
      <c r="M118" s="30"/>
      <c r="N118" s="30"/>
      <c r="O118" s="30"/>
    </row>
    <row r="119" spans="2:15" x14ac:dyDescent="0.25">
      <c r="B119">
        <v>98</v>
      </c>
      <c r="C119">
        <v>9</v>
      </c>
      <c r="D119" s="39">
        <v>48791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/>
      <c r="L119" s="30"/>
      <c r="M119" s="30"/>
      <c r="N119" s="30"/>
      <c r="O119" s="30"/>
    </row>
    <row r="120" spans="2:15" x14ac:dyDescent="0.25">
      <c r="B120">
        <v>99</v>
      </c>
      <c r="C120">
        <v>9</v>
      </c>
      <c r="D120" s="39">
        <v>48822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/>
      <c r="L120" s="30"/>
      <c r="M120" s="30"/>
      <c r="N120" s="30"/>
      <c r="O120" s="30"/>
    </row>
    <row r="121" spans="2:15" x14ac:dyDescent="0.25">
      <c r="B121">
        <v>100</v>
      </c>
      <c r="C121">
        <v>9</v>
      </c>
      <c r="D121" s="39">
        <v>48852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/>
      <c r="L121" s="30"/>
      <c r="M121" s="30"/>
      <c r="N121" s="30"/>
      <c r="O121" s="30"/>
    </row>
    <row r="122" spans="2:15" x14ac:dyDescent="0.25">
      <c r="B122">
        <v>101</v>
      </c>
      <c r="C122">
        <v>9</v>
      </c>
      <c r="D122" s="39">
        <v>48883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/>
      <c r="L122" s="30"/>
      <c r="M122" s="30"/>
      <c r="N122" s="30"/>
      <c r="O122" s="30"/>
    </row>
    <row r="123" spans="2:15" x14ac:dyDescent="0.25">
      <c r="B123">
        <v>102</v>
      </c>
      <c r="C123">
        <v>9</v>
      </c>
      <c r="D123" s="39">
        <v>48913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/>
      <c r="L123" s="30"/>
      <c r="M123" s="30"/>
      <c r="N123" s="30"/>
      <c r="O123" s="30"/>
    </row>
    <row r="124" spans="2:15" x14ac:dyDescent="0.25">
      <c r="B124">
        <v>103</v>
      </c>
      <c r="C124">
        <v>9</v>
      </c>
      <c r="D124" s="39">
        <v>48944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/>
      <c r="L124" s="30"/>
      <c r="M124" s="30"/>
      <c r="N124" s="30"/>
      <c r="O124" s="30"/>
    </row>
    <row r="125" spans="2:15" x14ac:dyDescent="0.25">
      <c r="B125">
        <v>104</v>
      </c>
      <c r="C125">
        <v>9</v>
      </c>
      <c r="D125" s="39">
        <v>48975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/>
      <c r="L125" s="30"/>
      <c r="M125" s="30"/>
      <c r="N125" s="30"/>
      <c r="O125" s="30"/>
    </row>
    <row r="126" spans="2:15" x14ac:dyDescent="0.25">
      <c r="B126">
        <v>105</v>
      </c>
      <c r="C126">
        <v>9</v>
      </c>
      <c r="D126" s="39">
        <v>49003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/>
      <c r="L126" s="30"/>
      <c r="M126" s="30"/>
      <c r="N126" s="30"/>
      <c r="O126" s="30"/>
    </row>
    <row r="127" spans="2:15" x14ac:dyDescent="0.25">
      <c r="B127">
        <v>106</v>
      </c>
      <c r="C127">
        <v>9</v>
      </c>
      <c r="D127" s="39">
        <v>49034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/>
      <c r="L127" s="30"/>
      <c r="M127" s="30"/>
      <c r="N127" s="30"/>
      <c r="O127" s="30"/>
    </row>
    <row r="128" spans="2:15" x14ac:dyDescent="0.25">
      <c r="B128">
        <v>107</v>
      </c>
      <c r="C128">
        <v>9</v>
      </c>
      <c r="D128" s="39">
        <v>49064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/>
      <c r="L128" s="30"/>
      <c r="M128" s="30"/>
      <c r="N128" s="30"/>
      <c r="O128" s="30"/>
    </row>
    <row r="129" spans="2:15" x14ac:dyDescent="0.25">
      <c r="B129">
        <v>108</v>
      </c>
      <c r="C129">
        <v>9</v>
      </c>
      <c r="D129" s="39">
        <v>49095</v>
      </c>
      <c r="E129" s="30">
        <v>57834.252903432658</v>
      </c>
      <c r="F129" s="30">
        <v>33183.587731477754</v>
      </c>
      <c r="G129" s="30">
        <v>24650.665171954901</v>
      </c>
      <c r="H129" s="30">
        <v>0</v>
      </c>
      <c r="I129" s="30">
        <v>0</v>
      </c>
      <c r="J129" s="30">
        <v>0</v>
      </c>
      <c r="K129" s="30"/>
      <c r="L129" s="30"/>
      <c r="M129" s="30"/>
      <c r="N129" s="30"/>
      <c r="O129" s="30"/>
    </row>
    <row r="130" spans="2:15" x14ac:dyDescent="0.25">
      <c r="B130">
        <v>109</v>
      </c>
      <c r="C130">
        <v>10</v>
      </c>
      <c r="D130" s="39">
        <v>49125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/>
      <c r="L130" s="30"/>
      <c r="M130" s="30"/>
      <c r="N130" s="30"/>
      <c r="O130" s="30"/>
    </row>
    <row r="131" spans="2:15" x14ac:dyDescent="0.25">
      <c r="B131">
        <v>110</v>
      </c>
      <c r="C131">
        <v>10</v>
      </c>
      <c r="D131" s="39">
        <v>49156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/>
      <c r="L131" s="30"/>
      <c r="M131" s="30"/>
      <c r="N131" s="30"/>
      <c r="O131" s="30"/>
    </row>
    <row r="132" spans="2:15" x14ac:dyDescent="0.25">
      <c r="B132">
        <v>111</v>
      </c>
      <c r="C132">
        <v>10</v>
      </c>
      <c r="D132" s="39">
        <v>49187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/>
      <c r="L132" s="30"/>
      <c r="M132" s="30"/>
      <c r="N132" s="30"/>
      <c r="O132" s="30"/>
    </row>
    <row r="133" spans="2:15" x14ac:dyDescent="0.25">
      <c r="B133">
        <v>112</v>
      </c>
      <c r="C133">
        <v>10</v>
      </c>
      <c r="D133" s="39">
        <v>49217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/>
      <c r="L133" s="30"/>
      <c r="M133" s="30"/>
      <c r="N133" s="30"/>
      <c r="O133" s="30"/>
    </row>
    <row r="134" spans="2:15" x14ac:dyDescent="0.25">
      <c r="B134">
        <v>113</v>
      </c>
      <c r="C134">
        <v>10</v>
      </c>
      <c r="D134" s="39">
        <v>49248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/>
      <c r="L134" s="30"/>
      <c r="M134" s="30"/>
      <c r="N134" s="30"/>
      <c r="O134" s="30"/>
    </row>
    <row r="135" spans="2:15" x14ac:dyDescent="0.25">
      <c r="B135">
        <v>114</v>
      </c>
      <c r="C135">
        <v>10</v>
      </c>
      <c r="D135" s="39">
        <v>49278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/>
      <c r="L135" s="30"/>
      <c r="M135" s="30"/>
      <c r="N135" s="30"/>
      <c r="O135" s="30"/>
    </row>
    <row r="136" spans="2:15" x14ac:dyDescent="0.25">
      <c r="B136">
        <v>115</v>
      </c>
      <c r="C136">
        <v>10</v>
      </c>
      <c r="D136" s="39">
        <v>49309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/>
      <c r="L136" s="30"/>
      <c r="M136" s="30"/>
      <c r="N136" s="30"/>
      <c r="O136" s="30"/>
    </row>
    <row r="137" spans="2:15" x14ac:dyDescent="0.25">
      <c r="B137">
        <v>116</v>
      </c>
      <c r="C137">
        <v>10</v>
      </c>
      <c r="D137" s="39">
        <v>49340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/>
      <c r="L137" s="30"/>
      <c r="M137" s="30"/>
      <c r="N137" s="30"/>
      <c r="O137" s="30"/>
    </row>
    <row r="138" spans="2:15" x14ac:dyDescent="0.25">
      <c r="B138">
        <v>117</v>
      </c>
      <c r="C138">
        <v>10</v>
      </c>
      <c r="D138" s="39">
        <v>49368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/>
      <c r="L138" s="30"/>
      <c r="M138" s="30"/>
      <c r="N138" s="30"/>
      <c r="O138" s="30"/>
    </row>
    <row r="139" spans="2:15" x14ac:dyDescent="0.25">
      <c r="B139">
        <v>118</v>
      </c>
      <c r="C139">
        <v>10</v>
      </c>
      <c r="D139" s="39">
        <v>49399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/>
      <c r="L139" s="30"/>
      <c r="M139" s="30"/>
      <c r="N139" s="30"/>
      <c r="O139" s="30"/>
    </row>
    <row r="140" spans="2:15" x14ac:dyDescent="0.25">
      <c r="B140">
        <v>119</v>
      </c>
      <c r="C140">
        <v>10</v>
      </c>
      <c r="D140" s="39">
        <v>49429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/>
      <c r="L140" s="30"/>
      <c r="M140" s="30"/>
      <c r="N140" s="30"/>
      <c r="O140" s="30"/>
    </row>
    <row r="141" spans="2:15" x14ac:dyDescent="0.25">
      <c r="B141">
        <v>120</v>
      </c>
      <c r="C141">
        <v>10</v>
      </c>
      <c r="D141" s="39">
        <v>49460</v>
      </c>
      <c r="E141" s="30">
        <v>59858.451755052789</v>
      </c>
      <c r="F141" s="30">
        <v>34345.013302079467</v>
      </c>
      <c r="G141" s="30">
        <v>25513.438452973322</v>
      </c>
      <c r="H141" s="30">
        <v>0</v>
      </c>
      <c r="I141" s="30">
        <v>0</v>
      </c>
      <c r="J141" s="30">
        <v>0</v>
      </c>
      <c r="K141" s="30"/>
      <c r="L141" s="30"/>
      <c r="M141" s="30"/>
      <c r="N141" s="30"/>
      <c r="O141" s="30"/>
    </row>
    <row r="142" spans="2:15" x14ac:dyDescent="0.25">
      <c r="B142">
        <v>121</v>
      </c>
      <c r="C142">
        <v>11</v>
      </c>
      <c r="D142" s="39">
        <v>49490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/>
      <c r="L142" s="30"/>
      <c r="M142" s="30"/>
      <c r="N142" s="30"/>
      <c r="O142" s="30"/>
    </row>
    <row r="143" spans="2:15" x14ac:dyDescent="0.25">
      <c r="B143">
        <v>122</v>
      </c>
      <c r="C143">
        <v>11</v>
      </c>
      <c r="D143" s="39">
        <v>49521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/>
      <c r="L143" s="30"/>
      <c r="M143" s="30"/>
      <c r="N143" s="30"/>
      <c r="O143" s="30"/>
    </row>
    <row r="144" spans="2:15" x14ac:dyDescent="0.25">
      <c r="B144">
        <v>123</v>
      </c>
      <c r="C144">
        <v>11</v>
      </c>
      <c r="D144" s="39">
        <v>49552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/>
      <c r="L144" s="30"/>
      <c r="M144" s="30"/>
      <c r="N144" s="30"/>
      <c r="O144" s="30"/>
    </row>
    <row r="145" spans="2:15" x14ac:dyDescent="0.25">
      <c r="B145">
        <v>124</v>
      </c>
      <c r="C145">
        <v>11</v>
      </c>
      <c r="D145" s="39">
        <v>49582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/>
      <c r="L145" s="30"/>
      <c r="M145" s="30"/>
      <c r="N145" s="30"/>
      <c r="O145" s="30"/>
    </row>
    <row r="146" spans="2:15" x14ac:dyDescent="0.25">
      <c r="B146">
        <v>125</v>
      </c>
      <c r="C146">
        <v>11</v>
      </c>
      <c r="D146" s="39">
        <v>49613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/>
      <c r="L146" s="30"/>
      <c r="M146" s="30"/>
      <c r="N146" s="30"/>
      <c r="O146" s="30"/>
    </row>
    <row r="147" spans="2:15" x14ac:dyDescent="0.25">
      <c r="B147">
        <v>126</v>
      </c>
      <c r="C147">
        <v>11</v>
      </c>
      <c r="D147" s="39">
        <v>49643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/>
      <c r="L147" s="30"/>
      <c r="M147" s="30"/>
      <c r="N147" s="30"/>
      <c r="O147" s="30"/>
    </row>
    <row r="148" spans="2:15" x14ac:dyDescent="0.25">
      <c r="B148">
        <v>127</v>
      </c>
      <c r="C148">
        <v>11</v>
      </c>
      <c r="D148" s="39">
        <v>49674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/>
      <c r="L148" s="30"/>
      <c r="M148" s="30"/>
      <c r="N148" s="30"/>
      <c r="O148" s="30"/>
    </row>
    <row r="149" spans="2:15" x14ac:dyDescent="0.25">
      <c r="B149">
        <v>128</v>
      </c>
      <c r="C149">
        <v>11</v>
      </c>
      <c r="D149" s="39">
        <v>49705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/>
      <c r="L149" s="30"/>
      <c r="M149" s="30"/>
      <c r="N149" s="30"/>
      <c r="O149" s="30"/>
    </row>
    <row r="150" spans="2:15" x14ac:dyDescent="0.25">
      <c r="B150">
        <v>129</v>
      </c>
      <c r="C150">
        <v>11</v>
      </c>
      <c r="D150" s="39">
        <v>49734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/>
      <c r="L150" s="30"/>
      <c r="M150" s="30"/>
      <c r="N150" s="30"/>
      <c r="O150" s="30"/>
    </row>
    <row r="151" spans="2:15" x14ac:dyDescent="0.25">
      <c r="B151">
        <v>130</v>
      </c>
      <c r="C151">
        <v>11</v>
      </c>
      <c r="D151" s="39">
        <v>49765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/>
      <c r="L151" s="30"/>
      <c r="M151" s="30"/>
      <c r="N151" s="30"/>
      <c r="O151" s="30"/>
    </row>
    <row r="152" spans="2:15" x14ac:dyDescent="0.25">
      <c r="B152">
        <v>131</v>
      </c>
      <c r="C152">
        <v>11</v>
      </c>
      <c r="D152" s="39">
        <v>49795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/>
      <c r="L152" s="30"/>
      <c r="M152" s="30"/>
      <c r="N152" s="30"/>
      <c r="O152" s="30"/>
    </row>
    <row r="153" spans="2:15" x14ac:dyDescent="0.25">
      <c r="B153">
        <v>132</v>
      </c>
      <c r="C153">
        <v>11</v>
      </c>
      <c r="D153" s="39">
        <v>49826</v>
      </c>
      <c r="E153" s="30">
        <v>61953.497566479637</v>
      </c>
      <c r="F153" s="30">
        <v>35547.088767652247</v>
      </c>
      <c r="G153" s="30">
        <v>26406.408798827386</v>
      </c>
      <c r="H153" s="30">
        <v>0</v>
      </c>
      <c r="I153" s="30">
        <v>0</v>
      </c>
      <c r="J153" s="30">
        <v>0</v>
      </c>
      <c r="K153" s="30"/>
      <c r="L153" s="30"/>
      <c r="M153" s="30"/>
      <c r="N153" s="30"/>
      <c r="O153" s="3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756F-DE5A-47C4-A504-A460D44E1A29}">
  <sheetPr>
    <tabColor theme="3" tint="0.749992370372631"/>
  </sheetPr>
  <dimension ref="B1:O153"/>
  <sheetViews>
    <sheetView zoomScale="130" zoomScaleNormal="130" workbookViewId="0">
      <selection activeCell="L13" sqref="L13"/>
    </sheetView>
  </sheetViews>
  <sheetFormatPr defaultRowHeight="15" x14ac:dyDescent="0.25"/>
  <cols>
    <col min="1" max="1" width="0.5703125" customWidth="1"/>
    <col min="4" max="4" width="11.28515625" customWidth="1"/>
    <col min="5" max="5" width="20.28515625" customWidth="1"/>
    <col min="6" max="6" width="10.140625" bestFit="1" customWidth="1"/>
  </cols>
  <sheetData>
    <row r="1" spans="2:10" ht="3" customHeight="1" x14ac:dyDescent="0.25"/>
    <row r="2" spans="2:10" ht="26.25" x14ac:dyDescent="0.4">
      <c r="B2" s="35" t="s">
        <v>93</v>
      </c>
    </row>
    <row r="3" spans="2:10" x14ac:dyDescent="0.25">
      <c r="E3" t="str" cm="1">
        <f t="array" ref="E3:J18">TRANSPOSE(rent.roll.assumptions)</f>
        <v>Unit Name</v>
      </c>
      <c r="F3" s="36" t="str">
        <v>Studio</v>
      </c>
      <c r="G3" s="36" t="str">
        <v>1bd/1ba</v>
      </c>
      <c r="H3" s="36" t="str">
        <v>2bd/2ba</v>
      </c>
      <c r="I3" s="36" t="str">
        <v>2bd/1.5ba</v>
      </c>
      <c r="J3" s="36" t="str">
        <v>3bd/2ba</v>
      </c>
    </row>
    <row r="4" spans="2:10" x14ac:dyDescent="0.25">
      <c r="E4" t="str">
        <v># of Units</v>
      </c>
      <c r="F4">
        <v>40</v>
      </c>
      <c r="G4">
        <v>24</v>
      </c>
      <c r="H4">
        <v>24</v>
      </c>
      <c r="I4">
        <v>12</v>
      </c>
      <c r="J4">
        <v>24</v>
      </c>
    </row>
    <row r="5" spans="2:10" x14ac:dyDescent="0.25">
      <c r="E5" t="str">
        <v>Bedrooms</v>
      </c>
      <c r="F5">
        <v>0</v>
      </c>
      <c r="G5">
        <v>1</v>
      </c>
      <c r="H5">
        <v>2</v>
      </c>
      <c r="I5">
        <v>2</v>
      </c>
      <c r="J5">
        <v>3</v>
      </c>
    </row>
    <row r="6" spans="2:10" x14ac:dyDescent="0.25">
      <c r="E6" t="str">
        <v>Baths</v>
      </c>
      <c r="F6">
        <v>1</v>
      </c>
      <c r="G6">
        <v>1</v>
      </c>
      <c r="H6">
        <v>2</v>
      </c>
      <c r="I6">
        <v>1.5</v>
      </c>
      <c r="J6">
        <v>2</v>
      </c>
    </row>
    <row r="7" spans="2:10" x14ac:dyDescent="0.25">
      <c r="E7" t="str">
        <v>Rentable Area</v>
      </c>
      <c r="F7">
        <v>430</v>
      </c>
      <c r="G7">
        <v>671</v>
      </c>
      <c r="H7">
        <v>945</v>
      </c>
      <c r="I7">
        <v>1025</v>
      </c>
      <c r="J7">
        <v>1046</v>
      </c>
    </row>
    <row r="8" spans="2:10" x14ac:dyDescent="0.25">
      <c r="E8" t="str">
        <v>In-Place Rent/Mo</v>
      </c>
      <c r="F8">
        <v>510</v>
      </c>
      <c r="G8">
        <v>660</v>
      </c>
      <c r="H8">
        <v>850</v>
      </c>
      <c r="I8">
        <v>850</v>
      </c>
      <c r="J8">
        <v>1100</v>
      </c>
    </row>
    <row r="9" spans="2:10" x14ac:dyDescent="0.25">
      <c r="E9" t="str">
        <v>Market Rent/Mo</v>
      </c>
      <c r="F9">
        <v>630</v>
      </c>
      <c r="G9">
        <v>780</v>
      </c>
      <c r="H9">
        <v>970</v>
      </c>
      <c r="I9">
        <v>970</v>
      </c>
      <c r="J9">
        <v>1220</v>
      </c>
    </row>
    <row r="10" spans="2:10" x14ac:dyDescent="0.25">
      <c r="E10" t="str">
        <v>Months to roll to market</v>
      </c>
      <c r="F10">
        <v>12</v>
      </c>
      <c r="G10">
        <v>16</v>
      </c>
      <c r="H10">
        <v>19</v>
      </c>
      <c r="I10">
        <v>22</v>
      </c>
      <c r="J10">
        <v>25</v>
      </c>
    </row>
    <row r="11" spans="2:10" x14ac:dyDescent="0.25">
      <c r="E11" t="str">
        <v>Lease Term</v>
      </c>
      <c r="F11">
        <v>12</v>
      </c>
      <c r="G11">
        <v>12</v>
      </c>
      <c r="H11">
        <v>12</v>
      </c>
      <c r="I11">
        <v>12</v>
      </c>
      <c r="J11">
        <v>12</v>
      </c>
    </row>
    <row r="12" spans="2:10" x14ac:dyDescent="0.25">
      <c r="E12" t="str">
        <v>CapEx/Unit</v>
      </c>
      <c r="F12">
        <v>50</v>
      </c>
      <c r="G12">
        <v>50</v>
      </c>
      <c r="H12">
        <v>60</v>
      </c>
      <c r="I12">
        <v>65</v>
      </c>
      <c r="J12">
        <v>70</v>
      </c>
    </row>
    <row r="13" spans="2:10" x14ac:dyDescent="0.25">
      <c r="E13" t="str">
        <v>Free Rent Per New Lease</v>
      </c>
      <c r="F13">
        <v>1</v>
      </c>
      <c r="G13">
        <v>1</v>
      </c>
      <c r="H13">
        <v>0</v>
      </c>
      <c r="I13">
        <v>0</v>
      </c>
      <c r="J13">
        <v>0</v>
      </c>
    </row>
    <row r="14" spans="2:10" x14ac:dyDescent="0.25">
      <c r="E14" t="str">
        <v>Vacancy Between Leases</v>
      </c>
      <c r="F14">
        <v>20</v>
      </c>
      <c r="G14">
        <v>20</v>
      </c>
      <c r="H14">
        <v>25</v>
      </c>
      <c r="I14">
        <v>25</v>
      </c>
      <c r="J14">
        <v>30</v>
      </c>
    </row>
    <row r="15" spans="2:10" x14ac:dyDescent="0.25">
      <c r="E15" t="str">
        <v>Re-Leasing Costs</v>
      </c>
      <c r="F15">
        <v>300</v>
      </c>
      <c r="G15">
        <v>300</v>
      </c>
      <c r="H15">
        <v>350</v>
      </c>
      <c r="I15">
        <v>350</v>
      </c>
      <c r="J15">
        <v>400</v>
      </c>
    </row>
    <row r="16" spans="2:10" x14ac:dyDescent="0.25">
      <c r="E16" t="str">
        <v>Renewal Probability</v>
      </c>
      <c r="F16">
        <v>0.6</v>
      </c>
      <c r="G16">
        <v>0.6</v>
      </c>
      <c r="H16">
        <v>0.6</v>
      </c>
      <c r="I16">
        <v>0.6</v>
      </c>
      <c r="J16">
        <v>0.6</v>
      </c>
    </row>
    <row r="17" spans="2:15" x14ac:dyDescent="0.25">
      <c r="E17" t="str">
        <v>Days Vacant</v>
      </c>
      <c r="F17">
        <v>8</v>
      </c>
      <c r="G17">
        <v>8</v>
      </c>
      <c r="H17">
        <v>10</v>
      </c>
      <c r="I17">
        <v>10</v>
      </c>
      <c r="J17">
        <v>12</v>
      </c>
    </row>
    <row r="18" spans="2:15" x14ac:dyDescent="0.25">
      <c r="E18" t="str">
        <v>Blended Releasing Cost</v>
      </c>
      <c r="F18">
        <v>120</v>
      </c>
      <c r="G18">
        <v>120</v>
      </c>
      <c r="H18">
        <v>140</v>
      </c>
      <c r="I18">
        <v>140</v>
      </c>
      <c r="J18">
        <v>160</v>
      </c>
    </row>
    <row r="19" spans="2:15" ht="15.75" thickBot="1" x14ac:dyDescent="0.3"/>
    <row r="20" spans="2:15" ht="15.75" thickBot="1" x14ac:dyDescent="0.3">
      <c r="B20" s="44" t="s">
        <v>107</v>
      </c>
      <c r="C20" s="45"/>
      <c r="D20" s="45"/>
      <c r="E20" s="45"/>
      <c r="F20" s="45"/>
      <c r="G20" s="45"/>
      <c r="H20" s="45"/>
      <c r="I20" s="45"/>
      <c r="J20" s="46"/>
    </row>
    <row r="21" spans="2:15" x14ac:dyDescent="0.25">
      <c r="B21" s="36" t="s">
        <v>95</v>
      </c>
      <c r="C21" s="36" t="s">
        <v>96</v>
      </c>
      <c r="D21" s="36" t="s">
        <v>98</v>
      </c>
      <c r="E21" s="36" t="s">
        <v>97</v>
      </c>
      <c r="F21" s="36" t="str" cm="1">
        <f t="array" ref="F21:J21">+F3:J3</f>
        <v>Studio</v>
      </c>
      <c r="G21" s="36" t="str">
        <v>1bd/1ba</v>
      </c>
      <c r="H21" s="36" t="str">
        <v>2bd/2ba</v>
      </c>
      <c r="I21" s="36" t="str">
        <v>2bd/1.5ba</v>
      </c>
      <c r="J21" s="36" t="str">
        <v>3bd/2ba</v>
      </c>
    </row>
    <row r="22" spans="2:15" x14ac:dyDescent="0.25">
      <c r="B22" cm="1">
        <f t="array" ref="B22:B153">_xlfn.SEQUENCE(12*Term.Cap.Year,1,1)</f>
        <v>1</v>
      </c>
      <c r="C22" cm="1">
        <f t="array" ref="C22:C153">ROUNDUP(_xlfn.ANCHORARRAY(B22)/12,0)</f>
        <v>1</v>
      </c>
      <c r="D22" s="39" cm="1">
        <f t="array" ref="D22:D153">EOMONTH(Start.Date,_xlfn.ANCHORARRAY(B22)-1)</f>
        <v>45838</v>
      </c>
      <c r="E22" s="30" cm="1">
        <f t="array" ref="E22:E153">_xlfn.BYROW(_xlfn.ANCHORARRAY(F22),_xlfn.LAMBDA(_xlpm.array,SUM(_xlpm.array)))</f>
        <v>7100</v>
      </c>
      <c r="F22" s="30" cm="1">
        <f t="array" ref="F22:J153">F4:J4*F12:J12*(1+Infl.CapEx)^(_xlfn.ANCHORARRAY(C22)-1)</f>
        <v>2000</v>
      </c>
      <c r="G22" s="30">
        <v>1200</v>
      </c>
      <c r="H22" s="30">
        <v>1440</v>
      </c>
      <c r="I22" s="30">
        <v>780</v>
      </c>
      <c r="J22" s="30">
        <v>1680</v>
      </c>
      <c r="K22" s="30"/>
      <c r="L22" s="30"/>
      <c r="M22" s="30"/>
      <c r="N22" s="30"/>
      <c r="O22" s="30"/>
    </row>
    <row r="23" spans="2:15" x14ac:dyDescent="0.25">
      <c r="B23">
        <v>2</v>
      </c>
      <c r="C23">
        <v>1</v>
      </c>
      <c r="D23" s="39">
        <v>45869</v>
      </c>
      <c r="E23" s="30">
        <v>7100</v>
      </c>
      <c r="F23" s="30">
        <v>2000</v>
      </c>
      <c r="G23" s="30">
        <v>1200</v>
      </c>
      <c r="H23" s="30">
        <v>1440</v>
      </c>
      <c r="I23" s="30">
        <v>780</v>
      </c>
      <c r="J23" s="30">
        <v>1680</v>
      </c>
      <c r="K23" s="30"/>
      <c r="L23" s="30"/>
      <c r="M23" s="30"/>
      <c r="N23" s="30"/>
      <c r="O23" s="30"/>
    </row>
    <row r="24" spans="2:15" x14ac:dyDescent="0.25">
      <c r="B24">
        <v>3</v>
      </c>
      <c r="C24">
        <v>1</v>
      </c>
      <c r="D24" s="39">
        <v>45900</v>
      </c>
      <c r="E24" s="30">
        <v>7100</v>
      </c>
      <c r="F24" s="30">
        <v>2000</v>
      </c>
      <c r="G24" s="30">
        <v>1200</v>
      </c>
      <c r="H24" s="30">
        <v>1440</v>
      </c>
      <c r="I24" s="30">
        <v>780</v>
      </c>
      <c r="J24" s="30">
        <v>1680</v>
      </c>
      <c r="K24" s="30"/>
      <c r="L24" s="30"/>
      <c r="M24" s="30"/>
      <c r="N24" s="30"/>
      <c r="O24" s="30"/>
    </row>
    <row r="25" spans="2:15" x14ac:dyDescent="0.25">
      <c r="B25">
        <v>4</v>
      </c>
      <c r="C25">
        <v>1</v>
      </c>
      <c r="D25" s="39">
        <v>45930</v>
      </c>
      <c r="E25" s="30">
        <v>7100</v>
      </c>
      <c r="F25" s="30">
        <v>2000</v>
      </c>
      <c r="G25" s="30">
        <v>1200</v>
      </c>
      <c r="H25" s="30">
        <v>1440</v>
      </c>
      <c r="I25" s="30">
        <v>780</v>
      </c>
      <c r="J25" s="30">
        <v>1680</v>
      </c>
      <c r="K25" s="30"/>
      <c r="L25" s="30"/>
      <c r="M25" s="30"/>
      <c r="N25" s="30"/>
      <c r="O25" s="30"/>
    </row>
    <row r="26" spans="2:15" x14ac:dyDescent="0.25">
      <c r="B26">
        <v>5</v>
      </c>
      <c r="C26">
        <v>1</v>
      </c>
      <c r="D26" s="39">
        <v>45961</v>
      </c>
      <c r="E26" s="30">
        <v>7100</v>
      </c>
      <c r="F26" s="30">
        <v>2000</v>
      </c>
      <c r="G26" s="30">
        <v>1200</v>
      </c>
      <c r="H26" s="30">
        <v>1440</v>
      </c>
      <c r="I26" s="30">
        <v>780</v>
      </c>
      <c r="J26" s="30">
        <v>1680</v>
      </c>
      <c r="K26" s="30"/>
      <c r="L26" s="30"/>
      <c r="M26" s="30"/>
      <c r="N26" s="30"/>
      <c r="O26" s="30"/>
    </row>
    <row r="27" spans="2:15" x14ac:dyDescent="0.25">
      <c r="B27">
        <v>6</v>
      </c>
      <c r="C27">
        <v>1</v>
      </c>
      <c r="D27" s="39">
        <v>45991</v>
      </c>
      <c r="E27" s="30">
        <v>7100</v>
      </c>
      <c r="F27" s="30">
        <v>2000</v>
      </c>
      <c r="G27" s="30">
        <v>1200</v>
      </c>
      <c r="H27" s="30">
        <v>1440</v>
      </c>
      <c r="I27" s="30">
        <v>780</v>
      </c>
      <c r="J27" s="30">
        <v>1680</v>
      </c>
      <c r="K27" s="30"/>
      <c r="L27" s="30"/>
      <c r="M27" s="30"/>
      <c r="N27" s="30"/>
      <c r="O27" s="30"/>
    </row>
    <row r="28" spans="2:15" x14ac:dyDescent="0.25">
      <c r="B28">
        <v>7</v>
      </c>
      <c r="C28">
        <v>1</v>
      </c>
      <c r="D28" s="39">
        <v>46022</v>
      </c>
      <c r="E28" s="30">
        <v>7100</v>
      </c>
      <c r="F28" s="30">
        <v>2000</v>
      </c>
      <c r="G28" s="30">
        <v>1200</v>
      </c>
      <c r="H28" s="30">
        <v>1440</v>
      </c>
      <c r="I28" s="30">
        <v>780</v>
      </c>
      <c r="J28" s="30">
        <v>1680</v>
      </c>
      <c r="K28" s="30"/>
      <c r="L28" s="30"/>
      <c r="M28" s="30"/>
      <c r="N28" s="30"/>
      <c r="O28" s="30"/>
    </row>
    <row r="29" spans="2:15" x14ac:dyDescent="0.25">
      <c r="B29">
        <v>8</v>
      </c>
      <c r="C29">
        <v>1</v>
      </c>
      <c r="D29" s="39">
        <v>46053</v>
      </c>
      <c r="E29" s="30">
        <v>7100</v>
      </c>
      <c r="F29" s="30">
        <v>2000</v>
      </c>
      <c r="G29" s="30">
        <v>1200</v>
      </c>
      <c r="H29" s="41">
        <v>1440</v>
      </c>
      <c r="I29" s="30">
        <v>780</v>
      </c>
      <c r="J29" s="30">
        <v>1680</v>
      </c>
      <c r="K29" s="30"/>
      <c r="L29" s="30"/>
      <c r="M29" s="30"/>
      <c r="N29" s="30"/>
      <c r="O29" s="30"/>
    </row>
    <row r="30" spans="2:15" x14ac:dyDescent="0.25">
      <c r="B30">
        <v>9</v>
      </c>
      <c r="C30">
        <v>1</v>
      </c>
      <c r="D30" s="39">
        <v>46081</v>
      </c>
      <c r="E30" s="30">
        <v>7100</v>
      </c>
      <c r="F30" s="30">
        <v>2000</v>
      </c>
      <c r="G30" s="30">
        <v>1200</v>
      </c>
      <c r="H30" s="30">
        <v>1440</v>
      </c>
      <c r="I30" s="30">
        <v>780</v>
      </c>
      <c r="J30" s="30">
        <v>1680</v>
      </c>
      <c r="K30" s="30"/>
      <c r="L30" s="30"/>
      <c r="M30" s="30"/>
      <c r="N30" s="30"/>
      <c r="O30" s="30"/>
    </row>
    <row r="31" spans="2:15" x14ac:dyDescent="0.25">
      <c r="B31">
        <v>10</v>
      </c>
      <c r="C31">
        <v>1</v>
      </c>
      <c r="D31" s="39">
        <v>46112</v>
      </c>
      <c r="E31" s="30">
        <v>7100</v>
      </c>
      <c r="F31" s="30">
        <v>2000</v>
      </c>
      <c r="G31" s="30">
        <v>1200</v>
      </c>
      <c r="H31" s="30">
        <v>1440</v>
      </c>
      <c r="I31" s="30">
        <v>780</v>
      </c>
      <c r="J31" s="30">
        <v>1680</v>
      </c>
      <c r="K31" s="30"/>
      <c r="L31" s="30"/>
      <c r="M31" s="30"/>
      <c r="N31" s="30"/>
      <c r="O31" s="30"/>
    </row>
    <row r="32" spans="2:15" x14ac:dyDescent="0.25">
      <c r="B32">
        <v>11</v>
      </c>
      <c r="C32">
        <v>1</v>
      </c>
      <c r="D32" s="39">
        <v>46142</v>
      </c>
      <c r="E32" s="30">
        <v>7100</v>
      </c>
      <c r="F32" s="30">
        <v>2000</v>
      </c>
      <c r="G32" s="30">
        <v>1200</v>
      </c>
      <c r="H32" s="30">
        <v>1440</v>
      </c>
      <c r="I32" s="30">
        <v>780</v>
      </c>
      <c r="J32" s="30">
        <v>1680</v>
      </c>
      <c r="K32" s="30"/>
      <c r="L32" s="30"/>
      <c r="M32" s="30"/>
      <c r="N32" s="30"/>
      <c r="O32" s="30"/>
    </row>
    <row r="33" spans="2:15" x14ac:dyDescent="0.25">
      <c r="B33">
        <v>12</v>
      </c>
      <c r="C33">
        <v>1</v>
      </c>
      <c r="D33" s="39">
        <v>46173</v>
      </c>
      <c r="E33" s="30">
        <v>7100</v>
      </c>
      <c r="F33" s="30">
        <v>2000</v>
      </c>
      <c r="G33" s="30">
        <v>1200</v>
      </c>
      <c r="H33" s="30">
        <v>1440</v>
      </c>
      <c r="I33" s="30">
        <v>780</v>
      </c>
      <c r="J33" s="30">
        <v>1680</v>
      </c>
      <c r="K33" s="30"/>
      <c r="L33" s="30"/>
      <c r="M33" s="30"/>
      <c r="N33" s="30"/>
      <c r="O33" s="30"/>
    </row>
    <row r="34" spans="2:15" x14ac:dyDescent="0.25">
      <c r="B34">
        <v>13</v>
      </c>
      <c r="C34">
        <v>2</v>
      </c>
      <c r="D34" s="39">
        <v>46203</v>
      </c>
      <c r="E34" s="30">
        <v>7348.5</v>
      </c>
      <c r="F34" s="30">
        <v>2070</v>
      </c>
      <c r="G34" s="30">
        <v>1242</v>
      </c>
      <c r="H34" s="30">
        <v>1490.3999999999999</v>
      </c>
      <c r="I34" s="30">
        <v>807.3</v>
      </c>
      <c r="J34" s="30">
        <v>1738.8</v>
      </c>
      <c r="K34" s="30"/>
      <c r="L34" s="30"/>
      <c r="M34" s="30"/>
      <c r="N34" s="30"/>
      <c r="O34" s="30"/>
    </row>
    <row r="35" spans="2:15" x14ac:dyDescent="0.25">
      <c r="B35">
        <v>14</v>
      </c>
      <c r="C35">
        <v>2</v>
      </c>
      <c r="D35" s="39">
        <v>46234</v>
      </c>
      <c r="E35" s="30">
        <v>7348.5</v>
      </c>
      <c r="F35" s="30">
        <v>2070</v>
      </c>
      <c r="G35" s="30">
        <v>1242</v>
      </c>
      <c r="H35" s="30">
        <v>1490.3999999999999</v>
      </c>
      <c r="I35" s="30">
        <v>807.3</v>
      </c>
      <c r="J35" s="30">
        <v>1738.8</v>
      </c>
      <c r="K35" s="30"/>
      <c r="L35" s="30"/>
      <c r="M35" s="30"/>
      <c r="N35" s="30"/>
      <c r="O35" s="30"/>
    </row>
    <row r="36" spans="2:15" x14ac:dyDescent="0.25">
      <c r="B36">
        <v>15</v>
      </c>
      <c r="C36">
        <v>2</v>
      </c>
      <c r="D36" s="39">
        <v>46265</v>
      </c>
      <c r="E36" s="30">
        <v>7348.5</v>
      </c>
      <c r="F36" s="30">
        <v>2070</v>
      </c>
      <c r="G36" s="30">
        <v>1242</v>
      </c>
      <c r="H36" s="30">
        <v>1490.3999999999999</v>
      </c>
      <c r="I36" s="30">
        <v>807.3</v>
      </c>
      <c r="J36" s="30">
        <v>1738.8</v>
      </c>
      <c r="K36" s="30"/>
      <c r="L36" s="30"/>
      <c r="M36" s="30"/>
      <c r="N36" s="30"/>
      <c r="O36" s="30"/>
    </row>
    <row r="37" spans="2:15" x14ac:dyDescent="0.25">
      <c r="B37">
        <v>16</v>
      </c>
      <c r="C37">
        <v>2</v>
      </c>
      <c r="D37" s="39">
        <v>46295</v>
      </c>
      <c r="E37" s="30">
        <v>7348.5</v>
      </c>
      <c r="F37" s="30">
        <v>2070</v>
      </c>
      <c r="G37" s="30">
        <v>1242</v>
      </c>
      <c r="H37" s="30">
        <v>1490.3999999999999</v>
      </c>
      <c r="I37" s="30">
        <v>807.3</v>
      </c>
      <c r="J37" s="30">
        <v>1738.8</v>
      </c>
      <c r="K37" s="30"/>
      <c r="L37" s="30"/>
      <c r="M37" s="30"/>
      <c r="N37" s="30"/>
      <c r="O37" s="30"/>
    </row>
    <row r="38" spans="2:15" x14ac:dyDescent="0.25">
      <c r="B38">
        <v>17</v>
      </c>
      <c r="C38">
        <v>2</v>
      </c>
      <c r="D38" s="39">
        <v>46326</v>
      </c>
      <c r="E38" s="30">
        <v>7348.5</v>
      </c>
      <c r="F38" s="30">
        <v>2070</v>
      </c>
      <c r="G38" s="30">
        <v>1242</v>
      </c>
      <c r="H38" s="30">
        <v>1490.3999999999999</v>
      </c>
      <c r="I38" s="30">
        <v>807.3</v>
      </c>
      <c r="J38" s="30">
        <v>1738.8</v>
      </c>
      <c r="K38" s="30"/>
      <c r="L38" s="30"/>
      <c r="M38" s="30"/>
      <c r="N38" s="30"/>
      <c r="O38" s="30"/>
    </row>
    <row r="39" spans="2:15" x14ac:dyDescent="0.25">
      <c r="B39">
        <v>18</v>
      </c>
      <c r="C39">
        <v>2</v>
      </c>
      <c r="D39" s="39">
        <v>46356</v>
      </c>
      <c r="E39" s="30">
        <v>7348.5</v>
      </c>
      <c r="F39" s="30">
        <v>2070</v>
      </c>
      <c r="G39" s="30">
        <v>1242</v>
      </c>
      <c r="H39" s="30">
        <v>1490.3999999999999</v>
      </c>
      <c r="I39" s="30">
        <v>807.3</v>
      </c>
      <c r="J39" s="30">
        <v>1738.8</v>
      </c>
      <c r="K39" s="30"/>
      <c r="L39" s="30"/>
      <c r="M39" s="30"/>
      <c r="N39" s="30"/>
      <c r="O39" s="30"/>
    </row>
    <row r="40" spans="2:15" x14ac:dyDescent="0.25">
      <c r="B40">
        <v>19</v>
      </c>
      <c r="C40">
        <v>2</v>
      </c>
      <c r="D40" s="39">
        <v>46387</v>
      </c>
      <c r="E40" s="30">
        <v>7348.5</v>
      </c>
      <c r="F40" s="30">
        <v>2070</v>
      </c>
      <c r="G40" s="30">
        <v>1242</v>
      </c>
      <c r="H40" s="30">
        <v>1490.3999999999999</v>
      </c>
      <c r="I40" s="30">
        <v>807.3</v>
      </c>
      <c r="J40" s="30">
        <v>1738.8</v>
      </c>
      <c r="K40" s="30"/>
      <c r="L40" s="30"/>
      <c r="M40" s="30"/>
      <c r="N40" s="30"/>
      <c r="O40" s="30"/>
    </row>
    <row r="41" spans="2:15" x14ac:dyDescent="0.25">
      <c r="B41">
        <v>20</v>
      </c>
      <c r="C41">
        <v>2</v>
      </c>
      <c r="D41" s="39">
        <v>46418</v>
      </c>
      <c r="E41" s="30">
        <v>7348.5</v>
      </c>
      <c r="F41" s="30">
        <v>2070</v>
      </c>
      <c r="G41" s="30">
        <v>1242</v>
      </c>
      <c r="H41" s="30">
        <v>1490.3999999999999</v>
      </c>
      <c r="I41" s="30">
        <v>807.3</v>
      </c>
      <c r="J41" s="30">
        <v>1738.8</v>
      </c>
      <c r="K41" s="30"/>
      <c r="L41" s="30"/>
      <c r="M41" s="30"/>
      <c r="N41" s="30"/>
      <c r="O41" s="30"/>
    </row>
    <row r="42" spans="2:15" x14ac:dyDescent="0.25">
      <c r="B42">
        <v>21</v>
      </c>
      <c r="C42">
        <v>2</v>
      </c>
      <c r="D42" s="39">
        <v>46446</v>
      </c>
      <c r="E42" s="30">
        <v>7348.5</v>
      </c>
      <c r="F42" s="30">
        <v>2070</v>
      </c>
      <c r="G42" s="30">
        <v>1242</v>
      </c>
      <c r="H42" s="30">
        <v>1490.3999999999999</v>
      </c>
      <c r="I42" s="30">
        <v>807.3</v>
      </c>
      <c r="J42" s="30">
        <v>1738.8</v>
      </c>
      <c r="K42" s="30"/>
      <c r="L42" s="30"/>
      <c r="M42" s="30"/>
      <c r="N42" s="30"/>
      <c r="O42" s="30"/>
    </row>
    <row r="43" spans="2:15" x14ac:dyDescent="0.25">
      <c r="B43">
        <v>22</v>
      </c>
      <c r="C43">
        <v>2</v>
      </c>
      <c r="D43" s="39">
        <v>46477</v>
      </c>
      <c r="E43" s="30">
        <v>7348.5</v>
      </c>
      <c r="F43" s="30">
        <v>2070</v>
      </c>
      <c r="G43" s="30">
        <v>1242</v>
      </c>
      <c r="H43" s="30">
        <v>1490.3999999999999</v>
      </c>
      <c r="I43" s="30">
        <v>807.3</v>
      </c>
      <c r="J43" s="30">
        <v>1738.8</v>
      </c>
      <c r="K43" s="30"/>
      <c r="L43" s="30"/>
      <c r="M43" s="30"/>
      <c r="N43" s="30"/>
      <c r="O43" s="30"/>
    </row>
    <row r="44" spans="2:15" x14ac:dyDescent="0.25">
      <c r="B44">
        <v>23</v>
      </c>
      <c r="C44">
        <v>2</v>
      </c>
      <c r="D44" s="39">
        <v>46507</v>
      </c>
      <c r="E44" s="30">
        <v>7348.5</v>
      </c>
      <c r="F44" s="30">
        <v>2070</v>
      </c>
      <c r="G44" s="30">
        <v>1242</v>
      </c>
      <c r="H44" s="30">
        <v>1490.3999999999999</v>
      </c>
      <c r="I44" s="30">
        <v>807.3</v>
      </c>
      <c r="J44" s="30">
        <v>1738.8</v>
      </c>
      <c r="K44" s="30"/>
      <c r="L44" s="30"/>
      <c r="M44" s="30"/>
      <c r="N44" s="30"/>
      <c r="O44" s="30"/>
    </row>
    <row r="45" spans="2:15" x14ac:dyDescent="0.25">
      <c r="B45">
        <v>24</v>
      </c>
      <c r="C45">
        <v>2</v>
      </c>
      <c r="D45" s="39">
        <v>46538</v>
      </c>
      <c r="E45" s="30">
        <v>7348.5</v>
      </c>
      <c r="F45" s="30">
        <v>2070</v>
      </c>
      <c r="G45" s="30">
        <v>1242</v>
      </c>
      <c r="H45" s="30">
        <v>1490.3999999999999</v>
      </c>
      <c r="I45" s="30">
        <v>807.3</v>
      </c>
      <c r="J45" s="30">
        <v>1738.8</v>
      </c>
      <c r="K45" s="30"/>
      <c r="L45" s="30"/>
      <c r="M45" s="30"/>
      <c r="N45" s="30"/>
      <c r="O45" s="30"/>
    </row>
    <row r="46" spans="2:15" x14ac:dyDescent="0.25">
      <c r="B46">
        <v>25</v>
      </c>
      <c r="C46">
        <v>3</v>
      </c>
      <c r="D46" s="39">
        <v>46568</v>
      </c>
      <c r="E46" s="30">
        <v>7605.6974999999984</v>
      </c>
      <c r="F46" s="30">
        <v>2142.4499999999998</v>
      </c>
      <c r="G46" s="30">
        <v>1285.4699999999998</v>
      </c>
      <c r="H46" s="30">
        <v>1542.5639999999999</v>
      </c>
      <c r="I46" s="30">
        <v>835.55549999999994</v>
      </c>
      <c r="J46" s="30">
        <v>1799.6579999999997</v>
      </c>
      <c r="K46" s="30"/>
      <c r="L46" s="30"/>
      <c r="M46" s="30"/>
      <c r="N46" s="30"/>
      <c r="O46" s="30"/>
    </row>
    <row r="47" spans="2:15" x14ac:dyDescent="0.25">
      <c r="B47">
        <v>26</v>
      </c>
      <c r="C47">
        <v>3</v>
      </c>
      <c r="D47" s="39">
        <v>46599</v>
      </c>
      <c r="E47" s="30">
        <v>7605.6974999999984</v>
      </c>
      <c r="F47" s="30">
        <v>2142.4499999999998</v>
      </c>
      <c r="G47" s="30">
        <v>1285.4699999999998</v>
      </c>
      <c r="H47" s="30">
        <v>1542.5639999999999</v>
      </c>
      <c r="I47" s="30">
        <v>835.55549999999994</v>
      </c>
      <c r="J47" s="30">
        <v>1799.6579999999997</v>
      </c>
      <c r="K47" s="30"/>
      <c r="L47" s="30"/>
      <c r="M47" s="30"/>
      <c r="N47" s="30"/>
      <c r="O47" s="30"/>
    </row>
    <row r="48" spans="2:15" x14ac:dyDescent="0.25">
      <c r="B48">
        <v>27</v>
      </c>
      <c r="C48">
        <v>3</v>
      </c>
      <c r="D48" s="39">
        <v>46630</v>
      </c>
      <c r="E48" s="30">
        <v>7605.6974999999984</v>
      </c>
      <c r="F48" s="30">
        <v>2142.4499999999998</v>
      </c>
      <c r="G48" s="30">
        <v>1285.4699999999998</v>
      </c>
      <c r="H48" s="30">
        <v>1542.5639999999999</v>
      </c>
      <c r="I48" s="30">
        <v>835.55549999999994</v>
      </c>
      <c r="J48" s="30">
        <v>1799.6579999999997</v>
      </c>
      <c r="K48" s="30"/>
      <c r="L48" s="30"/>
      <c r="M48" s="30"/>
      <c r="N48" s="30"/>
      <c r="O48" s="30"/>
    </row>
    <row r="49" spans="2:15" x14ac:dyDescent="0.25">
      <c r="B49">
        <v>28</v>
      </c>
      <c r="C49">
        <v>3</v>
      </c>
      <c r="D49" s="39">
        <v>46660</v>
      </c>
      <c r="E49" s="30">
        <v>7605.6974999999984</v>
      </c>
      <c r="F49" s="30">
        <v>2142.4499999999998</v>
      </c>
      <c r="G49" s="30">
        <v>1285.4699999999998</v>
      </c>
      <c r="H49" s="30">
        <v>1542.5639999999999</v>
      </c>
      <c r="I49" s="30">
        <v>835.55549999999994</v>
      </c>
      <c r="J49" s="30">
        <v>1799.6579999999997</v>
      </c>
      <c r="K49" s="30"/>
      <c r="L49" s="30"/>
      <c r="M49" s="30"/>
      <c r="N49" s="30"/>
      <c r="O49" s="30"/>
    </row>
    <row r="50" spans="2:15" x14ac:dyDescent="0.25">
      <c r="B50">
        <v>29</v>
      </c>
      <c r="C50">
        <v>3</v>
      </c>
      <c r="D50" s="39">
        <v>46691</v>
      </c>
      <c r="E50" s="30">
        <v>7605.6974999999984</v>
      </c>
      <c r="F50" s="30">
        <v>2142.4499999999998</v>
      </c>
      <c r="G50" s="30">
        <v>1285.4699999999998</v>
      </c>
      <c r="H50" s="30">
        <v>1542.5639999999999</v>
      </c>
      <c r="I50" s="30">
        <v>835.55549999999994</v>
      </c>
      <c r="J50" s="30">
        <v>1799.6579999999997</v>
      </c>
      <c r="K50" s="30"/>
      <c r="L50" s="30"/>
      <c r="M50" s="30"/>
      <c r="N50" s="30"/>
      <c r="O50" s="30"/>
    </row>
    <row r="51" spans="2:15" x14ac:dyDescent="0.25">
      <c r="B51">
        <v>30</v>
      </c>
      <c r="C51">
        <v>3</v>
      </c>
      <c r="D51" s="39">
        <v>46721</v>
      </c>
      <c r="E51" s="30">
        <v>7605.6974999999984</v>
      </c>
      <c r="F51" s="30">
        <v>2142.4499999999998</v>
      </c>
      <c r="G51" s="30">
        <v>1285.4699999999998</v>
      </c>
      <c r="H51" s="30">
        <v>1542.5639999999999</v>
      </c>
      <c r="I51" s="30">
        <v>835.55549999999994</v>
      </c>
      <c r="J51" s="30">
        <v>1799.6579999999997</v>
      </c>
      <c r="K51" s="30"/>
      <c r="L51" s="30"/>
      <c r="M51" s="30"/>
      <c r="N51" s="30"/>
      <c r="O51" s="30"/>
    </row>
    <row r="52" spans="2:15" x14ac:dyDescent="0.25">
      <c r="B52">
        <v>31</v>
      </c>
      <c r="C52">
        <v>3</v>
      </c>
      <c r="D52" s="39">
        <v>46752</v>
      </c>
      <c r="E52" s="30">
        <v>7605.6974999999984</v>
      </c>
      <c r="F52" s="30">
        <v>2142.4499999999998</v>
      </c>
      <c r="G52" s="30">
        <v>1285.4699999999998</v>
      </c>
      <c r="H52" s="30">
        <v>1542.5639999999999</v>
      </c>
      <c r="I52" s="30">
        <v>835.55549999999994</v>
      </c>
      <c r="J52" s="30">
        <v>1799.6579999999997</v>
      </c>
      <c r="K52" s="30"/>
      <c r="L52" s="30"/>
      <c r="M52" s="30"/>
      <c r="N52" s="30"/>
      <c r="O52" s="30"/>
    </row>
    <row r="53" spans="2:15" x14ac:dyDescent="0.25">
      <c r="B53">
        <v>32</v>
      </c>
      <c r="C53">
        <v>3</v>
      </c>
      <c r="D53" s="39">
        <v>46783</v>
      </c>
      <c r="E53" s="30">
        <v>7605.6974999999984</v>
      </c>
      <c r="F53" s="30">
        <v>2142.4499999999998</v>
      </c>
      <c r="G53" s="30">
        <v>1285.4699999999998</v>
      </c>
      <c r="H53" s="30">
        <v>1542.5639999999999</v>
      </c>
      <c r="I53" s="30">
        <v>835.55549999999994</v>
      </c>
      <c r="J53" s="30">
        <v>1799.6579999999997</v>
      </c>
      <c r="K53" s="30"/>
      <c r="L53" s="30"/>
      <c r="M53" s="30"/>
      <c r="N53" s="30"/>
      <c r="O53" s="30"/>
    </row>
    <row r="54" spans="2:15" x14ac:dyDescent="0.25">
      <c r="B54">
        <v>33</v>
      </c>
      <c r="C54">
        <v>3</v>
      </c>
      <c r="D54" s="39">
        <v>46812</v>
      </c>
      <c r="E54" s="30">
        <v>7605.6974999999984</v>
      </c>
      <c r="F54" s="30">
        <v>2142.4499999999998</v>
      </c>
      <c r="G54" s="30">
        <v>1285.4699999999998</v>
      </c>
      <c r="H54" s="30">
        <v>1542.5639999999999</v>
      </c>
      <c r="I54" s="30">
        <v>835.55549999999994</v>
      </c>
      <c r="J54" s="30">
        <v>1799.6579999999997</v>
      </c>
      <c r="K54" s="30"/>
      <c r="L54" s="30"/>
      <c r="M54" s="30"/>
      <c r="N54" s="30"/>
      <c r="O54" s="30"/>
    </row>
    <row r="55" spans="2:15" x14ac:dyDescent="0.25">
      <c r="B55">
        <v>34</v>
      </c>
      <c r="C55">
        <v>3</v>
      </c>
      <c r="D55" s="39">
        <v>46843</v>
      </c>
      <c r="E55" s="30">
        <v>7605.6974999999984</v>
      </c>
      <c r="F55" s="30">
        <v>2142.4499999999998</v>
      </c>
      <c r="G55" s="30">
        <v>1285.4699999999998</v>
      </c>
      <c r="H55" s="30">
        <v>1542.5639999999999</v>
      </c>
      <c r="I55" s="30">
        <v>835.55549999999994</v>
      </c>
      <c r="J55" s="30">
        <v>1799.6579999999997</v>
      </c>
      <c r="K55" s="30"/>
      <c r="L55" s="30"/>
      <c r="M55" s="30"/>
      <c r="N55" s="30"/>
      <c r="O55" s="30"/>
    </row>
    <row r="56" spans="2:15" x14ac:dyDescent="0.25">
      <c r="B56">
        <v>35</v>
      </c>
      <c r="C56">
        <v>3</v>
      </c>
      <c r="D56" s="39">
        <v>46873</v>
      </c>
      <c r="E56" s="30">
        <v>7605.6974999999984</v>
      </c>
      <c r="F56" s="30">
        <v>2142.4499999999998</v>
      </c>
      <c r="G56" s="30">
        <v>1285.4699999999998</v>
      </c>
      <c r="H56" s="30">
        <v>1542.5639999999999</v>
      </c>
      <c r="I56" s="30">
        <v>835.55549999999994</v>
      </c>
      <c r="J56" s="30">
        <v>1799.6579999999997</v>
      </c>
      <c r="K56" s="30"/>
      <c r="L56" s="30"/>
      <c r="M56" s="30"/>
      <c r="N56" s="30"/>
      <c r="O56" s="30"/>
    </row>
    <row r="57" spans="2:15" x14ac:dyDescent="0.25">
      <c r="B57">
        <v>36</v>
      </c>
      <c r="C57">
        <v>3</v>
      </c>
      <c r="D57" s="39">
        <v>46904</v>
      </c>
      <c r="E57" s="30">
        <v>7605.6974999999984</v>
      </c>
      <c r="F57" s="30">
        <v>2142.4499999999998</v>
      </c>
      <c r="G57" s="30">
        <v>1285.4699999999998</v>
      </c>
      <c r="H57" s="30">
        <v>1542.5639999999999</v>
      </c>
      <c r="I57" s="30">
        <v>835.55549999999994</v>
      </c>
      <c r="J57" s="30">
        <v>1799.6579999999997</v>
      </c>
      <c r="K57" s="30"/>
      <c r="L57" s="30"/>
      <c r="M57" s="30"/>
      <c r="N57" s="30"/>
      <c r="O57" s="30"/>
    </row>
    <row r="58" spans="2:15" x14ac:dyDescent="0.25">
      <c r="B58">
        <v>37</v>
      </c>
      <c r="C58">
        <v>4</v>
      </c>
      <c r="D58" s="39">
        <v>46934</v>
      </c>
      <c r="E58" s="30">
        <v>7871.8969124999985</v>
      </c>
      <c r="F58" s="30">
        <v>2217.4357499999996</v>
      </c>
      <c r="G58" s="30">
        <v>1330.4614499999998</v>
      </c>
      <c r="H58" s="30">
        <v>1596.5537399999996</v>
      </c>
      <c r="I58" s="30">
        <v>864.79994249999982</v>
      </c>
      <c r="J58" s="30">
        <v>1862.6460299999997</v>
      </c>
      <c r="K58" s="30"/>
      <c r="L58" s="30"/>
      <c r="M58" s="30"/>
      <c r="N58" s="30"/>
      <c r="O58" s="30"/>
    </row>
    <row r="59" spans="2:15" x14ac:dyDescent="0.25">
      <c r="B59">
        <v>38</v>
      </c>
      <c r="C59">
        <v>4</v>
      </c>
      <c r="D59" s="39">
        <v>46965</v>
      </c>
      <c r="E59" s="30">
        <v>7871.8969124999985</v>
      </c>
      <c r="F59" s="30">
        <v>2217.4357499999996</v>
      </c>
      <c r="G59" s="30">
        <v>1330.4614499999998</v>
      </c>
      <c r="H59" s="30">
        <v>1596.5537399999996</v>
      </c>
      <c r="I59" s="30">
        <v>864.79994249999982</v>
      </c>
      <c r="J59" s="30">
        <v>1862.6460299999997</v>
      </c>
      <c r="K59" s="30"/>
      <c r="L59" s="30"/>
      <c r="M59" s="30"/>
      <c r="N59" s="30"/>
      <c r="O59" s="30"/>
    </row>
    <row r="60" spans="2:15" x14ac:dyDescent="0.25">
      <c r="B60">
        <v>39</v>
      </c>
      <c r="C60">
        <v>4</v>
      </c>
      <c r="D60" s="39">
        <v>46996</v>
      </c>
      <c r="E60" s="30">
        <v>7871.8969124999985</v>
      </c>
      <c r="F60" s="30">
        <v>2217.4357499999996</v>
      </c>
      <c r="G60" s="30">
        <v>1330.4614499999998</v>
      </c>
      <c r="H60" s="30">
        <v>1596.5537399999996</v>
      </c>
      <c r="I60" s="30">
        <v>864.79994249999982</v>
      </c>
      <c r="J60" s="30">
        <v>1862.6460299999997</v>
      </c>
      <c r="K60" s="30"/>
      <c r="L60" s="30"/>
      <c r="M60" s="30"/>
      <c r="N60" s="30"/>
      <c r="O60" s="30"/>
    </row>
    <row r="61" spans="2:15" x14ac:dyDescent="0.25">
      <c r="B61">
        <v>40</v>
      </c>
      <c r="C61">
        <v>4</v>
      </c>
      <c r="D61" s="39">
        <v>47026</v>
      </c>
      <c r="E61" s="30">
        <v>7871.8969124999985</v>
      </c>
      <c r="F61" s="30">
        <v>2217.4357499999996</v>
      </c>
      <c r="G61" s="30">
        <v>1330.4614499999998</v>
      </c>
      <c r="H61" s="30">
        <v>1596.5537399999996</v>
      </c>
      <c r="I61" s="30">
        <v>864.79994249999982</v>
      </c>
      <c r="J61" s="30">
        <v>1862.6460299999997</v>
      </c>
      <c r="K61" s="30"/>
      <c r="L61" s="30"/>
      <c r="M61" s="30"/>
      <c r="N61" s="30"/>
      <c r="O61" s="30"/>
    </row>
    <row r="62" spans="2:15" x14ac:dyDescent="0.25">
      <c r="B62">
        <v>41</v>
      </c>
      <c r="C62">
        <v>4</v>
      </c>
      <c r="D62" s="39">
        <v>47057</v>
      </c>
      <c r="E62" s="30">
        <v>7871.8969124999985</v>
      </c>
      <c r="F62" s="30">
        <v>2217.4357499999996</v>
      </c>
      <c r="G62" s="30">
        <v>1330.4614499999998</v>
      </c>
      <c r="H62" s="30">
        <v>1596.5537399999996</v>
      </c>
      <c r="I62" s="30">
        <v>864.79994249999982</v>
      </c>
      <c r="J62" s="30">
        <v>1862.6460299999997</v>
      </c>
      <c r="K62" s="30"/>
      <c r="L62" s="30"/>
      <c r="M62" s="30"/>
      <c r="N62" s="30"/>
      <c r="O62" s="30"/>
    </row>
    <row r="63" spans="2:15" x14ac:dyDescent="0.25">
      <c r="B63">
        <v>42</v>
      </c>
      <c r="C63">
        <v>4</v>
      </c>
      <c r="D63" s="39">
        <v>47087</v>
      </c>
      <c r="E63" s="30">
        <v>7871.8969124999985</v>
      </c>
      <c r="F63" s="30">
        <v>2217.4357499999996</v>
      </c>
      <c r="G63" s="30">
        <v>1330.4614499999998</v>
      </c>
      <c r="H63" s="30">
        <v>1596.5537399999996</v>
      </c>
      <c r="I63" s="30">
        <v>864.79994249999982</v>
      </c>
      <c r="J63" s="30">
        <v>1862.6460299999997</v>
      </c>
      <c r="K63" s="30"/>
      <c r="L63" s="30"/>
      <c r="M63" s="30"/>
      <c r="N63" s="30"/>
      <c r="O63" s="30"/>
    </row>
    <row r="64" spans="2:15" x14ac:dyDescent="0.25">
      <c r="B64">
        <v>43</v>
      </c>
      <c r="C64">
        <v>4</v>
      </c>
      <c r="D64" s="39">
        <v>47118</v>
      </c>
      <c r="E64" s="30">
        <v>7871.8969124999985</v>
      </c>
      <c r="F64" s="30">
        <v>2217.4357499999996</v>
      </c>
      <c r="G64" s="30">
        <v>1330.4614499999998</v>
      </c>
      <c r="H64" s="30">
        <v>1596.5537399999996</v>
      </c>
      <c r="I64" s="30">
        <v>864.79994249999982</v>
      </c>
      <c r="J64" s="30">
        <v>1862.6460299999997</v>
      </c>
      <c r="K64" s="30"/>
      <c r="L64" s="30"/>
      <c r="M64" s="30"/>
      <c r="N64" s="30"/>
      <c r="O64" s="30"/>
    </row>
    <row r="65" spans="2:15" x14ac:dyDescent="0.25">
      <c r="B65">
        <v>44</v>
      </c>
      <c r="C65">
        <v>4</v>
      </c>
      <c r="D65" s="39">
        <v>47149</v>
      </c>
      <c r="E65" s="30">
        <v>7871.8969124999985</v>
      </c>
      <c r="F65" s="30">
        <v>2217.4357499999996</v>
      </c>
      <c r="G65" s="30">
        <v>1330.4614499999998</v>
      </c>
      <c r="H65" s="30">
        <v>1596.5537399999996</v>
      </c>
      <c r="I65" s="30">
        <v>864.79994249999982</v>
      </c>
      <c r="J65" s="30">
        <v>1862.6460299999997</v>
      </c>
      <c r="K65" s="30"/>
      <c r="L65" s="30"/>
      <c r="M65" s="30"/>
      <c r="N65" s="30"/>
      <c r="O65" s="30"/>
    </row>
    <row r="66" spans="2:15" x14ac:dyDescent="0.25">
      <c r="B66">
        <v>45</v>
      </c>
      <c r="C66">
        <v>4</v>
      </c>
      <c r="D66" s="39">
        <v>47177</v>
      </c>
      <c r="E66" s="30">
        <v>7871.8969124999985</v>
      </c>
      <c r="F66" s="30">
        <v>2217.4357499999996</v>
      </c>
      <c r="G66" s="30">
        <v>1330.4614499999998</v>
      </c>
      <c r="H66" s="30">
        <v>1596.5537399999996</v>
      </c>
      <c r="I66" s="30">
        <v>864.79994249999982</v>
      </c>
      <c r="J66" s="30">
        <v>1862.6460299999997</v>
      </c>
      <c r="K66" s="30"/>
      <c r="L66" s="30"/>
      <c r="M66" s="30"/>
      <c r="N66" s="30"/>
      <c r="O66" s="30"/>
    </row>
    <row r="67" spans="2:15" x14ac:dyDescent="0.25">
      <c r="B67">
        <v>46</v>
      </c>
      <c r="C67">
        <v>4</v>
      </c>
      <c r="D67" s="39">
        <v>47208</v>
      </c>
      <c r="E67" s="30">
        <v>7871.8969124999985</v>
      </c>
      <c r="F67" s="30">
        <v>2217.4357499999996</v>
      </c>
      <c r="G67" s="30">
        <v>1330.4614499999998</v>
      </c>
      <c r="H67" s="30">
        <v>1596.5537399999996</v>
      </c>
      <c r="I67" s="30">
        <v>864.79994249999982</v>
      </c>
      <c r="J67" s="30">
        <v>1862.6460299999997</v>
      </c>
      <c r="K67" s="30"/>
      <c r="L67" s="30"/>
      <c r="M67" s="30"/>
      <c r="N67" s="30"/>
      <c r="O67" s="30"/>
    </row>
    <row r="68" spans="2:15" x14ac:dyDescent="0.25">
      <c r="B68">
        <v>47</v>
      </c>
      <c r="C68">
        <v>4</v>
      </c>
      <c r="D68" s="39">
        <v>47238</v>
      </c>
      <c r="E68" s="30">
        <v>7871.8969124999985</v>
      </c>
      <c r="F68" s="30">
        <v>2217.4357499999996</v>
      </c>
      <c r="G68" s="30">
        <v>1330.4614499999998</v>
      </c>
      <c r="H68" s="30">
        <v>1596.5537399999996</v>
      </c>
      <c r="I68" s="30">
        <v>864.79994249999982</v>
      </c>
      <c r="J68" s="30">
        <v>1862.6460299999997</v>
      </c>
      <c r="K68" s="30"/>
      <c r="L68" s="30"/>
      <c r="M68" s="30"/>
      <c r="N68" s="30"/>
      <c r="O68" s="30"/>
    </row>
    <row r="69" spans="2:15" x14ac:dyDescent="0.25">
      <c r="B69">
        <v>48</v>
      </c>
      <c r="C69">
        <v>4</v>
      </c>
      <c r="D69" s="39">
        <v>47269</v>
      </c>
      <c r="E69" s="30">
        <v>7871.8969124999985</v>
      </c>
      <c r="F69" s="30">
        <v>2217.4357499999996</v>
      </c>
      <c r="G69" s="30">
        <v>1330.4614499999998</v>
      </c>
      <c r="H69" s="30">
        <v>1596.5537399999996</v>
      </c>
      <c r="I69" s="30">
        <v>864.79994249999982</v>
      </c>
      <c r="J69" s="30">
        <v>1862.6460299999997</v>
      </c>
      <c r="K69" s="30"/>
      <c r="L69" s="30"/>
      <c r="M69" s="30"/>
      <c r="N69" s="30"/>
      <c r="O69" s="30"/>
    </row>
    <row r="70" spans="2:15" x14ac:dyDescent="0.25">
      <c r="B70">
        <v>49</v>
      </c>
      <c r="C70">
        <v>5</v>
      </c>
      <c r="D70" s="39">
        <v>47299</v>
      </c>
      <c r="E70" s="30">
        <v>8147.4133044374985</v>
      </c>
      <c r="F70" s="30">
        <v>2295.0460012499993</v>
      </c>
      <c r="G70" s="30">
        <v>1377.0276007499997</v>
      </c>
      <c r="H70" s="30">
        <v>1652.4331208999995</v>
      </c>
      <c r="I70" s="30">
        <v>895.06794048749975</v>
      </c>
      <c r="J70" s="30">
        <v>1927.8386410499995</v>
      </c>
      <c r="K70" s="30"/>
      <c r="L70" s="30"/>
      <c r="M70" s="30"/>
      <c r="N70" s="30"/>
      <c r="O70" s="30"/>
    </row>
    <row r="71" spans="2:15" x14ac:dyDescent="0.25">
      <c r="B71">
        <v>50</v>
      </c>
      <c r="C71">
        <v>5</v>
      </c>
      <c r="D71" s="39">
        <v>47330</v>
      </c>
      <c r="E71" s="30">
        <v>8147.4133044374985</v>
      </c>
      <c r="F71" s="30">
        <v>2295.0460012499993</v>
      </c>
      <c r="G71" s="30">
        <v>1377.0276007499997</v>
      </c>
      <c r="H71" s="30">
        <v>1652.4331208999995</v>
      </c>
      <c r="I71" s="30">
        <v>895.06794048749975</v>
      </c>
      <c r="J71" s="30">
        <v>1927.8386410499995</v>
      </c>
      <c r="K71" s="30"/>
      <c r="L71" s="30"/>
      <c r="M71" s="30"/>
      <c r="N71" s="30"/>
      <c r="O71" s="30"/>
    </row>
    <row r="72" spans="2:15" x14ac:dyDescent="0.25">
      <c r="B72">
        <v>51</v>
      </c>
      <c r="C72">
        <v>5</v>
      </c>
      <c r="D72" s="39">
        <v>47361</v>
      </c>
      <c r="E72" s="30">
        <v>8147.4133044374985</v>
      </c>
      <c r="F72" s="30">
        <v>2295.0460012499993</v>
      </c>
      <c r="G72" s="30">
        <v>1377.0276007499997</v>
      </c>
      <c r="H72" s="30">
        <v>1652.4331208999995</v>
      </c>
      <c r="I72" s="30">
        <v>895.06794048749975</v>
      </c>
      <c r="J72" s="30">
        <v>1927.8386410499995</v>
      </c>
      <c r="K72" s="30"/>
      <c r="L72" s="30"/>
      <c r="M72" s="30"/>
      <c r="N72" s="30"/>
      <c r="O72" s="30"/>
    </row>
    <row r="73" spans="2:15" x14ac:dyDescent="0.25">
      <c r="B73">
        <v>52</v>
      </c>
      <c r="C73">
        <v>5</v>
      </c>
      <c r="D73" s="39">
        <v>47391</v>
      </c>
      <c r="E73" s="30">
        <v>8147.4133044374985</v>
      </c>
      <c r="F73" s="30">
        <v>2295.0460012499993</v>
      </c>
      <c r="G73" s="30">
        <v>1377.0276007499997</v>
      </c>
      <c r="H73" s="30">
        <v>1652.4331208999995</v>
      </c>
      <c r="I73" s="30">
        <v>895.06794048749975</v>
      </c>
      <c r="J73" s="30">
        <v>1927.8386410499995</v>
      </c>
      <c r="K73" s="30"/>
      <c r="L73" s="30"/>
      <c r="M73" s="30"/>
      <c r="N73" s="30"/>
      <c r="O73" s="30"/>
    </row>
    <row r="74" spans="2:15" x14ac:dyDescent="0.25">
      <c r="B74">
        <v>53</v>
      </c>
      <c r="C74">
        <v>5</v>
      </c>
      <c r="D74" s="39">
        <v>47422</v>
      </c>
      <c r="E74" s="30">
        <v>8147.4133044374985</v>
      </c>
      <c r="F74" s="30">
        <v>2295.0460012499993</v>
      </c>
      <c r="G74" s="30">
        <v>1377.0276007499997</v>
      </c>
      <c r="H74" s="30">
        <v>1652.4331208999995</v>
      </c>
      <c r="I74" s="30">
        <v>895.06794048749975</v>
      </c>
      <c r="J74" s="30">
        <v>1927.8386410499995</v>
      </c>
      <c r="K74" s="30"/>
      <c r="L74" s="30"/>
      <c r="M74" s="30"/>
      <c r="N74" s="30"/>
      <c r="O74" s="30"/>
    </row>
    <row r="75" spans="2:15" x14ac:dyDescent="0.25">
      <c r="B75">
        <v>54</v>
      </c>
      <c r="C75">
        <v>5</v>
      </c>
      <c r="D75" s="39">
        <v>47452</v>
      </c>
      <c r="E75" s="30">
        <v>8147.4133044374985</v>
      </c>
      <c r="F75" s="30">
        <v>2295.0460012499993</v>
      </c>
      <c r="G75" s="30">
        <v>1377.0276007499997</v>
      </c>
      <c r="H75" s="30">
        <v>1652.4331208999995</v>
      </c>
      <c r="I75" s="30">
        <v>895.06794048749975</v>
      </c>
      <c r="J75" s="30">
        <v>1927.8386410499995</v>
      </c>
      <c r="K75" s="30"/>
      <c r="L75" s="30"/>
      <c r="M75" s="30"/>
      <c r="N75" s="30"/>
      <c r="O75" s="30"/>
    </row>
    <row r="76" spans="2:15" x14ac:dyDescent="0.25">
      <c r="B76">
        <v>55</v>
      </c>
      <c r="C76">
        <v>5</v>
      </c>
      <c r="D76" s="39">
        <v>47483</v>
      </c>
      <c r="E76" s="30">
        <v>8147.4133044374985</v>
      </c>
      <c r="F76" s="30">
        <v>2295.0460012499993</v>
      </c>
      <c r="G76" s="30">
        <v>1377.0276007499997</v>
      </c>
      <c r="H76" s="30">
        <v>1652.4331208999995</v>
      </c>
      <c r="I76" s="30">
        <v>895.06794048749975</v>
      </c>
      <c r="J76" s="30">
        <v>1927.8386410499995</v>
      </c>
      <c r="K76" s="30"/>
      <c r="L76" s="30"/>
      <c r="M76" s="30"/>
      <c r="N76" s="30"/>
      <c r="O76" s="30"/>
    </row>
    <row r="77" spans="2:15" x14ac:dyDescent="0.25">
      <c r="B77">
        <v>56</v>
      </c>
      <c r="C77">
        <v>5</v>
      </c>
      <c r="D77" s="39">
        <v>47514</v>
      </c>
      <c r="E77" s="30">
        <v>8147.4133044374985</v>
      </c>
      <c r="F77" s="30">
        <v>2295.0460012499993</v>
      </c>
      <c r="G77" s="30">
        <v>1377.0276007499997</v>
      </c>
      <c r="H77" s="30">
        <v>1652.4331208999995</v>
      </c>
      <c r="I77" s="30">
        <v>895.06794048749975</v>
      </c>
      <c r="J77" s="30">
        <v>1927.8386410499995</v>
      </c>
      <c r="K77" s="30"/>
      <c r="L77" s="30"/>
      <c r="M77" s="30"/>
      <c r="N77" s="30"/>
      <c r="O77" s="30"/>
    </row>
    <row r="78" spans="2:15" x14ac:dyDescent="0.25">
      <c r="B78">
        <v>57</v>
      </c>
      <c r="C78">
        <v>5</v>
      </c>
      <c r="D78" s="39">
        <v>47542</v>
      </c>
      <c r="E78" s="30">
        <v>8147.4133044374985</v>
      </c>
      <c r="F78" s="30">
        <v>2295.0460012499993</v>
      </c>
      <c r="G78" s="30">
        <v>1377.0276007499997</v>
      </c>
      <c r="H78" s="30">
        <v>1652.4331208999995</v>
      </c>
      <c r="I78" s="30">
        <v>895.06794048749975</v>
      </c>
      <c r="J78" s="30">
        <v>1927.8386410499995</v>
      </c>
      <c r="K78" s="30"/>
      <c r="L78" s="30"/>
      <c r="M78" s="30"/>
      <c r="N78" s="30"/>
      <c r="O78" s="30"/>
    </row>
    <row r="79" spans="2:15" x14ac:dyDescent="0.25">
      <c r="B79">
        <v>58</v>
      </c>
      <c r="C79">
        <v>5</v>
      </c>
      <c r="D79" s="39">
        <v>47573</v>
      </c>
      <c r="E79" s="30">
        <v>8147.4133044374985</v>
      </c>
      <c r="F79" s="30">
        <v>2295.0460012499993</v>
      </c>
      <c r="G79" s="30">
        <v>1377.0276007499997</v>
      </c>
      <c r="H79" s="30">
        <v>1652.4331208999995</v>
      </c>
      <c r="I79" s="30">
        <v>895.06794048749975</v>
      </c>
      <c r="J79" s="30">
        <v>1927.8386410499995</v>
      </c>
      <c r="K79" s="30"/>
      <c r="L79" s="30"/>
      <c r="M79" s="30"/>
      <c r="N79" s="30"/>
      <c r="O79" s="30"/>
    </row>
    <row r="80" spans="2:15" x14ac:dyDescent="0.25">
      <c r="B80">
        <v>59</v>
      </c>
      <c r="C80">
        <v>5</v>
      </c>
      <c r="D80" s="39">
        <v>47603</v>
      </c>
      <c r="E80" s="30">
        <v>8147.4133044374985</v>
      </c>
      <c r="F80" s="30">
        <v>2295.0460012499993</v>
      </c>
      <c r="G80" s="30">
        <v>1377.0276007499997</v>
      </c>
      <c r="H80" s="30">
        <v>1652.4331208999995</v>
      </c>
      <c r="I80" s="30">
        <v>895.06794048749975</v>
      </c>
      <c r="J80" s="30">
        <v>1927.8386410499995</v>
      </c>
      <c r="K80" s="30"/>
      <c r="L80" s="30"/>
      <c r="M80" s="30"/>
      <c r="N80" s="30"/>
      <c r="O80" s="30"/>
    </row>
    <row r="81" spans="2:15" x14ac:dyDescent="0.25">
      <c r="B81">
        <v>60</v>
      </c>
      <c r="C81">
        <v>5</v>
      </c>
      <c r="D81" s="39">
        <v>47634</v>
      </c>
      <c r="E81" s="30">
        <v>8147.4133044374985</v>
      </c>
      <c r="F81" s="30">
        <v>2295.0460012499993</v>
      </c>
      <c r="G81" s="30">
        <v>1377.0276007499997</v>
      </c>
      <c r="H81" s="30">
        <v>1652.4331208999995</v>
      </c>
      <c r="I81" s="30">
        <v>895.06794048749975</v>
      </c>
      <c r="J81" s="30">
        <v>1927.8386410499995</v>
      </c>
      <c r="K81" s="30"/>
      <c r="L81" s="30"/>
      <c r="M81" s="30"/>
      <c r="N81" s="30"/>
      <c r="O81" s="30"/>
    </row>
    <row r="82" spans="2:15" x14ac:dyDescent="0.25">
      <c r="B82">
        <v>61</v>
      </c>
      <c r="C82">
        <v>6</v>
      </c>
      <c r="D82" s="39">
        <v>47664</v>
      </c>
      <c r="E82" s="30">
        <v>8432.5727700928092</v>
      </c>
      <c r="F82" s="30">
        <v>2375.3726112937488</v>
      </c>
      <c r="G82" s="30">
        <v>1425.2235667762493</v>
      </c>
      <c r="H82" s="30">
        <v>1710.2682801314993</v>
      </c>
      <c r="I82" s="30">
        <v>926.39531840456209</v>
      </c>
      <c r="J82" s="30">
        <v>1995.3129934867491</v>
      </c>
      <c r="K82" s="30"/>
      <c r="L82" s="30"/>
      <c r="M82" s="30"/>
      <c r="N82" s="30"/>
      <c r="O82" s="30"/>
    </row>
    <row r="83" spans="2:15" x14ac:dyDescent="0.25">
      <c r="B83">
        <v>62</v>
      </c>
      <c r="C83">
        <v>6</v>
      </c>
      <c r="D83" s="39">
        <v>47695</v>
      </c>
      <c r="E83" s="30">
        <v>8432.5727700928092</v>
      </c>
      <c r="F83" s="30">
        <v>2375.3726112937488</v>
      </c>
      <c r="G83" s="30">
        <v>1425.2235667762493</v>
      </c>
      <c r="H83" s="30">
        <v>1710.2682801314993</v>
      </c>
      <c r="I83" s="30">
        <v>926.39531840456209</v>
      </c>
      <c r="J83" s="30">
        <v>1995.3129934867491</v>
      </c>
      <c r="K83" s="30"/>
      <c r="L83" s="30"/>
      <c r="M83" s="30"/>
      <c r="N83" s="30"/>
      <c r="O83" s="30"/>
    </row>
    <row r="84" spans="2:15" x14ac:dyDescent="0.25">
      <c r="B84">
        <v>63</v>
      </c>
      <c r="C84">
        <v>6</v>
      </c>
      <c r="D84" s="39">
        <v>47726</v>
      </c>
      <c r="E84" s="30">
        <v>8432.5727700928092</v>
      </c>
      <c r="F84" s="30">
        <v>2375.3726112937488</v>
      </c>
      <c r="G84" s="30">
        <v>1425.2235667762493</v>
      </c>
      <c r="H84" s="30">
        <v>1710.2682801314993</v>
      </c>
      <c r="I84" s="30">
        <v>926.39531840456209</v>
      </c>
      <c r="J84" s="30">
        <v>1995.3129934867491</v>
      </c>
      <c r="K84" s="30"/>
      <c r="L84" s="30"/>
      <c r="M84" s="30"/>
      <c r="N84" s="30"/>
      <c r="O84" s="30"/>
    </row>
    <row r="85" spans="2:15" x14ac:dyDescent="0.25">
      <c r="B85">
        <v>64</v>
      </c>
      <c r="C85">
        <v>6</v>
      </c>
      <c r="D85" s="39">
        <v>47756</v>
      </c>
      <c r="E85" s="30">
        <v>8432.5727700928092</v>
      </c>
      <c r="F85" s="30">
        <v>2375.3726112937488</v>
      </c>
      <c r="G85" s="30">
        <v>1425.2235667762493</v>
      </c>
      <c r="H85" s="30">
        <v>1710.2682801314993</v>
      </c>
      <c r="I85" s="30">
        <v>926.39531840456209</v>
      </c>
      <c r="J85" s="30">
        <v>1995.3129934867491</v>
      </c>
      <c r="K85" s="30"/>
      <c r="L85" s="30"/>
      <c r="M85" s="30"/>
      <c r="N85" s="30"/>
      <c r="O85" s="30"/>
    </row>
    <row r="86" spans="2:15" x14ac:dyDescent="0.25">
      <c r="B86">
        <v>65</v>
      </c>
      <c r="C86">
        <v>6</v>
      </c>
      <c r="D86" s="39">
        <v>47787</v>
      </c>
      <c r="E86" s="30">
        <v>8432.5727700928092</v>
      </c>
      <c r="F86" s="30">
        <v>2375.3726112937488</v>
      </c>
      <c r="G86" s="30">
        <v>1425.2235667762493</v>
      </c>
      <c r="H86" s="30">
        <v>1710.2682801314993</v>
      </c>
      <c r="I86" s="30">
        <v>926.39531840456209</v>
      </c>
      <c r="J86" s="30">
        <v>1995.3129934867491</v>
      </c>
      <c r="K86" s="30"/>
      <c r="L86" s="30"/>
      <c r="M86" s="30"/>
      <c r="N86" s="30"/>
      <c r="O86" s="30"/>
    </row>
    <row r="87" spans="2:15" x14ac:dyDescent="0.25">
      <c r="B87">
        <v>66</v>
      </c>
      <c r="C87">
        <v>6</v>
      </c>
      <c r="D87" s="39">
        <v>47817</v>
      </c>
      <c r="E87" s="30">
        <v>8432.5727700928092</v>
      </c>
      <c r="F87" s="30">
        <v>2375.3726112937488</v>
      </c>
      <c r="G87" s="30">
        <v>1425.2235667762493</v>
      </c>
      <c r="H87" s="30">
        <v>1710.2682801314993</v>
      </c>
      <c r="I87" s="30">
        <v>926.39531840456209</v>
      </c>
      <c r="J87" s="30">
        <v>1995.3129934867491</v>
      </c>
      <c r="K87" s="30"/>
      <c r="L87" s="30"/>
      <c r="M87" s="30"/>
      <c r="N87" s="30"/>
      <c r="O87" s="30"/>
    </row>
    <row r="88" spans="2:15" x14ac:dyDescent="0.25">
      <c r="B88">
        <v>67</v>
      </c>
      <c r="C88">
        <v>6</v>
      </c>
      <c r="D88" s="39">
        <v>47848</v>
      </c>
      <c r="E88" s="30">
        <v>8432.5727700928092</v>
      </c>
      <c r="F88" s="30">
        <v>2375.3726112937488</v>
      </c>
      <c r="G88" s="30">
        <v>1425.2235667762493</v>
      </c>
      <c r="H88" s="30">
        <v>1710.2682801314993</v>
      </c>
      <c r="I88" s="30">
        <v>926.39531840456209</v>
      </c>
      <c r="J88" s="30">
        <v>1995.3129934867491</v>
      </c>
      <c r="K88" s="30"/>
      <c r="L88" s="30"/>
      <c r="M88" s="30"/>
      <c r="N88" s="30"/>
      <c r="O88" s="30"/>
    </row>
    <row r="89" spans="2:15" x14ac:dyDescent="0.25">
      <c r="B89">
        <v>68</v>
      </c>
      <c r="C89">
        <v>6</v>
      </c>
      <c r="D89" s="39">
        <v>47879</v>
      </c>
      <c r="E89" s="30">
        <v>8432.5727700928092</v>
      </c>
      <c r="F89" s="30">
        <v>2375.3726112937488</v>
      </c>
      <c r="G89" s="30">
        <v>1425.2235667762493</v>
      </c>
      <c r="H89" s="30">
        <v>1710.2682801314993</v>
      </c>
      <c r="I89" s="30">
        <v>926.39531840456209</v>
      </c>
      <c r="J89" s="30">
        <v>1995.3129934867491</v>
      </c>
      <c r="K89" s="30"/>
      <c r="L89" s="30"/>
      <c r="M89" s="30"/>
      <c r="N89" s="30"/>
      <c r="O89" s="30"/>
    </row>
    <row r="90" spans="2:15" x14ac:dyDescent="0.25">
      <c r="B90">
        <v>69</v>
      </c>
      <c r="C90">
        <v>6</v>
      </c>
      <c r="D90" s="39">
        <v>47907</v>
      </c>
      <c r="E90" s="30">
        <v>8432.5727700928092</v>
      </c>
      <c r="F90" s="30">
        <v>2375.3726112937488</v>
      </c>
      <c r="G90" s="30">
        <v>1425.2235667762493</v>
      </c>
      <c r="H90" s="30">
        <v>1710.2682801314993</v>
      </c>
      <c r="I90" s="30">
        <v>926.39531840456209</v>
      </c>
      <c r="J90" s="30">
        <v>1995.3129934867491</v>
      </c>
      <c r="K90" s="30"/>
      <c r="L90" s="30"/>
      <c r="M90" s="30"/>
      <c r="N90" s="30"/>
      <c r="O90" s="30"/>
    </row>
    <row r="91" spans="2:15" x14ac:dyDescent="0.25">
      <c r="B91">
        <v>70</v>
      </c>
      <c r="C91">
        <v>6</v>
      </c>
      <c r="D91" s="39">
        <v>47938</v>
      </c>
      <c r="E91" s="30">
        <v>8432.5727700928092</v>
      </c>
      <c r="F91" s="30">
        <v>2375.3726112937488</v>
      </c>
      <c r="G91" s="30">
        <v>1425.2235667762493</v>
      </c>
      <c r="H91" s="30">
        <v>1710.2682801314993</v>
      </c>
      <c r="I91" s="30">
        <v>926.39531840456209</v>
      </c>
      <c r="J91" s="30">
        <v>1995.3129934867491</v>
      </c>
      <c r="K91" s="30"/>
      <c r="L91" s="30"/>
      <c r="M91" s="30"/>
      <c r="N91" s="30"/>
      <c r="O91" s="30"/>
    </row>
    <row r="92" spans="2:15" x14ac:dyDescent="0.25">
      <c r="B92">
        <v>71</v>
      </c>
      <c r="C92">
        <v>6</v>
      </c>
      <c r="D92" s="39">
        <v>47968</v>
      </c>
      <c r="E92" s="30">
        <v>8432.5727700928092</v>
      </c>
      <c r="F92" s="30">
        <v>2375.3726112937488</v>
      </c>
      <c r="G92" s="30">
        <v>1425.2235667762493</v>
      </c>
      <c r="H92" s="30">
        <v>1710.2682801314993</v>
      </c>
      <c r="I92" s="30">
        <v>926.39531840456209</v>
      </c>
      <c r="J92" s="30">
        <v>1995.3129934867491</v>
      </c>
      <c r="K92" s="30"/>
      <c r="L92" s="30"/>
      <c r="M92" s="30"/>
      <c r="N92" s="30"/>
      <c r="O92" s="30"/>
    </row>
    <row r="93" spans="2:15" x14ac:dyDescent="0.25">
      <c r="B93">
        <v>72</v>
      </c>
      <c r="C93">
        <v>6</v>
      </c>
      <c r="D93" s="39">
        <v>47999</v>
      </c>
      <c r="E93" s="30">
        <v>8432.5727700928092</v>
      </c>
      <c r="F93" s="30">
        <v>2375.3726112937488</v>
      </c>
      <c r="G93" s="30">
        <v>1425.2235667762493</v>
      </c>
      <c r="H93" s="30">
        <v>1710.2682801314993</v>
      </c>
      <c r="I93" s="30">
        <v>926.39531840456209</v>
      </c>
      <c r="J93" s="30">
        <v>1995.3129934867491</v>
      </c>
      <c r="K93" s="30"/>
      <c r="L93" s="30"/>
      <c r="M93" s="30"/>
      <c r="N93" s="30"/>
      <c r="O93" s="30"/>
    </row>
    <row r="94" spans="2:15" x14ac:dyDescent="0.25">
      <c r="B94">
        <v>73</v>
      </c>
      <c r="C94">
        <v>7</v>
      </c>
      <c r="D94" s="39">
        <v>48029</v>
      </c>
      <c r="E94" s="30">
        <v>8727.7128170460564</v>
      </c>
      <c r="F94" s="30">
        <v>2458.5106526890304</v>
      </c>
      <c r="G94" s="30">
        <v>1475.1063916134183</v>
      </c>
      <c r="H94" s="30">
        <v>1770.1276699361019</v>
      </c>
      <c r="I94" s="30">
        <v>958.81915454872183</v>
      </c>
      <c r="J94" s="30">
        <v>2065.1489482587854</v>
      </c>
      <c r="K94" s="30"/>
      <c r="L94" s="30"/>
      <c r="M94" s="30"/>
      <c r="N94" s="30"/>
      <c r="O94" s="30"/>
    </row>
    <row r="95" spans="2:15" x14ac:dyDescent="0.25">
      <c r="B95">
        <v>74</v>
      </c>
      <c r="C95">
        <v>7</v>
      </c>
      <c r="D95" s="39">
        <v>48060</v>
      </c>
      <c r="E95" s="30">
        <v>8727.7128170460564</v>
      </c>
      <c r="F95" s="30">
        <v>2458.5106526890304</v>
      </c>
      <c r="G95" s="30">
        <v>1475.1063916134183</v>
      </c>
      <c r="H95" s="30">
        <v>1770.1276699361019</v>
      </c>
      <c r="I95" s="30">
        <v>958.81915454872183</v>
      </c>
      <c r="J95" s="30">
        <v>2065.1489482587854</v>
      </c>
      <c r="K95" s="30"/>
      <c r="L95" s="30"/>
      <c r="M95" s="30"/>
      <c r="N95" s="30"/>
      <c r="O95" s="30"/>
    </row>
    <row r="96" spans="2:15" x14ac:dyDescent="0.25">
      <c r="B96">
        <v>75</v>
      </c>
      <c r="C96">
        <v>7</v>
      </c>
      <c r="D96" s="39">
        <v>48091</v>
      </c>
      <c r="E96" s="30">
        <v>8727.7128170460564</v>
      </c>
      <c r="F96" s="30">
        <v>2458.5106526890304</v>
      </c>
      <c r="G96" s="30">
        <v>1475.1063916134183</v>
      </c>
      <c r="H96" s="30">
        <v>1770.1276699361019</v>
      </c>
      <c r="I96" s="30">
        <v>958.81915454872183</v>
      </c>
      <c r="J96" s="30">
        <v>2065.1489482587854</v>
      </c>
      <c r="K96" s="30"/>
      <c r="L96" s="30"/>
      <c r="M96" s="30"/>
      <c r="N96" s="30"/>
      <c r="O96" s="30"/>
    </row>
    <row r="97" spans="2:15" x14ac:dyDescent="0.25">
      <c r="B97">
        <v>76</v>
      </c>
      <c r="C97">
        <v>7</v>
      </c>
      <c r="D97" s="39">
        <v>48121</v>
      </c>
      <c r="E97" s="30">
        <v>8727.7128170460564</v>
      </c>
      <c r="F97" s="30">
        <v>2458.5106526890304</v>
      </c>
      <c r="G97" s="30">
        <v>1475.1063916134183</v>
      </c>
      <c r="H97" s="30">
        <v>1770.1276699361019</v>
      </c>
      <c r="I97" s="30">
        <v>958.81915454872183</v>
      </c>
      <c r="J97" s="30">
        <v>2065.1489482587854</v>
      </c>
      <c r="K97" s="30"/>
      <c r="L97" s="30"/>
      <c r="M97" s="30"/>
      <c r="N97" s="30"/>
      <c r="O97" s="30"/>
    </row>
    <row r="98" spans="2:15" x14ac:dyDescent="0.25">
      <c r="B98">
        <v>77</v>
      </c>
      <c r="C98">
        <v>7</v>
      </c>
      <c r="D98" s="39">
        <v>48152</v>
      </c>
      <c r="E98" s="30">
        <v>8727.7128170460564</v>
      </c>
      <c r="F98" s="30">
        <v>2458.5106526890304</v>
      </c>
      <c r="G98" s="30">
        <v>1475.1063916134183</v>
      </c>
      <c r="H98" s="30">
        <v>1770.1276699361019</v>
      </c>
      <c r="I98" s="30">
        <v>958.81915454872183</v>
      </c>
      <c r="J98" s="30">
        <v>2065.1489482587854</v>
      </c>
      <c r="K98" s="30"/>
      <c r="L98" s="30"/>
      <c r="M98" s="30"/>
      <c r="N98" s="30"/>
      <c r="O98" s="30"/>
    </row>
    <row r="99" spans="2:15" x14ac:dyDescent="0.25">
      <c r="B99">
        <v>78</v>
      </c>
      <c r="C99">
        <v>7</v>
      </c>
      <c r="D99" s="39">
        <v>48182</v>
      </c>
      <c r="E99" s="30">
        <v>8727.7128170460564</v>
      </c>
      <c r="F99" s="30">
        <v>2458.5106526890304</v>
      </c>
      <c r="G99" s="30">
        <v>1475.1063916134183</v>
      </c>
      <c r="H99" s="30">
        <v>1770.1276699361019</v>
      </c>
      <c r="I99" s="30">
        <v>958.81915454872183</v>
      </c>
      <c r="J99" s="30">
        <v>2065.1489482587854</v>
      </c>
      <c r="K99" s="30"/>
      <c r="L99" s="30"/>
      <c r="M99" s="30"/>
      <c r="N99" s="30"/>
      <c r="O99" s="30"/>
    </row>
    <row r="100" spans="2:15" x14ac:dyDescent="0.25">
      <c r="B100">
        <v>79</v>
      </c>
      <c r="C100">
        <v>7</v>
      </c>
      <c r="D100" s="39">
        <v>48213</v>
      </c>
      <c r="E100" s="30">
        <v>8727.7128170460564</v>
      </c>
      <c r="F100" s="30">
        <v>2458.5106526890304</v>
      </c>
      <c r="G100" s="30">
        <v>1475.1063916134183</v>
      </c>
      <c r="H100" s="30">
        <v>1770.1276699361019</v>
      </c>
      <c r="I100" s="30">
        <v>958.81915454872183</v>
      </c>
      <c r="J100" s="30">
        <v>2065.1489482587854</v>
      </c>
      <c r="K100" s="30"/>
      <c r="L100" s="30"/>
      <c r="M100" s="30"/>
      <c r="N100" s="30"/>
      <c r="O100" s="30"/>
    </row>
    <row r="101" spans="2:15" x14ac:dyDescent="0.25">
      <c r="B101">
        <v>80</v>
      </c>
      <c r="C101">
        <v>7</v>
      </c>
      <c r="D101" s="39">
        <v>48244</v>
      </c>
      <c r="E101" s="30">
        <v>8727.7128170460564</v>
      </c>
      <c r="F101" s="30">
        <v>2458.5106526890304</v>
      </c>
      <c r="G101" s="30">
        <v>1475.1063916134183</v>
      </c>
      <c r="H101" s="30">
        <v>1770.1276699361019</v>
      </c>
      <c r="I101" s="30">
        <v>958.81915454872183</v>
      </c>
      <c r="J101" s="30">
        <v>2065.1489482587854</v>
      </c>
      <c r="K101" s="30"/>
      <c r="L101" s="30"/>
      <c r="M101" s="30"/>
      <c r="N101" s="30"/>
      <c r="O101" s="30"/>
    </row>
    <row r="102" spans="2:15" x14ac:dyDescent="0.25">
      <c r="B102">
        <v>81</v>
      </c>
      <c r="C102">
        <v>7</v>
      </c>
      <c r="D102" s="39">
        <v>48273</v>
      </c>
      <c r="E102" s="30">
        <v>8727.7128170460564</v>
      </c>
      <c r="F102" s="30">
        <v>2458.5106526890304</v>
      </c>
      <c r="G102" s="30">
        <v>1475.1063916134183</v>
      </c>
      <c r="H102" s="30">
        <v>1770.1276699361019</v>
      </c>
      <c r="I102" s="30">
        <v>958.81915454872183</v>
      </c>
      <c r="J102" s="30">
        <v>2065.1489482587854</v>
      </c>
      <c r="K102" s="30"/>
      <c r="L102" s="30"/>
      <c r="M102" s="30"/>
      <c r="N102" s="30"/>
      <c r="O102" s="30"/>
    </row>
    <row r="103" spans="2:15" x14ac:dyDescent="0.25">
      <c r="B103">
        <v>82</v>
      </c>
      <c r="C103">
        <v>7</v>
      </c>
      <c r="D103" s="39">
        <v>48304</v>
      </c>
      <c r="E103" s="30">
        <v>8727.7128170460564</v>
      </c>
      <c r="F103" s="30">
        <v>2458.5106526890304</v>
      </c>
      <c r="G103" s="30">
        <v>1475.1063916134183</v>
      </c>
      <c r="H103" s="30">
        <v>1770.1276699361019</v>
      </c>
      <c r="I103" s="30">
        <v>958.81915454872183</v>
      </c>
      <c r="J103" s="30">
        <v>2065.1489482587854</v>
      </c>
      <c r="K103" s="30"/>
      <c r="L103" s="30"/>
      <c r="M103" s="30"/>
      <c r="N103" s="30"/>
      <c r="O103" s="30"/>
    </row>
    <row r="104" spans="2:15" x14ac:dyDescent="0.25">
      <c r="B104">
        <v>83</v>
      </c>
      <c r="C104">
        <v>7</v>
      </c>
      <c r="D104" s="39">
        <v>48334</v>
      </c>
      <c r="E104" s="30">
        <v>8727.7128170460564</v>
      </c>
      <c r="F104" s="30">
        <v>2458.5106526890304</v>
      </c>
      <c r="G104" s="30">
        <v>1475.1063916134183</v>
      </c>
      <c r="H104" s="30">
        <v>1770.1276699361019</v>
      </c>
      <c r="I104" s="30">
        <v>958.81915454872183</v>
      </c>
      <c r="J104" s="30">
        <v>2065.1489482587854</v>
      </c>
      <c r="K104" s="30"/>
      <c r="L104" s="30"/>
      <c r="M104" s="30"/>
      <c r="N104" s="30"/>
      <c r="O104" s="30"/>
    </row>
    <row r="105" spans="2:15" x14ac:dyDescent="0.25">
      <c r="B105">
        <v>84</v>
      </c>
      <c r="C105">
        <v>7</v>
      </c>
      <c r="D105" s="39">
        <v>48365</v>
      </c>
      <c r="E105" s="30">
        <v>8727.7128170460564</v>
      </c>
      <c r="F105" s="30">
        <v>2458.5106526890304</v>
      </c>
      <c r="G105" s="30">
        <v>1475.1063916134183</v>
      </c>
      <c r="H105" s="30">
        <v>1770.1276699361019</v>
      </c>
      <c r="I105" s="30">
        <v>958.81915454872183</v>
      </c>
      <c r="J105" s="30">
        <v>2065.1489482587854</v>
      </c>
      <c r="K105" s="30"/>
      <c r="L105" s="30"/>
      <c r="M105" s="30"/>
      <c r="N105" s="30"/>
      <c r="O105" s="30"/>
    </row>
    <row r="106" spans="2:15" x14ac:dyDescent="0.25">
      <c r="B106">
        <v>85</v>
      </c>
      <c r="C106">
        <v>8</v>
      </c>
      <c r="D106" s="39">
        <v>48395</v>
      </c>
      <c r="E106" s="30">
        <v>9033.1827656426703</v>
      </c>
      <c r="F106" s="30">
        <v>2544.5585255331462</v>
      </c>
      <c r="G106" s="30">
        <v>1526.7351153198877</v>
      </c>
      <c r="H106" s="30">
        <v>1832.0821383838652</v>
      </c>
      <c r="I106" s="30">
        <v>992.37782495792703</v>
      </c>
      <c r="J106" s="30">
        <v>2137.4291614478429</v>
      </c>
      <c r="K106" s="30"/>
      <c r="L106" s="30"/>
      <c r="M106" s="30"/>
      <c r="N106" s="30"/>
      <c r="O106" s="30"/>
    </row>
    <row r="107" spans="2:15" x14ac:dyDescent="0.25">
      <c r="B107">
        <v>86</v>
      </c>
      <c r="C107">
        <v>8</v>
      </c>
      <c r="D107" s="39">
        <v>48426</v>
      </c>
      <c r="E107" s="30">
        <v>9033.1827656426703</v>
      </c>
      <c r="F107" s="30">
        <v>2544.5585255331462</v>
      </c>
      <c r="G107" s="30">
        <v>1526.7351153198877</v>
      </c>
      <c r="H107" s="30">
        <v>1832.0821383838652</v>
      </c>
      <c r="I107" s="30">
        <v>992.37782495792703</v>
      </c>
      <c r="J107" s="30">
        <v>2137.4291614478429</v>
      </c>
      <c r="K107" s="30"/>
      <c r="L107" s="30"/>
      <c r="M107" s="30"/>
      <c r="N107" s="30"/>
      <c r="O107" s="30"/>
    </row>
    <row r="108" spans="2:15" x14ac:dyDescent="0.25">
      <c r="B108">
        <v>87</v>
      </c>
      <c r="C108">
        <v>8</v>
      </c>
      <c r="D108" s="39">
        <v>48457</v>
      </c>
      <c r="E108" s="30">
        <v>9033.1827656426703</v>
      </c>
      <c r="F108" s="30">
        <v>2544.5585255331462</v>
      </c>
      <c r="G108" s="30">
        <v>1526.7351153198877</v>
      </c>
      <c r="H108" s="30">
        <v>1832.0821383838652</v>
      </c>
      <c r="I108" s="30">
        <v>992.37782495792703</v>
      </c>
      <c r="J108" s="30">
        <v>2137.4291614478429</v>
      </c>
      <c r="K108" s="30"/>
      <c r="L108" s="30"/>
      <c r="M108" s="30"/>
      <c r="N108" s="30"/>
      <c r="O108" s="30"/>
    </row>
    <row r="109" spans="2:15" x14ac:dyDescent="0.25">
      <c r="B109">
        <v>88</v>
      </c>
      <c r="C109">
        <v>8</v>
      </c>
      <c r="D109" s="39">
        <v>48487</v>
      </c>
      <c r="E109" s="30">
        <v>9033.1827656426703</v>
      </c>
      <c r="F109" s="30">
        <v>2544.5585255331462</v>
      </c>
      <c r="G109" s="30">
        <v>1526.7351153198877</v>
      </c>
      <c r="H109" s="30">
        <v>1832.0821383838652</v>
      </c>
      <c r="I109" s="30">
        <v>992.37782495792703</v>
      </c>
      <c r="J109" s="30">
        <v>2137.4291614478429</v>
      </c>
      <c r="K109" s="30"/>
      <c r="L109" s="30"/>
      <c r="M109" s="30"/>
      <c r="N109" s="30"/>
      <c r="O109" s="30"/>
    </row>
    <row r="110" spans="2:15" x14ac:dyDescent="0.25">
      <c r="B110">
        <v>89</v>
      </c>
      <c r="C110">
        <v>8</v>
      </c>
      <c r="D110" s="39">
        <v>48518</v>
      </c>
      <c r="E110" s="30">
        <v>9033.1827656426703</v>
      </c>
      <c r="F110" s="30">
        <v>2544.5585255331462</v>
      </c>
      <c r="G110" s="30">
        <v>1526.7351153198877</v>
      </c>
      <c r="H110" s="30">
        <v>1832.0821383838652</v>
      </c>
      <c r="I110" s="30">
        <v>992.37782495792703</v>
      </c>
      <c r="J110" s="30">
        <v>2137.4291614478429</v>
      </c>
      <c r="K110" s="30"/>
      <c r="L110" s="30"/>
      <c r="M110" s="30"/>
      <c r="N110" s="30"/>
      <c r="O110" s="30"/>
    </row>
    <row r="111" spans="2:15" x14ac:dyDescent="0.25">
      <c r="B111">
        <v>90</v>
      </c>
      <c r="C111">
        <v>8</v>
      </c>
      <c r="D111" s="39">
        <v>48548</v>
      </c>
      <c r="E111" s="30">
        <v>9033.1827656426703</v>
      </c>
      <c r="F111" s="30">
        <v>2544.5585255331462</v>
      </c>
      <c r="G111" s="30">
        <v>1526.7351153198877</v>
      </c>
      <c r="H111" s="30">
        <v>1832.0821383838652</v>
      </c>
      <c r="I111" s="30">
        <v>992.37782495792703</v>
      </c>
      <c r="J111" s="30">
        <v>2137.4291614478429</v>
      </c>
      <c r="K111" s="30"/>
      <c r="L111" s="30"/>
      <c r="M111" s="30"/>
      <c r="N111" s="30"/>
      <c r="O111" s="30"/>
    </row>
    <row r="112" spans="2:15" x14ac:dyDescent="0.25">
      <c r="B112">
        <v>91</v>
      </c>
      <c r="C112">
        <v>8</v>
      </c>
      <c r="D112" s="39">
        <v>48579</v>
      </c>
      <c r="E112" s="30">
        <v>9033.1827656426703</v>
      </c>
      <c r="F112" s="30">
        <v>2544.5585255331462</v>
      </c>
      <c r="G112" s="30">
        <v>1526.7351153198877</v>
      </c>
      <c r="H112" s="30">
        <v>1832.0821383838652</v>
      </c>
      <c r="I112" s="30">
        <v>992.37782495792703</v>
      </c>
      <c r="J112" s="30">
        <v>2137.4291614478429</v>
      </c>
      <c r="K112" s="30"/>
      <c r="L112" s="30"/>
      <c r="M112" s="30"/>
      <c r="N112" s="30"/>
      <c r="O112" s="30"/>
    </row>
    <row r="113" spans="2:15" x14ac:dyDescent="0.25">
      <c r="B113">
        <v>92</v>
      </c>
      <c r="C113">
        <v>8</v>
      </c>
      <c r="D113" s="39">
        <v>48610</v>
      </c>
      <c r="E113" s="30">
        <v>9033.1827656426703</v>
      </c>
      <c r="F113" s="30">
        <v>2544.5585255331462</v>
      </c>
      <c r="G113" s="30">
        <v>1526.7351153198877</v>
      </c>
      <c r="H113" s="30">
        <v>1832.0821383838652</v>
      </c>
      <c r="I113" s="30">
        <v>992.37782495792703</v>
      </c>
      <c r="J113" s="30">
        <v>2137.4291614478429</v>
      </c>
      <c r="K113" s="30"/>
      <c r="L113" s="30"/>
      <c r="M113" s="30"/>
      <c r="N113" s="30"/>
      <c r="O113" s="30"/>
    </row>
    <row r="114" spans="2:15" x14ac:dyDescent="0.25">
      <c r="B114">
        <v>93</v>
      </c>
      <c r="C114">
        <v>8</v>
      </c>
      <c r="D114" s="39">
        <v>48638</v>
      </c>
      <c r="E114" s="30">
        <v>9033.1827656426703</v>
      </c>
      <c r="F114" s="30">
        <v>2544.5585255331462</v>
      </c>
      <c r="G114" s="30">
        <v>1526.7351153198877</v>
      </c>
      <c r="H114" s="30">
        <v>1832.0821383838652</v>
      </c>
      <c r="I114" s="30">
        <v>992.37782495792703</v>
      </c>
      <c r="J114" s="30">
        <v>2137.4291614478429</v>
      </c>
      <c r="K114" s="30"/>
      <c r="L114" s="30"/>
      <c r="M114" s="30"/>
      <c r="N114" s="30"/>
      <c r="O114" s="30"/>
    </row>
    <row r="115" spans="2:15" x14ac:dyDescent="0.25">
      <c r="B115">
        <v>94</v>
      </c>
      <c r="C115">
        <v>8</v>
      </c>
      <c r="D115" s="39">
        <v>48669</v>
      </c>
      <c r="E115" s="30">
        <v>9033.1827656426703</v>
      </c>
      <c r="F115" s="30">
        <v>2544.5585255331462</v>
      </c>
      <c r="G115" s="30">
        <v>1526.7351153198877</v>
      </c>
      <c r="H115" s="30">
        <v>1832.0821383838652</v>
      </c>
      <c r="I115" s="30">
        <v>992.37782495792703</v>
      </c>
      <c r="J115" s="30">
        <v>2137.4291614478429</v>
      </c>
      <c r="K115" s="30"/>
      <c r="L115" s="30"/>
      <c r="M115" s="30"/>
      <c r="N115" s="30"/>
      <c r="O115" s="30"/>
    </row>
    <row r="116" spans="2:15" x14ac:dyDescent="0.25">
      <c r="B116">
        <v>95</v>
      </c>
      <c r="C116">
        <v>8</v>
      </c>
      <c r="D116" s="39">
        <v>48699</v>
      </c>
      <c r="E116" s="30">
        <v>9033.1827656426703</v>
      </c>
      <c r="F116" s="30">
        <v>2544.5585255331462</v>
      </c>
      <c r="G116" s="30">
        <v>1526.7351153198877</v>
      </c>
      <c r="H116" s="30">
        <v>1832.0821383838652</v>
      </c>
      <c r="I116" s="30">
        <v>992.37782495792703</v>
      </c>
      <c r="J116" s="30">
        <v>2137.4291614478429</v>
      </c>
      <c r="K116" s="30"/>
      <c r="L116" s="30"/>
      <c r="M116" s="30"/>
      <c r="N116" s="30"/>
      <c r="O116" s="30"/>
    </row>
    <row r="117" spans="2:15" x14ac:dyDescent="0.25">
      <c r="B117">
        <v>96</v>
      </c>
      <c r="C117">
        <v>8</v>
      </c>
      <c r="D117" s="39">
        <v>48730</v>
      </c>
      <c r="E117" s="30">
        <v>9033.1827656426703</v>
      </c>
      <c r="F117" s="30">
        <v>2544.5585255331462</v>
      </c>
      <c r="G117" s="30">
        <v>1526.7351153198877</v>
      </c>
      <c r="H117" s="30">
        <v>1832.0821383838652</v>
      </c>
      <c r="I117" s="30">
        <v>992.37782495792703</v>
      </c>
      <c r="J117" s="30">
        <v>2137.4291614478429</v>
      </c>
      <c r="K117" s="30"/>
      <c r="L117" s="30"/>
      <c r="M117" s="30"/>
      <c r="N117" s="30"/>
      <c r="O117" s="30"/>
    </row>
    <row r="118" spans="2:15" x14ac:dyDescent="0.25">
      <c r="B118">
        <v>97</v>
      </c>
      <c r="C118">
        <v>9</v>
      </c>
      <c r="D118" s="39">
        <v>48760</v>
      </c>
      <c r="E118" s="30">
        <v>9349.3441624401603</v>
      </c>
      <c r="F118" s="30">
        <v>2633.6180739268057</v>
      </c>
      <c r="G118" s="30">
        <v>1580.1708443560835</v>
      </c>
      <c r="H118" s="30">
        <v>1896.2050132273002</v>
      </c>
      <c r="I118" s="30">
        <v>1027.1110488314544</v>
      </c>
      <c r="J118" s="30">
        <v>2212.2391820985167</v>
      </c>
      <c r="K118" s="30"/>
      <c r="L118" s="30"/>
      <c r="M118" s="30"/>
      <c r="N118" s="30"/>
      <c r="O118" s="30"/>
    </row>
    <row r="119" spans="2:15" x14ac:dyDescent="0.25">
      <c r="B119">
        <v>98</v>
      </c>
      <c r="C119">
        <v>9</v>
      </c>
      <c r="D119" s="39">
        <v>48791</v>
      </c>
      <c r="E119" s="30">
        <v>9349.3441624401603</v>
      </c>
      <c r="F119" s="30">
        <v>2633.6180739268057</v>
      </c>
      <c r="G119" s="30">
        <v>1580.1708443560835</v>
      </c>
      <c r="H119" s="30">
        <v>1896.2050132273002</v>
      </c>
      <c r="I119" s="30">
        <v>1027.1110488314544</v>
      </c>
      <c r="J119" s="30">
        <v>2212.2391820985167</v>
      </c>
      <c r="K119" s="30"/>
      <c r="L119" s="30"/>
      <c r="M119" s="30"/>
      <c r="N119" s="30"/>
      <c r="O119" s="30"/>
    </row>
    <row r="120" spans="2:15" x14ac:dyDescent="0.25">
      <c r="B120">
        <v>99</v>
      </c>
      <c r="C120">
        <v>9</v>
      </c>
      <c r="D120" s="39">
        <v>48822</v>
      </c>
      <c r="E120" s="30">
        <v>9349.3441624401603</v>
      </c>
      <c r="F120" s="30">
        <v>2633.6180739268057</v>
      </c>
      <c r="G120" s="30">
        <v>1580.1708443560835</v>
      </c>
      <c r="H120" s="30">
        <v>1896.2050132273002</v>
      </c>
      <c r="I120" s="30">
        <v>1027.1110488314544</v>
      </c>
      <c r="J120" s="30">
        <v>2212.2391820985167</v>
      </c>
      <c r="K120" s="30"/>
      <c r="L120" s="30"/>
      <c r="M120" s="30"/>
      <c r="N120" s="30"/>
      <c r="O120" s="30"/>
    </row>
    <row r="121" spans="2:15" x14ac:dyDescent="0.25">
      <c r="B121">
        <v>100</v>
      </c>
      <c r="C121">
        <v>9</v>
      </c>
      <c r="D121" s="39">
        <v>48852</v>
      </c>
      <c r="E121" s="30">
        <v>9349.3441624401603</v>
      </c>
      <c r="F121" s="30">
        <v>2633.6180739268057</v>
      </c>
      <c r="G121" s="30">
        <v>1580.1708443560835</v>
      </c>
      <c r="H121" s="30">
        <v>1896.2050132273002</v>
      </c>
      <c r="I121" s="30">
        <v>1027.1110488314544</v>
      </c>
      <c r="J121" s="30">
        <v>2212.2391820985167</v>
      </c>
      <c r="K121" s="30"/>
      <c r="L121" s="30"/>
      <c r="M121" s="30"/>
      <c r="N121" s="30"/>
      <c r="O121" s="30"/>
    </row>
    <row r="122" spans="2:15" x14ac:dyDescent="0.25">
      <c r="B122">
        <v>101</v>
      </c>
      <c r="C122">
        <v>9</v>
      </c>
      <c r="D122" s="39">
        <v>48883</v>
      </c>
      <c r="E122" s="30">
        <v>9349.3441624401603</v>
      </c>
      <c r="F122" s="30">
        <v>2633.6180739268057</v>
      </c>
      <c r="G122" s="30">
        <v>1580.1708443560835</v>
      </c>
      <c r="H122" s="30">
        <v>1896.2050132273002</v>
      </c>
      <c r="I122" s="30">
        <v>1027.1110488314544</v>
      </c>
      <c r="J122" s="30">
        <v>2212.2391820985167</v>
      </c>
      <c r="K122" s="30"/>
      <c r="L122" s="30"/>
      <c r="M122" s="30"/>
      <c r="N122" s="30"/>
      <c r="O122" s="30"/>
    </row>
    <row r="123" spans="2:15" x14ac:dyDescent="0.25">
      <c r="B123">
        <v>102</v>
      </c>
      <c r="C123">
        <v>9</v>
      </c>
      <c r="D123" s="39">
        <v>48913</v>
      </c>
      <c r="E123" s="30">
        <v>9349.3441624401603</v>
      </c>
      <c r="F123" s="30">
        <v>2633.6180739268057</v>
      </c>
      <c r="G123" s="30">
        <v>1580.1708443560835</v>
      </c>
      <c r="H123" s="30">
        <v>1896.2050132273002</v>
      </c>
      <c r="I123" s="30">
        <v>1027.1110488314544</v>
      </c>
      <c r="J123" s="30">
        <v>2212.2391820985167</v>
      </c>
      <c r="K123" s="30"/>
      <c r="L123" s="30"/>
      <c r="M123" s="30"/>
      <c r="N123" s="30"/>
      <c r="O123" s="30"/>
    </row>
    <row r="124" spans="2:15" x14ac:dyDescent="0.25">
      <c r="B124">
        <v>103</v>
      </c>
      <c r="C124">
        <v>9</v>
      </c>
      <c r="D124" s="39">
        <v>48944</v>
      </c>
      <c r="E124" s="30">
        <v>9349.3441624401603</v>
      </c>
      <c r="F124" s="30">
        <v>2633.6180739268057</v>
      </c>
      <c r="G124" s="30">
        <v>1580.1708443560835</v>
      </c>
      <c r="H124" s="30">
        <v>1896.2050132273002</v>
      </c>
      <c r="I124" s="30">
        <v>1027.1110488314544</v>
      </c>
      <c r="J124" s="30">
        <v>2212.2391820985167</v>
      </c>
      <c r="K124" s="30"/>
      <c r="L124" s="30"/>
      <c r="M124" s="30"/>
      <c r="N124" s="30"/>
      <c r="O124" s="30"/>
    </row>
    <row r="125" spans="2:15" x14ac:dyDescent="0.25">
      <c r="B125">
        <v>104</v>
      </c>
      <c r="C125">
        <v>9</v>
      </c>
      <c r="D125" s="39">
        <v>48975</v>
      </c>
      <c r="E125" s="30">
        <v>9349.3441624401603</v>
      </c>
      <c r="F125" s="30">
        <v>2633.6180739268057</v>
      </c>
      <c r="G125" s="30">
        <v>1580.1708443560835</v>
      </c>
      <c r="H125" s="30">
        <v>1896.2050132273002</v>
      </c>
      <c r="I125" s="30">
        <v>1027.1110488314544</v>
      </c>
      <c r="J125" s="30">
        <v>2212.2391820985167</v>
      </c>
      <c r="K125" s="30"/>
      <c r="L125" s="30"/>
      <c r="M125" s="30"/>
      <c r="N125" s="30"/>
      <c r="O125" s="30"/>
    </row>
    <row r="126" spans="2:15" x14ac:dyDescent="0.25">
      <c r="B126">
        <v>105</v>
      </c>
      <c r="C126">
        <v>9</v>
      </c>
      <c r="D126" s="39">
        <v>49003</v>
      </c>
      <c r="E126" s="30">
        <v>9349.3441624401603</v>
      </c>
      <c r="F126" s="30">
        <v>2633.6180739268057</v>
      </c>
      <c r="G126" s="30">
        <v>1580.1708443560835</v>
      </c>
      <c r="H126" s="30">
        <v>1896.2050132273002</v>
      </c>
      <c r="I126" s="30">
        <v>1027.1110488314544</v>
      </c>
      <c r="J126" s="30">
        <v>2212.2391820985167</v>
      </c>
      <c r="K126" s="30"/>
      <c r="L126" s="30"/>
      <c r="M126" s="30"/>
      <c r="N126" s="30"/>
      <c r="O126" s="30"/>
    </row>
    <row r="127" spans="2:15" x14ac:dyDescent="0.25">
      <c r="B127">
        <v>106</v>
      </c>
      <c r="C127">
        <v>9</v>
      </c>
      <c r="D127" s="39">
        <v>49034</v>
      </c>
      <c r="E127" s="30">
        <v>9349.3441624401603</v>
      </c>
      <c r="F127" s="30">
        <v>2633.6180739268057</v>
      </c>
      <c r="G127" s="30">
        <v>1580.1708443560835</v>
      </c>
      <c r="H127" s="30">
        <v>1896.2050132273002</v>
      </c>
      <c r="I127" s="30">
        <v>1027.1110488314544</v>
      </c>
      <c r="J127" s="30">
        <v>2212.2391820985167</v>
      </c>
      <c r="K127" s="30"/>
      <c r="L127" s="30"/>
      <c r="M127" s="30"/>
      <c r="N127" s="30"/>
      <c r="O127" s="30"/>
    </row>
    <row r="128" spans="2:15" x14ac:dyDescent="0.25">
      <c r="B128">
        <v>107</v>
      </c>
      <c r="C128">
        <v>9</v>
      </c>
      <c r="D128" s="39">
        <v>49064</v>
      </c>
      <c r="E128" s="30">
        <v>9349.3441624401603</v>
      </c>
      <c r="F128" s="30">
        <v>2633.6180739268057</v>
      </c>
      <c r="G128" s="30">
        <v>1580.1708443560835</v>
      </c>
      <c r="H128" s="30">
        <v>1896.2050132273002</v>
      </c>
      <c r="I128" s="30">
        <v>1027.1110488314544</v>
      </c>
      <c r="J128" s="30">
        <v>2212.2391820985167</v>
      </c>
      <c r="K128" s="30"/>
      <c r="L128" s="30"/>
      <c r="M128" s="30"/>
      <c r="N128" s="30"/>
      <c r="O128" s="30"/>
    </row>
    <row r="129" spans="2:15" x14ac:dyDescent="0.25">
      <c r="B129">
        <v>108</v>
      </c>
      <c r="C129">
        <v>9</v>
      </c>
      <c r="D129" s="39">
        <v>49095</v>
      </c>
      <c r="E129" s="30">
        <v>9349.3441624401603</v>
      </c>
      <c r="F129" s="30">
        <v>2633.6180739268057</v>
      </c>
      <c r="G129" s="30">
        <v>1580.1708443560835</v>
      </c>
      <c r="H129" s="30">
        <v>1896.2050132273002</v>
      </c>
      <c r="I129" s="30">
        <v>1027.1110488314544</v>
      </c>
      <c r="J129" s="30">
        <v>2212.2391820985167</v>
      </c>
      <c r="K129" s="30"/>
      <c r="L129" s="30"/>
      <c r="M129" s="30"/>
      <c r="N129" s="30"/>
      <c r="O129" s="30"/>
    </row>
    <row r="130" spans="2:15" x14ac:dyDescent="0.25">
      <c r="B130">
        <v>109</v>
      </c>
      <c r="C130">
        <v>10</v>
      </c>
      <c r="D130" s="39">
        <v>49125</v>
      </c>
      <c r="E130" s="30">
        <v>9676.5712081255642</v>
      </c>
      <c r="F130" s="30">
        <v>2725.7947065142434</v>
      </c>
      <c r="G130" s="30">
        <v>1635.4768239085461</v>
      </c>
      <c r="H130" s="30">
        <v>1962.5721886902554</v>
      </c>
      <c r="I130" s="30">
        <v>1063.059935540555</v>
      </c>
      <c r="J130" s="30">
        <v>2289.6675534719648</v>
      </c>
      <c r="K130" s="30"/>
      <c r="L130" s="30"/>
      <c r="M130" s="30"/>
      <c r="N130" s="30"/>
      <c r="O130" s="30"/>
    </row>
    <row r="131" spans="2:15" x14ac:dyDescent="0.25">
      <c r="B131">
        <v>110</v>
      </c>
      <c r="C131">
        <v>10</v>
      </c>
      <c r="D131" s="39">
        <v>49156</v>
      </c>
      <c r="E131" s="30">
        <v>9676.5712081255642</v>
      </c>
      <c r="F131" s="30">
        <v>2725.7947065142434</v>
      </c>
      <c r="G131" s="30">
        <v>1635.4768239085461</v>
      </c>
      <c r="H131" s="30">
        <v>1962.5721886902554</v>
      </c>
      <c r="I131" s="30">
        <v>1063.059935540555</v>
      </c>
      <c r="J131" s="30">
        <v>2289.6675534719648</v>
      </c>
      <c r="K131" s="30"/>
      <c r="L131" s="30"/>
      <c r="M131" s="30"/>
      <c r="N131" s="30"/>
      <c r="O131" s="30"/>
    </row>
    <row r="132" spans="2:15" x14ac:dyDescent="0.25">
      <c r="B132">
        <v>111</v>
      </c>
      <c r="C132">
        <v>10</v>
      </c>
      <c r="D132" s="39">
        <v>49187</v>
      </c>
      <c r="E132" s="30">
        <v>9676.5712081255642</v>
      </c>
      <c r="F132" s="30">
        <v>2725.7947065142434</v>
      </c>
      <c r="G132" s="30">
        <v>1635.4768239085461</v>
      </c>
      <c r="H132" s="30">
        <v>1962.5721886902554</v>
      </c>
      <c r="I132" s="30">
        <v>1063.059935540555</v>
      </c>
      <c r="J132" s="30">
        <v>2289.6675534719648</v>
      </c>
      <c r="K132" s="30"/>
      <c r="L132" s="30"/>
      <c r="M132" s="30"/>
      <c r="N132" s="30"/>
      <c r="O132" s="30"/>
    </row>
    <row r="133" spans="2:15" x14ac:dyDescent="0.25">
      <c r="B133">
        <v>112</v>
      </c>
      <c r="C133">
        <v>10</v>
      </c>
      <c r="D133" s="39">
        <v>49217</v>
      </c>
      <c r="E133" s="30">
        <v>9676.5712081255642</v>
      </c>
      <c r="F133" s="30">
        <v>2725.7947065142434</v>
      </c>
      <c r="G133" s="30">
        <v>1635.4768239085461</v>
      </c>
      <c r="H133" s="30">
        <v>1962.5721886902554</v>
      </c>
      <c r="I133" s="30">
        <v>1063.059935540555</v>
      </c>
      <c r="J133" s="30">
        <v>2289.6675534719648</v>
      </c>
      <c r="K133" s="30"/>
      <c r="L133" s="30"/>
      <c r="M133" s="30"/>
      <c r="N133" s="30"/>
      <c r="O133" s="30"/>
    </row>
    <row r="134" spans="2:15" x14ac:dyDescent="0.25">
      <c r="B134">
        <v>113</v>
      </c>
      <c r="C134">
        <v>10</v>
      </c>
      <c r="D134" s="39">
        <v>49248</v>
      </c>
      <c r="E134" s="30">
        <v>9676.5712081255642</v>
      </c>
      <c r="F134" s="30">
        <v>2725.7947065142434</v>
      </c>
      <c r="G134" s="30">
        <v>1635.4768239085461</v>
      </c>
      <c r="H134" s="30">
        <v>1962.5721886902554</v>
      </c>
      <c r="I134" s="30">
        <v>1063.059935540555</v>
      </c>
      <c r="J134" s="30">
        <v>2289.6675534719648</v>
      </c>
      <c r="K134" s="30"/>
      <c r="L134" s="30"/>
      <c r="M134" s="30"/>
      <c r="N134" s="30"/>
      <c r="O134" s="30"/>
    </row>
    <row r="135" spans="2:15" x14ac:dyDescent="0.25">
      <c r="B135">
        <v>114</v>
      </c>
      <c r="C135">
        <v>10</v>
      </c>
      <c r="D135" s="39">
        <v>49278</v>
      </c>
      <c r="E135" s="30">
        <v>9676.5712081255642</v>
      </c>
      <c r="F135" s="30">
        <v>2725.7947065142434</v>
      </c>
      <c r="G135" s="30">
        <v>1635.4768239085461</v>
      </c>
      <c r="H135" s="30">
        <v>1962.5721886902554</v>
      </c>
      <c r="I135" s="30">
        <v>1063.059935540555</v>
      </c>
      <c r="J135" s="30">
        <v>2289.6675534719648</v>
      </c>
      <c r="K135" s="30"/>
      <c r="L135" s="30"/>
      <c r="M135" s="30"/>
      <c r="N135" s="30"/>
      <c r="O135" s="30"/>
    </row>
    <row r="136" spans="2:15" x14ac:dyDescent="0.25">
      <c r="B136">
        <v>115</v>
      </c>
      <c r="C136">
        <v>10</v>
      </c>
      <c r="D136" s="39">
        <v>49309</v>
      </c>
      <c r="E136" s="30">
        <v>9676.5712081255642</v>
      </c>
      <c r="F136" s="30">
        <v>2725.7947065142434</v>
      </c>
      <c r="G136" s="30">
        <v>1635.4768239085461</v>
      </c>
      <c r="H136" s="30">
        <v>1962.5721886902554</v>
      </c>
      <c r="I136" s="30">
        <v>1063.059935540555</v>
      </c>
      <c r="J136" s="30">
        <v>2289.6675534719648</v>
      </c>
      <c r="K136" s="30"/>
      <c r="L136" s="30"/>
      <c r="M136" s="30"/>
      <c r="N136" s="30"/>
      <c r="O136" s="30"/>
    </row>
    <row r="137" spans="2:15" x14ac:dyDescent="0.25">
      <c r="B137">
        <v>116</v>
      </c>
      <c r="C137">
        <v>10</v>
      </c>
      <c r="D137" s="39">
        <v>49340</v>
      </c>
      <c r="E137" s="30">
        <v>9676.5712081255642</v>
      </c>
      <c r="F137" s="30">
        <v>2725.7947065142434</v>
      </c>
      <c r="G137" s="30">
        <v>1635.4768239085461</v>
      </c>
      <c r="H137" s="30">
        <v>1962.5721886902554</v>
      </c>
      <c r="I137" s="30">
        <v>1063.059935540555</v>
      </c>
      <c r="J137" s="30">
        <v>2289.6675534719648</v>
      </c>
      <c r="K137" s="30"/>
      <c r="L137" s="30"/>
      <c r="M137" s="30"/>
      <c r="N137" s="30"/>
      <c r="O137" s="30"/>
    </row>
    <row r="138" spans="2:15" x14ac:dyDescent="0.25">
      <c r="B138">
        <v>117</v>
      </c>
      <c r="C138">
        <v>10</v>
      </c>
      <c r="D138" s="39">
        <v>49368</v>
      </c>
      <c r="E138" s="30">
        <v>9676.5712081255642</v>
      </c>
      <c r="F138" s="30">
        <v>2725.7947065142434</v>
      </c>
      <c r="G138" s="30">
        <v>1635.4768239085461</v>
      </c>
      <c r="H138" s="30">
        <v>1962.5721886902554</v>
      </c>
      <c r="I138" s="30">
        <v>1063.059935540555</v>
      </c>
      <c r="J138" s="30">
        <v>2289.6675534719648</v>
      </c>
      <c r="K138" s="30"/>
      <c r="L138" s="30"/>
      <c r="M138" s="30"/>
      <c r="N138" s="30"/>
      <c r="O138" s="30"/>
    </row>
    <row r="139" spans="2:15" x14ac:dyDescent="0.25">
      <c r="B139">
        <v>118</v>
      </c>
      <c r="C139">
        <v>10</v>
      </c>
      <c r="D139" s="39">
        <v>49399</v>
      </c>
      <c r="E139" s="30">
        <v>9676.5712081255642</v>
      </c>
      <c r="F139" s="30">
        <v>2725.7947065142434</v>
      </c>
      <c r="G139" s="30">
        <v>1635.4768239085461</v>
      </c>
      <c r="H139" s="30">
        <v>1962.5721886902554</v>
      </c>
      <c r="I139" s="30">
        <v>1063.059935540555</v>
      </c>
      <c r="J139" s="30">
        <v>2289.6675534719648</v>
      </c>
      <c r="K139" s="30"/>
      <c r="L139" s="30"/>
      <c r="M139" s="30"/>
      <c r="N139" s="30"/>
      <c r="O139" s="30"/>
    </row>
    <row r="140" spans="2:15" x14ac:dyDescent="0.25">
      <c r="B140">
        <v>119</v>
      </c>
      <c r="C140">
        <v>10</v>
      </c>
      <c r="D140" s="39">
        <v>49429</v>
      </c>
      <c r="E140" s="30">
        <v>9676.5712081255642</v>
      </c>
      <c r="F140" s="30">
        <v>2725.7947065142434</v>
      </c>
      <c r="G140" s="30">
        <v>1635.4768239085461</v>
      </c>
      <c r="H140" s="30">
        <v>1962.5721886902554</v>
      </c>
      <c r="I140" s="30">
        <v>1063.059935540555</v>
      </c>
      <c r="J140" s="30">
        <v>2289.6675534719648</v>
      </c>
      <c r="K140" s="30"/>
      <c r="L140" s="30"/>
      <c r="M140" s="30"/>
      <c r="N140" s="30"/>
      <c r="O140" s="30"/>
    </row>
    <row r="141" spans="2:15" x14ac:dyDescent="0.25">
      <c r="B141">
        <v>120</v>
      </c>
      <c r="C141">
        <v>10</v>
      </c>
      <c r="D141" s="39">
        <v>49460</v>
      </c>
      <c r="E141" s="30">
        <v>9676.5712081255642</v>
      </c>
      <c r="F141" s="30">
        <v>2725.7947065142434</v>
      </c>
      <c r="G141" s="30">
        <v>1635.4768239085461</v>
      </c>
      <c r="H141" s="30">
        <v>1962.5721886902554</v>
      </c>
      <c r="I141" s="30">
        <v>1063.059935540555</v>
      </c>
      <c r="J141" s="30">
        <v>2289.6675534719648</v>
      </c>
      <c r="K141" s="30"/>
      <c r="L141" s="30"/>
      <c r="M141" s="30"/>
      <c r="N141" s="30"/>
      <c r="O141" s="30"/>
    </row>
    <row r="142" spans="2:15" x14ac:dyDescent="0.25">
      <c r="B142">
        <v>121</v>
      </c>
      <c r="C142">
        <v>11</v>
      </c>
      <c r="D142" s="39">
        <v>49490</v>
      </c>
      <c r="E142" s="30">
        <v>10015.251200409959</v>
      </c>
      <c r="F142" s="30">
        <v>2821.1975212422421</v>
      </c>
      <c r="G142" s="30">
        <v>1692.7185127453452</v>
      </c>
      <c r="H142" s="30">
        <v>2031.2622152944143</v>
      </c>
      <c r="I142" s="30">
        <v>1100.2670332844743</v>
      </c>
      <c r="J142" s="30">
        <v>2369.8059178434833</v>
      </c>
      <c r="K142" s="30"/>
      <c r="L142" s="30"/>
      <c r="M142" s="30"/>
      <c r="N142" s="30"/>
      <c r="O142" s="30"/>
    </row>
    <row r="143" spans="2:15" x14ac:dyDescent="0.25">
      <c r="B143">
        <v>122</v>
      </c>
      <c r="C143">
        <v>11</v>
      </c>
      <c r="D143" s="39">
        <v>49521</v>
      </c>
      <c r="E143" s="30">
        <v>10015.251200409959</v>
      </c>
      <c r="F143" s="30">
        <v>2821.1975212422421</v>
      </c>
      <c r="G143" s="30">
        <v>1692.7185127453452</v>
      </c>
      <c r="H143" s="30">
        <v>2031.2622152944143</v>
      </c>
      <c r="I143" s="30">
        <v>1100.2670332844743</v>
      </c>
      <c r="J143" s="30">
        <v>2369.8059178434833</v>
      </c>
      <c r="K143" s="30"/>
      <c r="L143" s="30"/>
      <c r="M143" s="30"/>
      <c r="N143" s="30"/>
      <c r="O143" s="30"/>
    </row>
    <row r="144" spans="2:15" x14ac:dyDescent="0.25">
      <c r="B144">
        <v>123</v>
      </c>
      <c r="C144">
        <v>11</v>
      </c>
      <c r="D144" s="39">
        <v>49552</v>
      </c>
      <c r="E144" s="30">
        <v>10015.251200409959</v>
      </c>
      <c r="F144" s="30">
        <v>2821.1975212422421</v>
      </c>
      <c r="G144" s="30">
        <v>1692.7185127453452</v>
      </c>
      <c r="H144" s="30">
        <v>2031.2622152944143</v>
      </c>
      <c r="I144" s="30">
        <v>1100.2670332844743</v>
      </c>
      <c r="J144" s="30">
        <v>2369.8059178434833</v>
      </c>
      <c r="K144" s="30"/>
      <c r="L144" s="30"/>
      <c r="M144" s="30"/>
      <c r="N144" s="30"/>
      <c r="O144" s="30"/>
    </row>
    <row r="145" spans="2:15" x14ac:dyDescent="0.25">
      <c r="B145">
        <v>124</v>
      </c>
      <c r="C145">
        <v>11</v>
      </c>
      <c r="D145" s="39">
        <v>49582</v>
      </c>
      <c r="E145" s="30">
        <v>10015.251200409959</v>
      </c>
      <c r="F145" s="30">
        <v>2821.1975212422421</v>
      </c>
      <c r="G145" s="30">
        <v>1692.7185127453452</v>
      </c>
      <c r="H145" s="30">
        <v>2031.2622152944143</v>
      </c>
      <c r="I145" s="30">
        <v>1100.2670332844743</v>
      </c>
      <c r="J145" s="30">
        <v>2369.8059178434833</v>
      </c>
      <c r="K145" s="30"/>
      <c r="L145" s="30"/>
      <c r="M145" s="30"/>
      <c r="N145" s="30"/>
      <c r="O145" s="30"/>
    </row>
    <row r="146" spans="2:15" x14ac:dyDescent="0.25">
      <c r="B146">
        <v>125</v>
      </c>
      <c r="C146">
        <v>11</v>
      </c>
      <c r="D146" s="39">
        <v>49613</v>
      </c>
      <c r="E146" s="30">
        <v>10015.251200409959</v>
      </c>
      <c r="F146" s="30">
        <v>2821.1975212422421</v>
      </c>
      <c r="G146" s="30">
        <v>1692.7185127453452</v>
      </c>
      <c r="H146" s="30">
        <v>2031.2622152944143</v>
      </c>
      <c r="I146" s="30">
        <v>1100.2670332844743</v>
      </c>
      <c r="J146" s="30">
        <v>2369.8059178434833</v>
      </c>
      <c r="K146" s="30"/>
      <c r="L146" s="30"/>
      <c r="M146" s="30"/>
      <c r="N146" s="30"/>
      <c r="O146" s="30"/>
    </row>
    <row r="147" spans="2:15" x14ac:dyDescent="0.25">
      <c r="B147">
        <v>126</v>
      </c>
      <c r="C147">
        <v>11</v>
      </c>
      <c r="D147" s="39">
        <v>49643</v>
      </c>
      <c r="E147" s="30">
        <v>10015.251200409959</v>
      </c>
      <c r="F147" s="30">
        <v>2821.1975212422421</v>
      </c>
      <c r="G147" s="30">
        <v>1692.7185127453452</v>
      </c>
      <c r="H147" s="30">
        <v>2031.2622152944143</v>
      </c>
      <c r="I147" s="30">
        <v>1100.2670332844743</v>
      </c>
      <c r="J147" s="30">
        <v>2369.8059178434833</v>
      </c>
      <c r="K147" s="30"/>
      <c r="L147" s="30"/>
      <c r="M147" s="30"/>
      <c r="N147" s="30"/>
      <c r="O147" s="30"/>
    </row>
    <row r="148" spans="2:15" x14ac:dyDescent="0.25">
      <c r="B148">
        <v>127</v>
      </c>
      <c r="C148">
        <v>11</v>
      </c>
      <c r="D148" s="39">
        <v>49674</v>
      </c>
      <c r="E148" s="30">
        <v>10015.251200409959</v>
      </c>
      <c r="F148" s="30">
        <v>2821.1975212422421</v>
      </c>
      <c r="G148" s="30">
        <v>1692.7185127453452</v>
      </c>
      <c r="H148" s="30">
        <v>2031.2622152944143</v>
      </c>
      <c r="I148" s="30">
        <v>1100.2670332844743</v>
      </c>
      <c r="J148" s="30">
        <v>2369.8059178434833</v>
      </c>
      <c r="K148" s="30"/>
      <c r="L148" s="30"/>
      <c r="M148" s="30"/>
      <c r="N148" s="30"/>
      <c r="O148" s="30"/>
    </row>
    <row r="149" spans="2:15" x14ac:dyDescent="0.25">
      <c r="B149">
        <v>128</v>
      </c>
      <c r="C149">
        <v>11</v>
      </c>
      <c r="D149" s="39">
        <v>49705</v>
      </c>
      <c r="E149" s="30">
        <v>10015.251200409959</v>
      </c>
      <c r="F149" s="30">
        <v>2821.1975212422421</v>
      </c>
      <c r="G149" s="30">
        <v>1692.7185127453452</v>
      </c>
      <c r="H149" s="30">
        <v>2031.2622152944143</v>
      </c>
      <c r="I149" s="30">
        <v>1100.2670332844743</v>
      </c>
      <c r="J149" s="30">
        <v>2369.8059178434833</v>
      </c>
      <c r="K149" s="30"/>
      <c r="L149" s="30"/>
      <c r="M149" s="30"/>
      <c r="N149" s="30"/>
      <c r="O149" s="30"/>
    </row>
    <row r="150" spans="2:15" x14ac:dyDescent="0.25">
      <c r="B150">
        <v>129</v>
      </c>
      <c r="C150">
        <v>11</v>
      </c>
      <c r="D150" s="39">
        <v>49734</v>
      </c>
      <c r="E150" s="30">
        <v>10015.251200409959</v>
      </c>
      <c r="F150" s="30">
        <v>2821.1975212422421</v>
      </c>
      <c r="G150" s="30">
        <v>1692.7185127453452</v>
      </c>
      <c r="H150" s="30">
        <v>2031.2622152944143</v>
      </c>
      <c r="I150" s="30">
        <v>1100.2670332844743</v>
      </c>
      <c r="J150" s="30">
        <v>2369.8059178434833</v>
      </c>
      <c r="K150" s="30"/>
      <c r="L150" s="30"/>
      <c r="M150" s="30"/>
      <c r="N150" s="30"/>
      <c r="O150" s="30"/>
    </row>
    <row r="151" spans="2:15" x14ac:dyDescent="0.25">
      <c r="B151">
        <v>130</v>
      </c>
      <c r="C151">
        <v>11</v>
      </c>
      <c r="D151" s="39">
        <v>49765</v>
      </c>
      <c r="E151" s="30">
        <v>10015.251200409959</v>
      </c>
      <c r="F151" s="30">
        <v>2821.1975212422421</v>
      </c>
      <c r="G151" s="30">
        <v>1692.7185127453452</v>
      </c>
      <c r="H151" s="30">
        <v>2031.2622152944143</v>
      </c>
      <c r="I151" s="30">
        <v>1100.2670332844743</v>
      </c>
      <c r="J151" s="30">
        <v>2369.8059178434833</v>
      </c>
      <c r="K151" s="30"/>
      <c r="L151" s="30"/>
      <c r="M151" s="30"/>
      <c r="N151" s="30"/>
      <c r="O151" s="30"/>
    </row>
    <row r="152" spans="2:15" x14ac:dyDescent="0.25">
      <c r="B152">
        <v>131</v>
      </c>
      <c r="C152">
        <v>11</v>
      </c>
      <c r="D152" s="39">
        <v>49795</v>
      </c>
      <c r="E152" s="30">
        <v>10015.251200409959</v>
      </c>
      <c r="F152" s="30">
        <v>2821.1975212422421</v>
      </c>
      <c r="G152" s="30">
        <v>1692.7185127453452</v>
      </c>
      <c r="H152" s="30">
        <v>2031.2622152944143</v>
      </c>
      <c r="I152" s="30">
        <v>1100.2670332844743</v>
      </c>
      <c r="J152" s="30">
        <v>2369.8059178434833</v>
      </c>
      <c r="K152" s="30"/>
      <c r="L152" s="30"/>
      <c r="M152" s="30"/>
      <c r="N152" s="30"/>
      <c r="O152" s="30"/>
    </row>
    <row r="153" spans="2:15" x14ac:dyDescent="0.25">
      <c r="B153">
        <v>132</v>
      </c>
      <c r="C153">
        <v>11</v>
      </c>
      <c r="D153" s="39">
        <v>49826</v>
      </c>
      <c r="E153" s="30">
        <v>10015.251200409959</v>
      </c>
      <c r="F153" s="30">
        <v>2821.1975212422421</v>
      </c>
      <c r="G153" s="30">
        <v>1692.7185127453452</v>
      </c>
      <c r="H153" s="30">
        <v>2031.2622152944143</v>
      </c>
      <c r="I153" s="30">
        <v>1100.2670332844743</v>
      </c>
      <c r="J153" s="30">
        <v>2369.8059178434833</v>
      </c>
      <c r="K153" s="30"/>
      <c r="L153" s="30"/>
      <c r="M153" s="30"/>
      <c r="N153" s="30"/>
      <c r="O153" s="3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3410-99E7-449E-9EC7-6114493A6525}">
  <sheetPr>
    <tabColor theme="3" tint="0.749992370372631"/>
  </sheetPr>
  <dimension ref="B1:O153"/>
  <sheetViews>
    <sheetView topLeftCell="A6" zoomScale="130" zoomScaleNormal="130" workbookViewId="0">
      <selection activeCell="F22" sqref="F22"/>
    </sheetView>
  </sheetViews>
  <sheetFormatPr defaultRowHeight="15" x14ac:dyDescent="0.25"/>
  <cols>
    <col min="1" max="1" width="0.5703125" customWidth="1"/>
    <col min="4" max="4" width="11.28515625" customWidth="1"/>
    <col min="5" max="5" width="20.28515625" customWidth="1"/>
    <col min="6" max="6" width="10.140625" bestFit="1" customWidth="1"/>
  </cols>
  <sheetData>
    <row r="1" spans="2:10" ht="3" customHeight="1" x14ac:dyDescent="0.25"/>
    <row r="2" spans="2:10" ht="26.25" x14ac:dyDescent="0.4">
      <c r="B2" s="35" t="s">
        <v>93</v>
      </c>
    </row>
    <row r="3" spans="2:10" x14ac:dyDescent="0.25">
      <c r="E3" t="str" cm="1">
        <f t="array" ref="E3:J18">TRANSPOSE(rent.roll.assumptions)</f>
        <v>Unit Name</v>
      </c>
      <c r="F3" s="36" t="str">
        <v>Studio</v>
      </c>
      <c r="G3" s="36" t="str">
        <v>1bd/1ba</v>
      </c>
      <c r="H3" s="36" t="str">
        <v>2bd/2ba</v>
      </c>
      <c r="I3" s="36" t="str">
        <v>2bd/1.5ba</v>
      </c>
      <c r="J3" s="36" t="str">
        <v>3bd/2ba</v>
      </c>
    </row>
    <row r="4" spans="2:10" x14ac:dyDescent="0.25">
      <c r="E4" t="str">
        <v># of Units</v>
      </c>
      <c r="F4">
        <v>40</v>
      </c>
      <c r="G4">
        <v>24</v>
      </c>
      <c r="H4">
        <v>24</v>
      </c>
      <c r="I4">
        <v>12</v>
      </c>
      <c r="J4">
        <v>24</v>
      </c>
    </row>
    <row r="5" spans="2:10" x14ac:dyDescent="0.25">
      <c r="E5" t="str">
        <v>Bedrooms</v>
      </c>
      <c r="F5">
        <v>0</v>
      </c>
      <c r="G5">
        <v>1</v>
      </c>
      <c r="H5">
        <v>2</v>
      </c>
      <c r="I5">
        <v>2</v>
      </c>
      <c r="J5">
        <v>3</v>
      </c>
    </row>
    <row r="6" spans="2:10" x14ac:dyDescent="0.25">
      <c r="E6" t="str">
        <v>Baths</v>
      </c>
      <c r="F6">
        <v>1</v>
      </c>
      <c r="G6">
        <v>1</v>
      </c>
      <c r="H6">
        <v>2</v>
      </c>
      <c r="I6">
        <v>1.5</v>
      </c>
      <c r="J6">
        <v>2</v>
      </c>
    </row>
    <row r="7" spans="2:10" x14ac:dyDescent="0.25">
      <c r="E7" t="str">
        <v>Rentable Area</v>
      </c>
      <c r="F7">
        <v>430</v>
      </c>
      <c r="G7">
        <v>671</v>
      </c>
      <c r="H7">
        <v>945</v>
      </c>
      <c r="I7">
        <v>1025</v>
      </c>
      <c r="J7">
        <v>1046</v>
      </c>
    </row>
    <row r="8" spans="2:10" x14ac:dyDescent="0.25">
      <c r="E8" t="str">
        <v>In-Place Rent/Mo</v>
      </c>
      <c r="F8">
        <v>510</v>
      </c>
      <c r="G8">
        <v>660</v>
      </c>
      <c r="H8">
        <v>850</v>
      </c>
      <c r="I8">
        <v>850</v>
      </c>
      <c r="J8">
        <v>1100</v>
      </c>
    </row>
    <row r="9" spans="2:10" x14ac:dyDescent="0.25">
      <c r="E9" t="str">
        <v>Market Rent/Mo</v>
      </c>
      <c r="F9">
        <v>630</v>
      </c>
      <c r="G9">
        <v>780</v>
      </c>
      <c r="H9">
        <v>970</v>
      </c>
      <c r="I9">
        <v>970</v>
      </c>
      <c r="J9">
        <v>1220</v>
      </c>
    </row>
    <row r="10" spans="2:10" x14ac:dyDescent="0.25">
      <c r="E10" t="str">
        <v>Months to roll to market</v>
      </c>
      <c r="F10">
        <v>12</v>
      </c>
      <c r="G10">
        <v>16</v>
      </c>
      <c r="H10">
        <v>19</v>
      </c>
      <c r="I10">
        <v>22</v>
      </c>
      <c r="J10">
        <v>25</v>
      </c>
    </row>
    <row r="11" spans="2:10" x14ac:dyDescent="0.25">
      <c r="E11" t="str">
        <v>Lease Term</v>
      </c>
      <c r="F11">
        <v>12</v>
      </c>
      <c r="G11">
        <v>12</v>
      </c>
      <c r="H11">
        <v>12</v>
      </c>
      <c r="I11">
        <v>12</v>
      </c>
      <c r="J11">
        <v>12</v>
      </c>
    </row>
    <row r="12" spans="2:10" x14ac:dyDescent="0.25">
      <c r="E12" t="str">
        <v>CapEx/Unit</v>
      </c>
      <c r="F12">
        <v>50</v>
      </c>
      <c r="G12">
        <v>50</v>
      </c>
      <c r="H12">
        <v>60</v>
      </c>
      <c r="I12">
        <v>65</v>
      </c>
      <c r="J12">
        <v>70</v>
      </c>
    </row>
    <row r="13" spans="2:10" x14ac:dyDescent="0.25">
      <c r="E13" t="str">
        <v>Free Rent Per New Lease</v>
      </c>
      <c r="F13">
        <v>1</v>
      </c>
      <c r="G13">
        <v>1</v>
      </c>
      <c r="H13">
        <v>0</v>
      </c>
      <c r="I13">
        <v>0</v>
      </c>
      <c r="J13">
        <v>0</v>
      </c>
    </row>
    <row r="14" spans="2:10" x14ac:dyDescent="0.25">
      <c r="E14" t="str">
        <v>Vacancy Between Leases</v>
      </c>
      <c r="F14">
        <v>20</v>
      </c>
      <c r="G14">
        <v>20</v>
      </c>
      <c r="H14">
        <v>25</v>
      </c>
      <c r="I14">
        <v>25</v>
      </c>
      <c r="J14">
        <v>30</v>
      </c>
    </row>
    <row r="15" spans="2:10" x14ac:dyDescent="0.25">
      <c r="E15" t="str">
        <v>Re-Leasing Costs</v>
      </c>
      <c r="F15">
        <v>300</v>
      </c>
      <c r="G15">
        <v>300</v>
      </c>
      <c r="H15">
        <v>350</v>
      </c>
      <c r="I15">
        <v>350</v>
      </c>
      <c r="J15">
        <v>400</v>
      </c>
    </row>
    <row r="16" spans="2:10" x14ac:dyDescent="0.25">
      <c r="E16" t="str">
        <v>Renewal Probability</v>
      </c>
      <c r="F16">
        <v>0.6</v>
      </c>
      <c r="G16">
        <v>0.6</v>
      </c>
      <c r="H16">
        <v>0.6</v>
      </c>
      <c r="I16">
        <v>0.6</v>
      </c>
      <c r="J16">
        <v>0.6</v>
      </c>
    </row>
    <row r="17" spans="2:10" x14ac:dyDescent="0.25">
      <c r="E17" t="str">
        <v>Days Vacant</v>
      </c>
      <c r="F17">
        <v>8</v>
      </c>
      <c r="G17">
        <v>8</v>
      </c>
      <c r="H17">
        <v>10</v>
      </c>
      <c r="I17">
        <v>10</v>
      </c>
      <c r="J17">
        <v>12</v>
      </c>
    </row>
    <row r="18" spans="2:10" x14ac:dyDescent="0.25">
      <c r="E18" t="str">
        <v>Blended Releasing Cost</v>
      </c>
      <c r="F18">
        <v>120</v>
      </c>
      <c r="G18">
        <v>120</v>
      </c>
      <c r="H18">
        <v>140</v>
      </c>
      <c r="I18">
        <v>140</v>
      </c>
      <c r="J18">
        <v>160</v>
      </c>
    </row>
    <row r="19" spans="2:10" ht="15.75" thickBot="1" x14ac:dyDescent="0.3"/>
    <row r="20" spans="2:10" ht="15.75" thickBot="1" x14ac:dyDescent="0.3">
      <c r="B20" s="44" t="s">
        <v>108</v>
      </c>
      <c r="C20" s="45"/>
      <c r="D20" s="45"/>
      <c r="E20" s="45"/>
      <c r="F20" s="45"/>
      <c r="G20" s="45"/>
      <c r="H20" s="45"/>
      <c r="I20" s="45"/>
      <c r="J20" s="46"/>
    </row>
    <row r="21" spans="2:10" x14ac:dyDescent="0.25">
      <c r="B21" s="36" t="s">
        <v>95</v>
      </c>
      <c r="C21" s="36" t="s">
        <v>96</v>
      </c>
      <c r="D21" s="36" t="s">
        <v>98</v>
      </c>
      <c r="E21" s="36" t="s">
        <v>97</v>
      </c>
      <c r="F21" s="36" t="str" cm="1">
        <f t="array" ref="F21:J21">+F3:J3</f>
        <v>Studio</v>
      </c>
      <c r="G21" s="36" t="str">
        <v>1bd/1ba</v>
      </c>
      <c r="H21" s="36" t="str">
        <v>2bd/2ba</v>
      </c>
      <c r="I21" s="36" t="str">
        <v>2bd/1.5ba</v>
      </c>
      <c r="J21" s="36" t="str">
        <v>3bd/2ba</v>
      </c>
    </row>
    <row r="22" spans="2:10" x14ac:dyDescent="0.25">
      <c r="B22" cm="1">
        <f t="array" ref="B22:B153">_xlfn.SEQUENCE(12*Term.Cap.Year,1,1)</f>
        <v>1</v>
      </c>
      <c r="C22" cm="1">
        <f t="array" ref="C22:C153">ROUNDUP(_xlfn.ANCHORARRAY(B22)/12,0)</f>
        <v>1</v>
      </c>
      <c r="D22" s="39" cm="1">
        <f t="array" ref="D22:D153">EOMONTH(Start.Date,_xlfn.ANCHORARRAY(B22)-1)</f>
        <v>45838</v>
      </c>
      <c r="E22" s="30" cm="1">
        <f t="array" ref="E22:E153">_xlfn.BYROW(_xlfn.ANCHORARRAY(F22),_xlfn.LAMBDA(_xlpm.array,SUM(_xlpm.array)))</f>
        <v>0</v>
      </c>
      <c r="F22" s="30" cm="1">
        <f t="array" ref="F22:J153">IF(_xlfn.ANCHORARRAY(B22)/12=INT(_xlfn.ANCHORARRAY(B22)/12),1,0)*_xlfn.ANCHORARRAY(Monthly.Forecast.Unit)*F17:J17/30</f>
        <v>0</v>
      </c>
      <c r="G22" s="30">
        <v>0</v>
      </c>
      <c r="H22" s="30">
        <v>0</v>
      </c>
      <c r="I22" s="30">
        <v>0</v>
      </c>
      <c r="J22" s="30">
        <v>0</v>
      </c>
    </row>
    <row r="23" spans="2:10" x14ac:dyDescent="0.25">
      <c r="B23">
        <v>2</v>
      </c>
      <c r="C23">
        <v>1</v>
      </c>
      <c r="D23" s="39">
        <v>45869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</row>
    <row r="24" spans="2:10" x14ac:dyDescent="0.25">
      <c r="B24">
        <v>3</v>
      </c>
      <c r="C24">
        <v>1</v>
      </c>
      <c r="D24" s="39">
        <v>45900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</row>
    <row r="25" spans="2:10" x14ac:dyDescent="0.25">
      <c r="B25">
        <v>4</v>
      </c>
      <c r="C25">
        <v>1</v>
      </c>
      <c r="D25" s="39">
        <v>45930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</row>
    <row r="26" spans="2:10" x14ac:dyDescent="0.25">
      <c r="B26">
        <v>5</v>
      </c>
      <c r="C26">
        <v>1</v>
      </c>
      <c r="D26" s="39">
        <v>45961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</row>
    <row r="27" spans="2:10" x14ac:dyDescent="0.25">
      <c r="B27">
        <v>6</v>
      </c>
      <c r="C27">
        <v>1</v>
      </c>
      <c r="D27" s="39">
        <v>45991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</row>
    <row r="28" spans="2:10" x14ac:dyDescent="0.25">
      <c r="B28">
        <v>7</v>
      </c>
      <c r="C28">
        <v>1</v>
      </c>
      <c r="D28" s="39">
        <v>46022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</row>
    <row r="29" spans="2:10" x14ac:dyDescent="0.25">
      <c r="B29">
        <v>8</v>
      </c>
      <c r="C29">
        <v>1</v>
      </c>
      <c r="D29" s="39">
        <v>46053</v>
      </c>
      <c r="E29" s="30">
        <v>0</v>
      </c>
      <c r="F29" s="30">
        <v>0</v>
      </c>
      <c r="G29" s="30">
        <v>0</v>
      </c>
      <c r="H29" s="41">
        <v>0</v>
      </c>
      <c r="I29" s="30">
        <v>0</v>
      </c>
      <c r="J29" s="30">
        <v>0</v>
      </c>
    </row>
    <row r="30" spans="2:10" x14ac:dyDescent="0.25">
      <c r="B30">
        <v>9</v>
      </c>
      <c r="C30">
        <v>1</v>
      </c>
      <c r="D30" s="39">
        <v>46081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</row>
    <row r="31" spans="2:10" x14ac:dyDescent="0.25">
      <c r="B31">
        <v>10</v>
      </c>
      <c r="C31">
        <v>1</v>
      </c>
      <c r="D31" s="39">
        <v>46112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</row>
    <row r="32" spans="2:10" x14ac:dyDescent="0.25">
      <c r="B32">
        <v>11</v>
      </c>
      <c r="C32">
        <v>1</v>
      </c>
      <c r="D32" s="39">
        <v>46142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</row>
    <row r="33" spans="2:15" x14ac:dyDescent="0.25">
      <c r="B33">
        <v>12</v>
      </c>
      <c r="C33">
        <v>1</v>
      </c>
      <c r="D33" s="39">
        <v>46173</v>
      </c>
      <c r="E33" s="30">
        <v>31704</v>
      </c>
      <c r="F33" s="30">
        <v>6720</v>
      </c>
      <c r="G33" s="30">
        <v>4224</v>
      </c>
      <c r="H33" s="30">
        <v>6800</v>
      </c>
      <c r="I33" s="30">
        <v>3400</v>
      </c>
      <c r="J33" s="30">
        <v>10560</v>
      </c>
    </row>
    <row r="34" spans="2:15" x14ac:dyDescent="0.25">
      <c r="B34">
        <v>13</v>
      </c>
      <c r="C34">
        <v>2</v>
      </c>
      <c r="D34" s="39">
        <v>46203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</row>
    <row r="35" spans="2:15" x14ac:dyDescent="0.25">
      <c r="B35">
        <v>14</v>
      </c>
      <c r="C35">
        <v>2</v>
      </c>
      <c r="D35" s="39">
        <v>46234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</row>
    <row r="36" spans="2:15" x14ac:dyDescent="0.25">
      <c r="B36">
        <v>15</v>
      </c>
      <c r="C36">
        <v>2</v>
      </c>
      <c r="D36" s="39">
        <v>46265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/>
      <c r="L36" s="30"/>
      <c r="M36" s="30"/>
      <c r="N36" s="30"/>
      <c r="O36" s="30"/>
    </row>
    <row r="37" spans="2:15" x14ac:dyDescent="0.25">
      <c r="B37">
        <v>16</v>
      </c>
      <c r="C37">
        <v>2</v>
      </c>
      <c r="D37" s="39">
        <v>46295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/>
      <c r="L37" s="30"/>
      <c r="M37" s="30"/>
      <c r="N37" s="30"/>
      <c r="O37" s="30"/>
    </row>
    <row r="38" spans="2:15" x14ac:dyDescent="0.25">
      <c r="B38">
        <v>17</v>
      </c>
      <c r="C38">
        <v>2</v>
      </c>
      <c r="D38" s="39">
        <v>46326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/>
      <c r="L38" s="30"/>
      <c r="M38" s="30"/>
      <c r="N38" s="30"/>
      <c r="O38" s="30"/>
    </row>
    <row r="39" spans="2:15" x14ac:dyDescent="0.25">
      <c r="B39">
        <v>18</v>
      </c>
      <c r="C39">
        <v>2</v>
      </c>
      <c r="D39" s="39">
        <v>46356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/>
      <c r="L39" s="30"/>
      <c r="M39" s="30"/>
      <c r="N39" s="30"/>
      <c r="O39" s="30"/>
    </row>
    <row r="40" spans="2:15" x14ac:dyDescent="0.25">
      <c r="B40">
        <v>19</v>
      </c>
      <c r="C40">
        <v>2</v>
      </c>
      <c r="D40" s="39">
        <v>46387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/>
      <c r="L40" s="30"/>
      <c r="M40" s="30"/>
      <c r="N40" s="30"/>
      <c r="O40" s="30"/>
    </row>
    <row r="41" spans="2:15" x14ac:dyDescent="0.25">
      <c r="B41">
        <v>20</v>
      </c>
      <c r="C41">
        <v>2</v>
      </c>
      <c r="D41" s="39">
        <v>46418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/>
      <c r="L41" s="30"/>
      <c r="M41" s="30"/>
      <c r="N41" s="30"/>
      <c r="O41" s="30"/>
    </row>
    <row r="42" spans="2:15" x14ac:dyDescent="0.25">
      <c r="B42">
        <v>21</v>
      </c>
      <c r="C42">
        <v>2</v>
      </c>
      <c r="D42" s="39">
        <v>46446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/>
      <c r="L42" s="30"/>
      <c r="M42" s="30"/>
      <c r="N42" s="30"/>
      <c r="O42" s="30"/>
    </row>
    <row r="43" spans="2:15" x14ac:dyDescent="0.25">
      <c r="B43">
        <v>22</v>
      </c>
      <c r="C43">
        <v>2</v>
      </c>
      <c r="D43" s="39">
        <v>46477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/>
      <c r="L43" s="30"/>
      <c r="M43" s="30"/>
      <c r="N43" s="30"/>
      <c r="O43" s="30"/>
    </row>
    <row r="44" spans="2:15" x14ac:dyDescent="0.25">
      <c r="B44">
        <v>23</v>
      </c>
      <c r="C44">
        <v>2</v>
      </c>
      <c r="D44" s="39">
        <v>46507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/>
      <c r="L44" s="30"/>
      <c r="M44" s="30"/>
      <c r="N44" s="30"/>
      <c r="O44" s="30"/>
    </row>
    <row r="45" spans="2:15" x14ac:dyDescent="0.25">
      <c r="B45">
        <v>24</v>
      </c>
      <c r="C45">
        <v>2</v>
      </c>
      <c r="D45" s="39">
        <v>46538</v>
      </c>
      <c r="E45" s="30">
        <v>35098.92</v>
      </c>
      <c r="F45" s="30">
        <v>6955.1999999999989</v>
      </c>
      <c r="G45" s="30">
        <v>5166.7199999999993</v>
      </c>
      <c r="H45" s="30">
        <v>8031.6</v>
      </c>
      <c r="I45" s="30">
        <v>4015.8</v>
      </c>
      <c r="J45" s="30">
        <v>10929.599999999999</v>
      </c>
      <c r="K45" s="30"/>
      <c r="L45" s="30"/>
      <c r="M45" s="30"/>
      <c r="N45" s="30"/>
      <c r="O45" s="30"/>
    </row>
    <row r="46" spans="2:15" x14ac:dyDescent="0.25">
      <c r="B46">
        <v>25</v>
      </c>
      <c r="C46">
        <v>3</v>
      </c>
      <c r="D46" s="39">
        <v>46568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/>
      <c r="L46" s="30"/>
      <c r="M46" s="30"/>
      <c r="N46" s="30"/>
      <c r="O46" s="30"/>
    </row>
    <row r="47" spans="2:15" x14ac:dyDescent="0.25">
      <c r="B47">
        <v>26</v>
      </c>
      <c r="C47">
        <v>3</v>
      </c>
      <c r="D47" s="39">
        <v>46599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/>
      <c r="L47" s="30"/>
      <c r="M47" s="30"/>
      <c r="N47" s="30"/>
      <c r="O47" s="30"/>
    </row>
    <row r="48" spans="2:15" x14ac:dyDescent="0.25">
      <c r="B48">
        <v>27</v>
      </c>
      <c r="C48">
        <v>3</v>
      </c>
      <c r="D48" s="39">
        <v>46630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/>
      <c r="L48" s="30"/>
      <c r="M48" s="30"/>
      <c r="N48" s="30"/>
      <c r="O48" s="30"/>
    </row>
    <row r="49" spans="2:15" x14ac:dyDescent="0.25">
      <c r="B49">
        <v>28</v>
      </c>
      <c r="C49">
        <v>3</v>
      </c>
      <c r="D49" s="39">
        <v>46660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/>
      <c r="L49" s="30"/>
      <c r="M49" s="30"/>
      <c r="N49" s="30"/>
      <c r="O49" s="30"/>
    </row>
    <row r="50" spans="2:15" x14ac:dyDescent="0.25">
      <c r="B50">
        <v>29</v>
      </c>
      <c r="C50">
        <v>3</v>
      </c>
      <c r="D50" s="39">
        <v>46691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/>
      <c r="L50" s="30"/>
      <c r="M50" s="30"/>
      <c r="N50" s="30"/>
      <c r="O50" s="30"/>
    </row>
    <row r="51" spans="2:15" x14ac:dyDescent="0.25">
      <c r="B51">
        <v>30</v>
      </c>
      <c r="C51">
        <v>3</v>
      </c>
      <c r="D51" s="39">
        <v>46721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/>
      <c r="L51" s="30"/>
      <c r="M51" s="30"/>
      <c r="N51" s="30"/>
      <c r="O51" s="30"/>
    </row>
    <row r="52" spans="2:15" x14ac:dyDescent="0.25">
      <c r="B52">
        <v>31</v>
      </c>
      <c r="C52">
        <v>3</v>
      </c>
      <c r="D52" s="39">
        <v>46752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/>
      <c r="L52" s="30"/>
      <c r="M52" s="30"/>
      <c r="N52" s="30"/>
      <c r="O52" s="30"/>
    </row>
    <row r="53" spans="2:15" x14ac:dyDescent="0.25">
      <c r="B53">
        <v>32</v>
      </c>
      <c r="C53">
        <v>3</v>
      </c>
      <c r="D53" s="39">
        <v>46783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/>
      <c r="L53" s="30"/>
      <c r="M53" s="30"/>
      <c r="N53" s="30"/>
      <c r="O53" s="30"/>
    </row>
    <row r="54" spans="2:15" x14ac:dyDescent="0.25">
      <c r="B54">
        <v>33</v>
      </c>
      <c r="C54">
        <v>3</v>
      </c>
      <c r="D54" s="39">
        <v>46812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/>
      <c r="L54" s="30"/>
      <c r="M54" s="30"/>
      <c r="N54" s="30"/>
      <c r="O54" s="30"/>
    </row>
    <row r="55" spans="2:15" x14ac:dyDescent="0.25">
      <c r="B55">
        <v>34</v>
      </c>
      <c r="C55">
        <v>3</v>
      </c>
      <c r="D55" s="39">
        <v>46843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/>
      <c r="L55" s="30"/>
      <c r="M55" s="30"/>
      <c r="N55" s="30"/>
      <c r="O55" s="30"/>
    </row>
    <row r="56" spans="2:15" x14ac:dyDescent="0.25">
      <c r="B56">
        <v>35</v>
      </c>
      <c r="C56">
        <v>3</v>
      </c>
      <c r="D56" s="39">
        <v>46873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/>
      <c r="L56" s="30"/>
      <c r="M56" s="30"/>
      <c r="N56" s="30"/>
      <c r="O56" s="30"/>
    </row>
    <row r="57" spans="2:15" x14ac:dyDescent="0.25">
      <c r="B57">
        <v>36</v>
      </c>
      <c r="C57">
        <v>3</v>
      </c>
      <c r="D57" s="39">
        <v>46904</v>
      </c>
      <c r="E57" s="30">
        <v>37561.433399999994</v>
      </c>
      <c r="F57" s="30">
        <v>7198.6319999999987</v>
      </c>
      <c r="G57" s="30">
        <v>5347.5551999999998</v>
      </c>
      <c r="H57" s="30">
        <v>8312.7060000000001</v>
      </c>
      <c r="I57" s="30">
        <v>4156.3530000000001</v>
      </c>
      <c r="J57" s="30">
        <v>12546.187199999998</v>
      </c>
      <c r="K57" s="30"/>
      <c r="L57" s="30"/>
      <c r="M57" s="30"/>
      <c r="N57" s="30"/>
      <c r="O57" s="30"/>
    </row>
    <row r="58" spans="2:15" x14ac:dyDescent="0.25">
      <c r="B58">
        <v>37</v>
      </c>
      <c r="C58">
        <v>4</v>
      </c>
      <c r="D58" s="39">
        <v>46934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/>
      <c r="L58" s="30"/>
      <c r="M58" s="30"/>
      <c r="N58" s="30"/>
      <c r="O58" s="30"/>
    </row>
    <row r="59" spans="2:15" x14ac:dyDescent="0.25">
      <c r="B59">
        <v>38</v>
      </c>
      <c r="C59">
        <v>4</v>
      </c>
      <c r="D59" s="39">
        <v>46965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/>
      <c r="L59" s="30"/>
      <c r="M59" s="30"/>
      <c r="N59" s="30"/>
      <c r="O59" s="30"/>
    </row>
    <row r="60" spans="2:15" x14ac:dyDescent="0.25">
      <c r="B60">
        <v>39</v>
      </c>
      <c r="C60">
        <v>4</v>
      </c>
      <c r="D60" s="39">
        <v>46996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/>
      <c r="L60" s="30"/>
      <c r="M60" s="30"/>
      <c r="N60" s="30"/>
      <c r="O60" s="30"/>
    </row>
    <row r="61" spans="2:15" x14ac:dyDescent="0.25">
      <c r="B61">
        <v>40</v>
      </c>
      <c r="C61">
        <v>4</v>
      </c>
      <c r="D61" s="39">
        <v>47026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/>
      <c r="L61" s="30"/>
      <c r="M61" s="30"/>
      <c r="N61" s="30"/>
      <c r="O61" s="30"/>
    </row>
    <row r="62" spans="2:15" x14ac:dyDescent="0.25">
      <c r="B62">
        <v>41</v>
      </c>
      <c r="C62">
        <v>4</v>
      </c>
      <c r="D62" s="39">
        <v>47057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/>
      <c r="L62" s="30"/>
      <c r="M62" s="30"/>
      <c r="N62" s="30"/>
      <c r="O62" s="30"/>
    </row>
    <row r="63" spans="2:15" x14ac:dyDescent="0.25">
      <c r="B63">
        <v>42</v>
      </c>
      <c r="C63">
        <v>4</v>
      </c>
      <c r="D63" s="39">
        <v>47087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/>
      <c r="L63" s="30"/>
      <c r="M63" s="30"/>
      <c r="N63" s="30"/>
      <c r="O63" s="30"/>
    </row>
    <row r="64" spans="2:15" x14ac:dyDescent="0.25">
      <c r="B64">
        <v>43</v>
      </c>
      <c r="C64">
        <v>4</v>
      </c>
      <c r="D64" s="39">
        <v>47118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/>
      <c r="L64" s="30"/>
      <c r="M64" s="30"/>
      <c r="N64" s="30"/>
      <c r="O64" s="30"/>
    </row>
    <row r="65" spans="2:15" x14ac:dyDescent="0.25">
      <c r="B65">
        <v>44</v>
      </c>
      <c r="C65">
        <v>4</v>
      </c>
      <c r="D65" s="39">
        <v>47149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/>
      <c r="L65" s="30"/>
      <c r="M65" s="30"/>
      <c r="N65" s="30"/>
      <c r="O65" s="30"/>
    </row>
    <row r="66" spans="2:15" x14ac:dyDescent="0.25">
      <c r="B66">
        <v>45</v>
      </c>
      <c r="C66">
        <v>4</v>
      </c>
      <c r="D66" s="39">
        <v>47177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/>
      <c r="L66" s="30"/>
      <c r="M66" s="30"/>
      <c r="N66" s="30"/>
      <c r="O66" s="30"/>
    </row>
    <row r="67" spans="2:15" x14ac:dyDescent="0.25">
      <c r="B67">
        <v>46</v>
      </c>
      <c r="C67">
        <v>4</v>
      </c>
      <c r="D67" s="39">
        <v>47208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/>
      <c r="L67" s="30"/>
      <c r="M67" s="30"/>
      <c r="N67" s="30"/>
      <c r="O67" s="30"/>
    </row>
    <row r="68" spans="2:15" x14ac:dyDescent="0.25">
      <c r="B68">
        <v>47</v>
      </c>
      <c r="C68">
        <v>4</v>
      </c>
      <c r="D68" s="39">
        <v>47238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/>
      <c r="L68" s="30"/>
      <c r="M68" s="30"/>
      <c r="N68" s="30"/>
      <c r="O68" s="30"/>
    </row>
    <row r="69" spans="2:15" x14ac:dyDescent="0.25">
      <c r="B69">
        <v>48</v>
      </c>
      <c r="C69">
        <v>4</v>
      </c>
      <c r="D69" s="39">
        <v>47269</v>
      </c>
      <c r="E69" s="30">
        <v>38876.083568999995</v>
      </c>
      <c r="F69" s="30">
        <v>7450.5841199999986</v>
      </c>
      <c r="G69" s="30">
        <v>5534.7196319999985</v>
      </c>
      <c r="H69" s="30">
        <v>8603.6507099999981</v>
      </c>
      <c r="I69" s="30">
        <v>4301.825354999999</v>
      </c>
      <c r="J69" s="30">
        <v>12985.303751999998</v>
      </c>
      <c r="K69" s="30"/>
      <c r="L69" s="30"/>
      <c r="M69" s="30"/>
      <c r="N69" s="30"/>
      <c r="O69" s="30"/>
    </row>
    <row r="70" spans="2:15" x14ac:dyDescent="0.25">
      <c r="B70">
        <v>49</v>
      </c>
      <c r="C70">
        <v>5</v>
      </c>
      <c r="D70" s="39">
        <v>47299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/>
      <c r="L70" s="30"/>
      <c r="M70" s="30"/>
      <c r="N70" s="30"/>
      <c r="O70" s="30"/>
    </row>
    <row r="71" spans="2:15" x14ac:dyDescent="0.25">
      <c r="B71">
        <v>50</v>
      </c>
      <c r="C71">
        <v>5</v>
      </c>
      <c r="D71" s="39">
        <v>47330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/>
      <c r="L71" s="30"/>
      <c r="M71" s="30"/>
      <c r="N71" s="30"/>
      <c r="O71" s="30"/>
    </row>
    <row r="72" spans="2:15" x14ac:dyDescent="0.25">
      <c r="B72">
        <v>51</v>
      </c>
      <c r="C72">
        <v>5</v>
      </c>
      <c r="D72" s="39">
        <v>47361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/>
      <c r="L72" s="30"/>
      <c r="M72" s="30"/>
      <c r="N72" s="30"/>
      <c r="O72" s="30"/>
    </row>
    <row r="73" spans="2:15" x14ac:dyDescent="0.25">
      <c r="B73">
        <v>52</v>
      </c>
      <c r="C73">
        <v>5</v>
      </c>
      <c r="D73" s="39">
        <v>47391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/>
      <c r="L73" s="30"/>
      <c r="M73" s="30"/>
      <c r="N73" s="30"/>
      <c r="O73" s="30"/>
    </row>
    <row r="74" spans="2:15" x14ac:dyDescent="0.25">
      <c r="B74">
        <v>53</v>
      </c>
      <c r="C74">
        <v>5</v>
      </c>
      <c r="D74" s="39">
        <v>47422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/>
      <c r="L74" s="30"/>
      <c r="M74" s="30"/>
      <c r="N74" s="30"/>
      <c r="O74" s="30"/>
    </row>
    <row r="75" spans="2:15" x14ac:dyDescent="0.25">
      <c r="B75">
        <v>54</v>
      </c>
      <c r="C75">
        <v>5</v>
      </c>
      <c r="D75" s="39">
        <v>47452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/>
      <c r="L75" s="30"/>
      <c r="M75" s="30"/>
      <c r="N75" s="30"/>
      <c r="O75" s="30"/>
    </row>
    <row r="76" spans="2:15" x14ac:dyDescent="0.25">
      <c r="B76">
        <v>55</v>
      </c>
      <c r="C76">
        <v>5</v>
      </c>
      <c r="D76" s="39">
        <v>47483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/>
      <c r="L76" s="30"/>
      <c r="M76" s="30"/>
      <c r="N76" s="30"/>
      <c r="O76" s="30"/>
    </row>
    <row r="77" spans="2:15" x14ac:dyDescent="0.25">
      <c r="B77">
        <v>56</v>
      </c>
      <c r="C77">
        <v>5</v>
      </c>
      <c r="D77" s="39">
        <v>47514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/>
      <c r="L77" s="30"/>
      <c r="M77" s="30"/>
      <c r="N77" s="30"/>
      <c r="O77" s="30"/>
    </row>
    <row r="78" spans="2:15" x14ac:dyDescent="0.25">
      <c r="B78">
        <v>57</v>
      </c>
      <c r="C78">
        <v>5</v>
      </c>
      <c r="D78" s="39">
        <v>47542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/>
      <c r="L78" s="30"/>
      <c r="M78" s="30"/>
      <c r="N78" s="30"/>
      <c r="O78" s="30"/>
    </row>
    <row r="79" spans="2:15" x14ac:dyDescent="0.25">
      <c r="B79">
        <v>58</v>
      </c>
      <c r="C79">
        <v>5</v>
      </c>
      <c r="D79" s="39">
        <v>47573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/>
      <c r="L79" s="30"/>
      <c r="M79" s="30"/>
      <c r="N79" s="30"/>
      <c r="O79" s="30"/>
    </row>
    <row r="80" spans="2:15" x14ac:dyDescent="0.25">
      <c r="B80">
        <v>59</v>
      </c>
      <c r="C80">
        <v>5</v>
      </c>
      <c r="D80" s="39">
        <v>47603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/>
      <c r="L80" s="30"/>
      <c r="M80" s="30"/>
      <c r="N80" s="30"/>
      <c r="O80" s="30"/>
    </row>
    <row r="81" spans="2:15" x14ac:dyDescent="0.25">
      <c r="B81">
        <v>60</v>
      </c>
      <c r="C81">
        <v>5</v>
      </c>
      <c r="D81" s="39">
        <v>47634</v>
      </c>
      <c r="E81" s="30">
        <v>40236.746493914987</v>
      </c>
      <c r="F81" s="30">
        <v>7711.3545641999981</v>
      </c>
      <c r="G81" s="30">
        <v>5728.4348191199979</v>
      </c>
      <c r="H81" s="30">
        <v>8904.7784848499978</v>
      </c>
      <c r="I81" s="30">
        <v>4452.3892424249989</v>
      </c>
      <c r="J81" s="30">
        <v>13439.789383319994</v>
      </c>
      <c r="K81" s="30"/>
      <c r="L81" s="30"/>
      <c r="M81" s="30"/>
      <c r="N81" s="30"/>
      <c r="O81" s="30"/>
    </row>
    <row r="82" spans="2:15" x14ac:dyDescent="0.25">
      <c r="B82">
        <v>61</v>
      </c>
      <c r="C82">
        <v>6</v>
      </c>
      <c r="D82" s="39">
        <v>47664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/>
      <c r="L82" s="30"/>
      <c r="M82" s="30"/>
      <c r="N82" s="30"/>
      <c r="O82" s="30"/>
    </row>
    <row r="83" spans="2:15" x14ac:dyDescent="0.25">
      <c r="B83">
        <v>62</v>
      </c>
      <c r="C83">
        <v>6</v>
      </c>
      <c r="D83" s="39">
        <v>47695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/>
      <c r="L83" s="30"/>
      <c r="M83" s="30"/>
      <c r="N83" s="30"/>
      <c r="O83" s="30"/>
    </row>
    <row r="84" spans="2:15" x14ac:dyDescent="0.25">
      <c r="B84">
        <v>63</v>
      </c>
      <c r="C84">
        <v>6</v>
      </c>
      <c r="D84" s="39">
        <v>47726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/>
      <c r="L84" s="30"/>
      <c r="M84" s="30"/>
      <c r="N84" s="30"/>
      <c r="O84" s="30"/>
    </row>
    <row r="85" spans="2:15" x14ac:dyDescent="0.25">
      <c r="B85">
        <v>64</v>
      </c>
      <c r="C85">
        <v>6</v>
      </c>
      <c r="D85" s="39">
        <v>47756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/>
      <c r="L85" s="30"/>
      <c r="M85" s="30"/>
      <c r="N85" s="30"/>
      <c r="O85" s="30"/>
    </row>
    <row r="86" spans="2:15" x14ac:dyDescent="0.25">
      <c r="B86">
        <v>65</v>
      </c>
      <c r="C86">
        <v>6</v>
      </c>
      <c r="D86" s="39">
        <v>47787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/>
      <c r="L86" s="30"/>
      <c r="M86" s="30"/>
      <c r="N86" s="30"/>
      <c r="O86" s="30"/>
    </row>
    <row r="87" spans="2:15" x14ac:dyDescent="0.25">
      <c r="B87">
        <v>66</v>
      </c>
      <c r="C87">
        <v>6</v>
      </c>
      <c r="D87" s="39">
        <v>47817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/>
      <c r="L87" s="30"/>
      <c r="M87" s="30"/>
      <c r="N87" s="30"/>
      <c r="O87" s="30"/>
    </row>
    <row r="88" spans="2:15" x14ac:dyDescent="0.25">
      <c r="B88">
        <v>67</v>
      </c>
      <c r="C88">
        <v>6</v>
      </c>
      <c r="D88" s="39">
        <v>47848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/>
      <c r="L88" s="30"/>
      <c r="M88" s="30"/>
      <c r="N88" s="30"/>
      <c r="O88" s="30"/>
    </row>
    <row r="89" spans="2:15" x14ac:dyDescent="0.25">
      <c r="B89">
        <v>68</v>
      </c>
      <c r="C89">
        <v>6</v>
      </c>
      <c r="D89" s="39">
        <v>47879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/>
      <c r="L89" s="30"/>
      <c r="M89" s="30"/>
      <c r="N89" s="30"/>
      <c r="O89" s="30"/>
    </row>
    <row r="90" spans="2:15" x14ac:dyDescent="0.25">
      <c r="B90">
        <v>69</v>
      </c>
      <c r="C90">
        <v>6</v>
      </c>
      <c r="D90" s="39">
        <v>47907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/>
      <c r="L90" s="30"/>
      <c r="M90" s="30"/>
      <c r="N90" s="30"/>
      <c r="O90" s="30"/>
    </row>
    <row r="91" spans="2:15" x14ac:dyDescent="0.25">
      <c r="B91">
        <v>70</v>
      </c>
      <c r="C91">
        <v>6</v>
      </c>
      <c r="D91" s="39">
        <v>47938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/>
      <c r="L91" s="30"/>
      <c r="M91" s="30"/>
      <c r="N91" s="30"/>
      <c r="O91" s="30"/>
    </row>
    <row r="92" spans="2:15" x14ac:dyDescent="0.25">
      <c r="B92">
        <v>71</v>
      </c>
      <c r="C92">
        <v>6</v>
      </c>
      <c r="D92" s="39">
        <v>47968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/>
      <c r="L92" s="30"/>
      <c r="M92" s="30"/>
      <c r="N92" s="30"/>
      <c r="O92" s="30"/>
    </row>
    <row r="93" spans="2:15" x14ac:dyDescent="0.25">
      <c r="B93">
        <v>72</v>
      </c>
      <c r="C93">
        <v>6</v>
      </c>
      <c r="D93" s="39">
        <v>47999</v>
      </c>
      <c r="E93" s="30">
        <v>41645.032621202001</v>
      </c>
      <c r="F93" s="30">
        <v>7981.2519739469972</v>
      </c>
      <c r="G93" s="30">
        <v>5928.9300377891968</v>
      </c>
      <c r="H93" s="30">
        <v>9216.4457318197456</v>
      </c>
      <c r="I93" s="30">
        <v>4608.2228659098728</v>
      </c>
      <c r="J93" s="30">
        <v>13910.182011736191</v>
      </c>
      <c r="K93" s="30"/>
      <c r="L93" s="30"/>
      <c r="M93" s="30"/>
      <c r="N93" s="30"/>
      <c r="O93" s="30"/>
    </row>
    <row r="94" spans="2:15" x14ac:dyDescent="0.25">
      <c r="B94">
        <v>73</v>
      </c>
      <c r="C94">
        <v>7</v>
      </c>
      <c r="D94" s="39">
        <v>48029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/>
      <c r="L94" s="30"/>
      <c r="M94" s="30"/>
      <c r="N94" s="30"/>
      <c r="O94" s="30"/>
    </row>
    <row r="95" spans="2:15" x14ac:dyDescent="0.25">
      <c r="B95">
        <v>74</v>
      </c>
      <c r="C95">
        <v>7</v>
      </c>
      <c r="D95" s="39">
        <v>48060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/>
      <c r="L95" s="30"/>
      <c r="M95" s="30"/>
      <c r="N95" s="30"/>
      <c r="O95" s="30"/>
    </row>
    <row r="96" spans="2:15" x14ac:dyDescent="0.25">
      <c r="B96">
        <v>75</v>
      </c>
      <c r="C96">
        <v>7</v>
      </c>
      <c r="D96" s="39">
        <v>48091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/>
      <c r="L96" s="30"/>
      <c r="M96" s="30"/>
      <c r="N96" s="30"/>
      <c r="O96" s="30"/>
    </row>
    <row r="97" spans="2:15" x14ac:dyDescent="0.25">
      <c r="B97">
        <v>76</v>
      </c>
      <c r="C97">
        <v>7</v>
      </c>
      <c r="D97" s="39">
        <v>48121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/>
      <c r="L97" s="30"/>
      <c r="M97" s="30"/>
      <c r="N97" s="30"/>
      <c r="O97" s="30"/>
    </row>
    <row r="98" spans="2:15" x14ac:dyDescent="0.25">
      <c r="B98">
        <v>77</v>
      </c>
      <c r="C98">
        <v>7</v>
      </c>
      <c r="D98" s="39">
        <v>48152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/>
      <c r="L98" s="30"/>
      <c r="M98" s="30"/>
      <c r="N98" s="30"/>
      <c r="O98" s="30"/>
    </row>
    <row r="99" spans="2:15" x14ac:dyDescent="0.25">
      <c r="B99">
        <v>78</v>
      </c>
      <c r="C99">
        <v>7</v>
      </c>
      <c r="D99" s="39">
        <v>48182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/>
      <c r="L99" s="30"/>
      <c r="M99" s="30"/>
      <c r="N99" s="30"/>
      <c r="O99" s="30"/>
    </row>
    <row r="100" spans="2:15" x14ac:dyDescent="0.25">
      <c r="B100">
        <v>79</v>
      </c>
      <c r="C100">
        <v>7</v>
      </c>
      <c r="D100" s="39">
        <v>48213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/>
      <c r="L100" s="30"/>
      <c r="M100" s="30"/>
      <c r="N100" s="30"/>
      <c r="O100" s="30"/>
    </row>
    <row r="101" spans="2:15" x14ac:dyDescent="0.25">
      <c r="B101">
        <v>80</v>
      </c>
      <c r="C101">
        <v>7</v>
      </c>
      <c r="D101" s="39">
        <v>48244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/>
      <c r="L101" s="30"/>
      <c r="M101" s="30"/>
      <c r="N101" s="30"/>
      <c r="O101" s="30"/>
    </row>
    <row r="102" spans="2:15" x14ac:dyDescent="0.25">
      <c r="B102">
        <v>81</v>
      </c>
      <c r="C102">
        <v>7</v>
      </c>
      <c r="D102" s="39">
        <v>48273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/>
      <c r="L102" s="30"/>
      <c r="M102" s="30"/>
      <c r="N102" s="30"/>
      <c r="O102" s="30"/>
    </row>
    <row r="103" spans="2:15" x14ac:dyDescent="0.25">
      <c r="B103">
        <v>82</v>
      </c>
      <c r="C103">
        <v>7</v>
      </c>
      <c r="D103" s="39">
        <v>48304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/>
      <c r="L103" s="30"/>
      <c r="M103" s="30"/>
      <c r="N103" s="30"/>
      <c r="O103" s="30"/>
    </row>
    <row r="104" spans="2:15" x14ac:dyDescent="0.25">
      <c r="B104">
        <v>83</v>
      </c>
      <c r="C104">
        <v>7</v>
      </c>
      <c r="D104" s="39">
        <v>48334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/>
      <c r="L104" s="30"/>
      <c r="M104" s="30"/>
      <c r="N104" s="30"/>
      <c r="O104" s="30"/>
    </row>
    <row r="105" spans="2:15" x14ac:dyDescent="0.25">
      <c r="B105">
        <v>84</v>
      </c>
      <c r="C105">
        <v>7</v>
      </c>
      <c r="D105" s="39">
        <v>48365</v>
      </c>
      <c r="E105" s="30">
        <v>43102.608762944081</v>
      </c>
      <c r="F105" s="30">
        <v>8260.5957930351415</v>
      </c>
      <c r="G105" s="30">
        <v>6136.4425891118199</v>
      </c>
      <c r="H105" s="30">
        <v>9539.0213324334381</v>
      </c>
      <c r="I105" s="30">
        <v>4769.5106662167191</v>
      </c>
      <c r="J105" s="30">
        <v>14397.038382146962</v>
      </c>
      <c r="K105" s="30"/>
      <c r="L105" s="30"/>
      <c r="M105" s="30"/>
      <c r="N105" s="30"/>
      <c r="O105" s="30"/>
    </row>
    <row r="106" spans="2:15" x14ac:dyDescent="0.25">
      <c r="B106">
        <v>85</v>
      </c>
      <c r="C106">
        <v>8</v>
      </c>
      <c r="D106" s="39">
        <v>48395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/>
      <c r="L106" s="30"/>
      <c r="M106" s="30"/>
      <c r="N106" s="30"/>
      <c r="O106" s="30"/>
    </row>
    <row r="107" spans="2:15" x14ac:dyDescent="0.25">
      <c r="B107">
        <v>86</v>
      </c>
      <c r="C107">
        <v>8</v>
      </c>
      <c r="D107" s="39">
        <v>48426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/>
      <c r="L107" s="30"/>
      <c r="M107" s="30"/>
      <c r="N107" s="30"/>
      <c r="O107" s="30"/>
    </row>
    <row r="108" spans="2:15" x14ac:dyDescent="0.25">
      <c r="B108">
        <v>87</v>
      </c>
      <c r="C108">
        <v>8</v>
      </c>
      <c r="D108" s="39">
        <v>48457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/>
      <c r="L108" s="30"/>
      <c r="M108" s="30"/>
      <c r="N108" s="30"/>
      <c r="O108" s="30"/>
    </row>
    <row r="109" spans="2:15" x14ac:dyDescent="0.25">
      <c r="B109">
        <v>88</v>
      </c>
      <c r="C109">
        <v>8</v>
      </c>
      <c r="D109" s="39">
        <v>48487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/>
      <c r="L109" s="30"/>
      <c r="M109" s="30"/>
      <c r="N109" s="30"/>
      <c r="O109" s="30"/>
    </row>
    <row r="110" spans="2:15" x14ac:dyDescent="0.25">
      <c r="B110">
        <v>89</v>
      </c>
      <c r="C110">
        <v>8</v>
      </c>
      <c r="D110" s="39">
        <v>48518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/>
      <c r="L110" s="30"/>
      <c r="M110" s="30"/>
      <c r="N110" s="30"/>
      <c r="O110" s="30"/>
    </row>
    <row r="111" spans="2:15" x14ac:dyDescent="0.25">
      <c r="B111">
        <v>90</v>
      </c>
      <c r="C111">
        <v>8</v>
      </c>
      <c r="D111" s="39">
        <v>48548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/>
      <c r="L111" s="30"/>
      <c r="M111" s="30"/>
      <c r="N111" s="30"/>
      <c r="O111" s="30"/>
    </row>
    <row r="112" spans="2:15" x14ac:dyDescent="0.25">
      <c r="B112">
        <v>91</v>
      </c>
      <c r="C112">
        <v>8</v>
      </c>
      <c r="D112" s="39">
        <v>48579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/>
      <c r="L112" s="30"/>
      <c r="M112" s="30"/>
      <c r="N112" s="30"/>
      <c r="O112" s="30"/>
    </row>
    <row r="113" spans="2:15" x14ac:dyDescent="0.25">
      <c r="B113">
        <v>92</v>
      </c>
      <c r="C113">
        <v>8</v>
      </c>
      <c r="D113" s="39">
        <v>48610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/>
      <c r="L113" s="30"/>
      <c r="M113" s="30"/>
      <c r="N113" s="30"/>
      <c r="O113" s="30"/>
    </row>
    <row r="114" spans="2:15" x14ac:dyDescent="0.25">
      <c r="B114">
        <v>93</v>
      </c>
      <c r="C114">
        <v>8</v>
      </c>
      <c r="D114" s="39">
        <v>48638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/>
      <c r="L114" s="30"/>
      <c r="M114" s="30"/>
      <c r="N114" s="30"/>
      <c r="O114" s="30"/>
    </row>
    <row r="115" spans="2:15" x14ac:dyDescent="0.25">
      <c r="B115">
        <v>94</v>
      </c>
      <c r="C115">
        <v>8</v>
      </c>
      <c r="D115" s="39">
        <v>48669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/>
      <c r="L115" s="30"/>
      <c r="M115" s="30"/>
      <c r="N115" s="30"/>
      <c r="O115" s="30"/>
    </row>
    <row r="116" spans="2:15" x14ac:dyDescent="0.25">
      <c r="B116">
        <v>95</v>
      </c>
      <c r="C116">
        <v>8</v>
      </c>
      <c r="D116" s="39">
        <v>48699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/>
      <c r="L116" s="30"/>
      <c r="M116" s="30"/>
      <c r="N116" s="30"/>
      <c r="O116" s="30"/>
    </row>
    <row r="117" spans="2:15" x14ac:dyDescent="0.25">
      <c r="B117">
        <v>96</v>
      </c>
      <c r="C117">
        <v>8</v>
      </c>
      <c r="D117" s="39">
        <v>48730</v>
      </c>
      <c r="E117" s="30">
        <v>44611.200069647122</v>
      </c>
      <c r="F117" s="30">
        <v>8549.7166457913718</v>
      </c>
      <c r="G117" s="30">
        <v>6351.2180797307328</v>
      </c>
      <c r="H117" s="30">
        <v>9872.8870790686069</v>
      </c>
      <c r="I117" s="30">
        <v>4936.4435395343035</v>
      </c>
      <c r="J117" s="30">
        <v>14900.934725522104</v>
      </c>
      <c r="K117" s="30"/>
      <c r="L117" s="30"/>
      <c r="M117" s="30"/>
      <c r="N117" s="30"/>
      <c r="O117" s="30"/>
    </row>
    <row r="118" spans="2:15" x14ac:dyDescent="0.25">
      <c r="B118">
        <v>97</v>
      </c>
      <c r="C118">
        <v>9</v>
      </c>
      <c r="D118" s="39">
        <v>48760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/>
      <c r="L118" s="30"/>
      <c r="M118" s="30"/>
      <c r="N118" s="30"/>
      <c r="O118" s="30"/>
    </row>
    <row r="119" spans="2:15" x14ac:dyDescent="0.25">
      <c r="B119">
        <v>98</v>
      </c>
      <c r="C119">
        <v>9</v>
      </c>
      <c r="D119" s="39">
        <v>48791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/>
      <c r="L119" s="30"/>
      <c r="M119" s="30"/>
      <c r="N119" s="30"/>
      <c r="O119" s="30"/>
    </row>
    <row r="120" spans="2:15" x14ac:dyDescent="0.25">
      <c r="B120">
        <v>99</v>
      </c>
      <c r="C120">
        <v>9</v>
      </c>
      <c r="D120" s="39">
        <v>48822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/>
      <c r="L120" s="30"/>
      <c r="M120" s="30"/>
      <c r="N120" s="30"/>
      <c r="O120" s="30"/>
    </row>
    <row r="121" spans="2:15" x14ac:dyDescent="0.25">
      <c r="B121">
        <v>100</v>
      </c>
      <c r="C121">
        <v>9</v>
      </c>
      <c r="D121" s="39">
        <v>48852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/>
      <c r="L121" s="30"/>
      <c r="M121" s="30"/>
      <c r="N121" s="30"/>
      <c r="O121" s="30"/>
    </row>
    <row r="122" spans="2:15" x14ac:dyDescent="0.25">
      <c r="B122">
        <v>101</v>
      </c>
      <c r="C122">
        <v>9</v>
      </c>
      <c r="D122" s="39">
        <v>48883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/>
      <c r="L122" s="30"/>
      <c r="M122" s="30"/>
      <c r="N122" s="30"/>
      <c r="O122" s="30"/>
    </row>
    <row r="123" spans="2:15" x14ac:dyDescent="0.25">
      <c r="B123">
        <v>102</v>
      </c>
      <c r="C123">
        <v>9</v>
      </c>
      <c r="D123" s="39">
        <v>48913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/>
      <c r="L123" s="30"/>
      <c r="M123" s="30"/>
      <c r="N123" s="30"/>
      <c r="O123" s="30"/>
    </row>
    <row r="124" spans="2:15" x14ac:dyDescent="0.25">
      <c r="B124">
        <v>103</v>
      </c>
      <c r="C124">
        <v>9</v>
      </c>
      <c r="D124" s="39">
        <v>48944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/>
      <c r="L124" s="30"/>
      <c r="M124" s="30"/>
      <c r="N124" s="30"/>
      <c r="O124" s="30"/>
    </row>
    <row r="125" spans="2:15" x14ac:dyDescent="0.25">
      <c r="B125">
        <v>104</v>
      </c>
      <c r="C125">
        <v>9</v>
      </c>
      <c r="D125" s="39">
        <v>48975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/>
      <c r="L125" s="30"/>
      <c r="M125" s="30"/>
      <c r="N125" s="30"/>
      <c r="O125" s="30"/>
    </row>
    <row r="126" spans="2:15" x14ac:dyDescent="0.25">
      <c r="B126">
        <v>105</v>
      </c>
      <c r="C126">
        <v>9</v>
      </c>
      <c r="D126" s="39">
        <v>49003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/>
      <c r="L126" s="30"/>
      <c r="M126" s="30"/>
      <c r="N126" s="30"/>
      <c r="O126" s="30"/>
    </row>
    <row r="127" spans="2:15" x14ac:dyDescent="0.25">
      <c r="B127">
        <v>106</v>
      </c>
      <c r="C127">
        <v>9</v>
      </c>
      <c r="D127" s="39">
        <v>49034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/>
      <c r="L127" s="30"/>
      <c r="M127" s="30"/>
      <c r="N127" s="30"/>
      <c r="O127" s="30"/>
    </row>
    <row r="128" spans="2:15" x14ac:dyDescent="0.25">
      <c r="B128">
        <v>107</v>
      </c>
      <c r="C128">
        <v>9</v>
      </c>
      <c r="D128" s="39">
        <v>49064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/>
      <c r="L128" s="30"/>
      <c r="M128" s="30"/>
      <c r="N128" s="30"/>
      <c r="O128" s="30"/>
    </row>
    <row r="129" spans="2:15" x14ac:dyDescent="0.25">
      <c r="B129">
        <v>108</v>
      </c>
      <c r="C129">
        <v>9</v>
      </c>
      <c r="D129" s="39">
        <v>49095</v>
      </c>
      <c r="E129" s="30">
        <v>46172.592072084764</v>
      </c>
      <c r="F129" s="30">
        <v>8848.9567283940669</v>
      </c>
      <c r="G129" s="30">
        <v>6573.5107125213071</v>
      </c>
      <c r="H129" s="30">
        <v>10218.438126836007</v>
      </c>
      <c r="I129" s="30">
        <v>5109.2190634180033</v>
      </c>
      <c r="J129" s="30">
        <v>15422.467440915376</v>
      </c>
      <c r="K129" s="30"/>
      <c r="L129" s="30"/>
      <c r="M129" s="30"/>
      <c r="N129" s="30"/>
      <c r="O129" s="30"/>
    </row>
    <row r="130" spans="2:15" x14ac:dyDescent="0.25">
      <c r="B130">
        <v>109</v>
      </c>
      <c r="C130">
        <v>10</v>
      </c>
      <c r="D130" s="39">
        <v>49125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/>
      <c r="L130" s="30"/>
      <c r="M130" s="30"/>
      <c r="N130" s="30"/>
      <c r="O130" s="30"/>
    </row>
    <row r="131" spans="2:15" x14ac:dyDescent="0.25">
      <c r="B131">
        <v>110</v>
      </c>
      <c r="C131">
        <v>10</v>
      </c>
      <c r="D131" s="39">
        <v>49156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/>
      <c r="L131" s="30"/>
      <c r="M131" s="30"/>
      <c r="N131" s="30"/>
      <c r="O131" s="30"/>
    </row>
    <row r="132" spans="2:15" x14ac:dyDescent="0.25">
      <c r="B132">
        <v>111</v>
      </c>
      <c r="C132">
        <v>10</v>
      </c>
      <c r="D132" s="39">
        <v>49187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/>
      <c r="L132" s="30"/>
      <c r="M132" s="30"/>
      <c r="N132" s="30"/>
      <c r="O132" s="30"/>
    </row>
    <row r="133" spans="2:15" x14ac:dyDescent="0.25">
      <c r="B133">
        <v>112</v>
      </c>
      <c r="C133">
        <v>10</v>
      </c>
      <c r="D133" s="39">
        <v>49217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/>
      <c r="L133" s="30"/>
      <c r="M133" s="30"/>
      <c r="N133" s="30"/>
      <c r="O133" s="30"/>
    </row>
    <row r="134" spans="2:15" x14ac:dyDescent="0.25">
      <c r="B134">
        <v>113</v>
      </c>
      <c r="C134">
        <v>10</v>
      </c>
      <c r="D134" s="39">
        <v>49248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/>
      <c r="L134" s="30"/>
      <c r="M134" s="30"/>
      <c r="N134" s="30"/>
      <c r="O134" s="30"/>
    </row>
    <row r="135" spans="2:15" x14ac:dyDescent="0.25">
      <c r="B135">
        <v>114</v>
      </c>
      <c r="C135">
        <v>10</v>
      </c>
      <c r="D135" s="39">
        <v>49278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/>
      <c r="L135" s="30"/>
      <c r="M135" s="30"/>
      <c r="N135" s="30"/>
      <c r="O135" s="30"/>
    </row>
    <row r="136" spans="2:15" x14ac:dyDescent="0.25">
      <c r="B136">
        <v>115</v>
      </c>
      <c r="C136">
        <v>10</v>
      </c>
      <c r="D136" s="39">
        <v>49309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/>
      <c r="L136" s="30"/>
      <c r="M136" s="30"/>
      <c r="N136" s="30"/>
      <c r="O136" s="30"/>
    </row>
    <row r="137" spans="2:15" x14ac:dyDescent="0.25">
      <c r="B137">
        <v>116</v>
      </c>
      <c r="C137">
        <v>10</v>
      </c>
      <c r="D137" s="39">
        <v>49340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/>
      <c r="L137" s="30"/>
      <c r="M137" s="30"/>
      <c r="N137" s="30"/>
      <c r="O137" s="30"/>
    </row>
    <row r="138" spans="2:15" x14ac:dyDescent="0.25">
      <c r="B138">
        <v>117</v>
      </c>
      <c r="C138">
        <v>10</v>
      </c>
      <c r="D138" s="39">
        <v>49368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/>
      <c r="L138" s="30"/>
      <c r="M138" s="30"/>
      <c r="N138" s="30"/>
      <c r="O138" s="30"/>
    </row>
    <row r="139" spans="2:15" x14ac:dyDescent="0.25">
      <c r="B139">
        <v>118</v>
      </c>
      <c r="C139">
        <v>10</v>
      </c>
      <c r="D139" s="39">
        <v>49399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/>
      <c r="L139" s="30"/>
      <c r="M139" s="30"/>
      <c r="N139" s="30"/>
      <c r="O139" s="30"/>
    </row>
    <row r="140" spans="2:15" x14ac:dyDescent="0.25">
      <c r="B140">
        <v>119</v>
      </c>
      <c r="C140">
        <v>10</v>
      </c>
      <c r="D140" s="39">
        <v>49429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/>
      <c r="L140" s="30"/>
      <c r="M140" s="30"/>
      <c r="N140" s="30"/>
      <c r="O140" s="30"/>
    </row>
    <row r="141" spans="2:15" x14ac:dyDescent="0.25">
      <c r="B141">
        <v>120</v>
      </c>
      <c r="C141">
        <v>10</v>
      </c>
      <c r="D141" s="39">
        <v>49460</v>
      </c>
      <c r="E141" s="30">
        <v>47788.632794607722</v>
      </c>
      <c r="F141" s="30">
        <v>9158.6702138878572</v>
      </c>
      <c r="G141" s="30">
        <v>6803.5835874595523</v>
      </c>
      <c r="H141" s="30">
        <v>10576.083461275264</v>
      </c>
      <c r="I141" s="30">
        <v>5288.0417306376321</v>
      </c>
      <c r="J141" s="30">
        <v>15962.253801347413</v>
      </c>
      <c r="K141" s="30"/>
      <c r="L141" s="30"/>
      <c r="M141" s="30"/>
      <c r="N141" s="30"/>
      <c r="O141" s="30"/>
    </row>
    <row r="142" spans="2:15" x14ac:dyDescent="0.25">
      <c r="B142">
        <v>121</v>
      </c>
      <c r="C142">
        <v>11</v>
      </c>
      <c r="D142" s="39">
        <v>49490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/>
      <c r="L142" s="30"/>
      <c r="M142" s="30"/>
      <c r="N142" s="30"/>
      <c r="O142" s="30"/>
    </row>
    <row r="143" spans="2:15" x14ac:dyDescent="0.25">
      <c r="B143">
        <v>122</v>
      </c>
      <c r="C143">
        <v>11</v>
      </c>
      <c r="D143" s="39">
        <v>49521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/>
      <c r="L143" s="30"/>
      <c r="M143" s="30"/>
      <c r="N143" s="30"/>
      <c r="O143" s="30"/>
    </row>
    <row r="144" spans="2:15" x14ac:dyDescent="0.25">
      <c r="B144">
        <v>123</v>
      </c>
      <c r="C144">
        <v>11</v>
      </c>
      <c r="D144" s="39">
        <v>49552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/>
      <c r="L144" s="30"/>
      <c r="M144" s="30"/>
      <c r="N144" s="30"/>
      <c r="O144" s="30"/>
    </row>
    <row r="145" spans="2:15" x14ac:dyDescent="0.25">
      <c r="B145">
        <v>124</v>
      </c>
      <c r="C145">
        <v>11</v>
      </c>
      <c r="D145" s="39">
        <v>49582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/>
      <c r="L145" s="30"/>
      <c r="M145" s="30"/>
      <c r="N145" s="30"/>
      <c r="O145" s="30"/>
    </row>
    <row r="146" spans="2:15" x14ac:dyDescent="0.25">
      <c r="B146">
        <v>125</v>
      </c>
      <c r="C146">
        <v>11</v>
      </c>
      <c r="D146" s="39">
        <v>49613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/>
      <c r="L146" s="30"/>
      <c r="M146" s="30"/>
      <c r="N146" s="30"/>
      <c r="O146" s="30"/>
    </row>
    <row r="147" spans="2:15" x14ac:dyDescent="0.25">
      <c r="B147">
        <v>126</v>
      </c>
      <c r="C147">
        <v>11</v>
      </c>
      <c r="D147" s="39">
        <v>49643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/>
      <c r="L147" s="30"/>
      <c r="M147" s="30"/>
      <c r="N147" s="30"/>
      <c r="O147" s="30"/>
    </row>
    <row r="148" spans="2:15" x14ac:dyDescent="0.25">
      <c r="B148">
        <v>127</v>
      </c>
      <c r="C148">
        <v>11</v>
      </c>
      <c r="D148" s="39">
        <v>49674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/>
      <c r="L148" s="30"/>
      <c r="M148" s="30"/>
      <c r="N148" s="30"/>
      <c r="O148" s="30"/>
    </row>
    <row r="149" spans="2:15" x14ac:dyDescent="0.25">
      <c r="B149">
        <v>128</v>
      </c>
      <c r="C149">
        <v>11</v>
      </c>
      <c r="D149" s="39">
        <v>49705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/>
      <c r="L149" s="30"/>
      <c r="M149" s="30"/>
      <c r="N149" s="30"/>
      <c r="O149" s="30"/>
    </row>
    <row r="150" spans="2:15" x14ac:dyDescent="0.25">
      <c r="B150">
        <v>129</v>
      </c>
      <c r="C150">
        <v>11</v>
      </c>
      <c r="D150" s="39">
        <v>49734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/>
      <c r="L150" s="30"/>
      <c r="M150" s="30"/>
      <c r="N150" s="30"/>
      <c r="O150" s="30"/>
    </row>
    <row r="151" spans="2:15" x14ac:dyDescent="0.25">
      <c r="B151">
        <v>130</v>
      </c>
      <c r="C151">
        <v>11</v>
      </c>
      <c r="D151" s="39">
        <v>49765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/>
      <c r="L151" s="30"/>
      <c r="M151" s="30"/>
      <c r="N151" s="30"/>
      <c r="O151" s="30"/>
    </row>
    <row r="152" spans="2:15" x14ac:dyDescent="0.25">
      <c r="B152">
        <v>131</v>
      </c>
      <c r="C152">
        <v>11</v>
      </c>
      <c r="D152" s="39">
        <v>49795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/>
      <c r="L152" s="30"/>
      <c r="M152" s="30"/>
      <c r="N152" s="30"/>
      <c r="O152" s="30"/>
    </row>
    <row r="153" spans="2:15" x14ac:dyDescent="0.25">
      <c r="B153">
        <v>132</v>
      </c>
      <c r="C153">
        <v>11</v>
      </c>
      <c r="D153" s="39">
        <v>49826</v>
      </c>
      <c r="E153" s="30">
        <v>49461.234942418989</v>
      </c>
      <c r="F153" s="30">
        <v>9479.223671373933</v>
      </c>
      <c r="G153" s="30">
        <v>7041.7090130206361</v>
      </c>
      <c r="H153" s="30">
        <v>10946.246382419897</v>
      </c>
      <c r="I153" s="30">
        <v>5473.1231912099483</v>
      </c>
      <c r="J153" s="30">
        <v>16520.932684394571</v>
      </c>
      <c r="K153" s="30"/>
      <c r="L153" s="30"/>
      <c r="M153" s="30"/>
      <c r="N153" s="30"/>
      <c r="O153" s="3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E251-93B6-46BD-B312-235A3DAF486E}">
  <sheetPr>
    <tabColor theme="3" tint="0.749992370372631"/>
  </sheetPr>
  <dimension ref="B1:O153"/>
  <sheetViews>
    <sheetView zoomScale="130" zoomScaleNormal="130" workbookViewId="0">
      <selection activeCell="M16" sqref="M16"/>
    </sheetView>
  </sheetViews>
  <sheetFormatPr defaultRowHeight="15" x14ac:dyDescent="0.25"/>
  <cols>
    <col min="1" max="1" width="0.5703125" customWidth="1"/>
    <col min="4" max="4" width="11.28515625" customWidth="1"/>
    <col min="5" max="5" width="20.28515625" customWidth="1"/>
    <col min="6" max="6" width="10.140625" bestFit="1" customWidth="1"/>
  </cols>
  <sheetData>
    <row r="1" spans="2:10" ht="3" customHeight="1" x14ac:dyDescent="0.25"/>
    <row r="2" spans="2:10" ht="26.25" x14ac:dyDescent="0.4">
      <c r="B2" s="35" t="s">
        <v>93</v>
      </c>
    </row>
    <row r="3" spans="2:10" x14ac:dyDescent="0.25">
      <c r="E3" t="str" cm="1">
        <f t="array" ref="E3:J18">TRANSPOSE(rent.roll.assumptions)</f>
        <v>Unit Name</v>
      </c>
      <c r="F3" s="36" t="str">
        <v>Studio</v>
      </c>
      <c r="G3" s="36" t="str">
        <v>1bd/1ba</v>
      </c>
      <c r="H3" s="36" t="str">
        <v>2bd/2ba</v>
      </c>
      <c r="I3" s="36" t="str">
        <v>2bd/1.5ba</v>
      </c>
      <c r="J3" s="36" t="str">
        <v>3bd/2ba</v>
      </c>
    </row>
    <row r="4" spans="2:10" x14ac:dyDescent="0.25">
      <c r="E4" t="str">
        <v># of Units</v>
      </c>
      <c r="F4">
        <v>40</v>
      </c>
      <c r="G4">
        <v>24</v>
      </c>
      <c r="H4">
        <v>24</v>
      </c>
      <c r="I4">
        <v>12</v>
      </c>
      <c r="J4">
        <v>24</v>
      </c>
    </row>
    <row r="5" spans="2:10" x14ac:dyDescent="0.25">
      <c r="E5" t="str">
        <v>Bedrooms</v>
      </c>
      <c r="F5">
        <v>0</v>
      </c>
      <c r="G5">
        <v>1</v>
      </c>
      <c r="H5">
        <v>2</v>
      </c>
      <c r="I5">
        <v>2</v>
      </c>
      <c r="J5">
        <v>3</v>
      </c>
    </row>
    <row r="6" spans="2:10" x14ac:dyDescent="0.25">
      <c r="E6" t="str">
        <v>Baths</v>
      </c>
      <c r="F6">
        <v>1</v>
      </c>
      <c r="G6">
        <v>1</v>
      </c>
      <c r="H6">
        <v>2</v>
      </c>
      <c r="I6">
        <v>1.5</v>
      </c>
      <c r="J6">
        <v>2</v>
      </c>
    </row>
    <row r="7" spans="2:10" x14ac:dyDescent="0.25">
      <c r="E7" t="str">
        <v>Rentable Area</v>
      </c>
      <c r="F7">
        <v>430</v>
      </c>
      <c r="G7">
        <v>671</v>
      </c>
      <c r="H7">
        <v>945</v>
      </c>
      <c r="I7">
        <v>1025</v>
      </c>
      <c r="J7">
        <v>1046</v>
      </c>
    </row>
    <row r="8" spans="2:10" x14ac:dyDescent="0.25">
      <c r="E8" t="str">
        <v>In-Place Rent/Mo</v>
      </c>
      <c r="F8">
        <v>510</v>
      </c>
      <c r="G8">
        <v>660</v>
      </c>
      <c r="H8">
        <v>850</v>
      </c>
      <c r="I8">
        <v>850</v>
      </c>
      <c r="J8">
        <v>1100</v>
      </c>
    </row>
    <row r="9" spans="2:10" x14ac:dyDescent="0.25">
      <c r="E9" t="str">
        <v>Market Rent/Mo</v>
      </c>
      <c r="F9">
        <v>630</v>
      </c>
      <c r="G9">
        <v>780</v>
      </c>
      <c r="H9">
        <v>970</v>
      </c>
      <c r="I9">
        <v>970</v>
      </c>
      <c r="J9">
        <v>1220</v>
      </c>
    </row>
    <row r="10" spans="2:10" x14ac:dyDescent="0.25">
      <c r="E10" t="str">
        <v>Months to roll to market</v>
      </c>
      <c r="F10">
        <v>12</v>
      </c>
      <c r="G10">
        <v>16</v>
      </c>
      <c r="H10">
        <v>19</v>
      </c>
      <c r="I10">
        <v>22</v>
      </c>
      <c r="J10">
        <v>25</v>
      </c>
    </row>
    <row r="11" spans="2:10" x14ac:dyDescent="0.25">
      <c r="E11" t="str">
        <v>Lease Term</v>
      </c>
      <c r="F11">
        <v>12</v>
      </c>
      <c r="G11">
        <v>12</v>
      </c>
      <c r="H11">
        <v>12</v>
      </c>
      <c r="I11">
        <v>12</v>
      </c>
      <c r="J11">
        <v>12</v>
      </c>
    </row>
    <row r="12" spans="2:10" x14ac:dyDescent="0.25">
      <c r="E12" t="str">
        <v>CapEx/Unit</v>
      </c>
      <c r="F12">
        <v>50</v>
      </c>
      <c r="G12">
        <v>50</v>
      </c>
      <c r="H12">
        <v>60</v>
      </c>
      <c r="I12">
        <v>65</v>
      </c>
      <c r="J12">
        <v>70</v>
      </c>
    </row>
    <row r="13" spans="2:10" x14ac:dyDescent="0.25">
      <c r="E13" t="str">
        <v>Free Rent Per New Lease</v>
      </c>
      <c r="F13">
        <v>1</v>
      </c>
      <c r="G13">
        <v>1</v>
      </c>
      <c r="H13">
        <v>0</v>
      </c>
      <c r="I13">
        <v>0</v>
      </c>
      <c r="J13">
        <v>0</v>
      </c>
    </row>
    <row r="14" spans="2:10" x14ac:dyDescent="0.25">
      <c r="E14" t="str">
        <v>Vacancy Between Leases</v>
      </c>
      <c r="F14">
        <v>20</v>
      </c>
      <c r="G14">
        <v>20</v>
      </c>
      <c r="H14">
        <v>25</v>
      </c>
      <c r="I14">
        <v>25</v>
      </c>
      <c r="J14">
        <v>30</v>
      </c>
    </row>
    <row r="15" spans="2:10" x14ac:dyDescent="0.25">
      <c r="E15" t="str">
        <v>Re-Leasing Costs</v>
      </c>
      <c r="F15">
        <v>300</v>
      </c>
      <c r="G15">
        <v>300</v>
      </c>
      <c r="H15">
        <v>350</v>
      </c>
      <c r="I15">
        <v>350</v>
      </c>
      <c r="J15">
        <v>400</v>
      </c>
    </row>
    <row r="16" spans="2:10" x14ac:dyDescent="0.25">
      <c r="E16" t="str">
        <v>Renewal Probability</v>
      </c>
      <c r="F16">
        <v>0.6</v>
      </c>
      <c r="G16">
        <v>0.6</v>
      </c>
      <c r="H16">
        <v>0.6</v>
      </c>
      <c r="I16">
        <v>0.6</v>
      </c>
      <c r="J16">
        <v>0.6</v>
      </c>
    </row>
    <row r="17" spans="2:15" x14ac:dyDescent="0.25">
      <c r="E17" t="str">
        <v>Days Vacant</v>
      </c>
      <c r="F17">
        <v>8</v>
      </c>
      <c r="G17">
        <v>8</v>
      </c>
      <c r="H17">
        <v>10</v>
      </c>
      <c r="I17">
        <v>10</v>
      </c>
      <c r="J17">
        <v>12</v>
      </c>
    </row>
    <row r="18" spans="2:15" x14ac:dyDescent="0.25">
      <c r="E18" t="str">
        <v>Blended Releasing Cost</v>
      </c>
      <c r="F18">
        <v>120</v>
      </c>
      <c r="G18">
        <v>120</v>
      </c>
      <c r="H18">
        <v>140</v>
      </c>
      <c r="I18">
        <v>140</v>
      </c>
      <c r="J18">
        <v>160</v>
      </c>
    </row>
    <row r="19" spans="2:15" ht="15.75" thickBot="1" x14ac:dyDescent="0.3"/>
    <row r="20" spans="2:15" ht="15.75" thickBot="1" x14ac:dyDescent="0.3">
      <c r="B20" s="44" t="s">
        <v>109</v>
      </c>
      <c r="C20" s="45"/>
      <c r="D20" s="45"/>
      <c r="E20" s="45"/>
      <c r="F20" s="45"/>
      <c r="G20" s="45"/>
      <c r="H20" s="45"/>
      <c r="I20" s="45"/>
      <c r="J20" s="46"/>
    </row>
    <row r="21" spans="2:15" x14ac:dyDescent="0.25">
      <c r="B21" s="36" t="s">
        <v>95</v>
      </c>
      <c r="C21" s="36" t="s">
        <v>96</v>
      </c>
      <c r="D21" s="36" t="s">
        <v>98</v>
      </c>
      <c r="E21" s="36" t="s">
        <v>97</v>
      </c>
      <c r="F21" s="36" t="str" cm="1">
        <f t="array" ref="F21:J21">+F3:J3</f>
        <v>Studio</v>
      </c>
      <c r="G21" s="36" t="str">
        <v>1bd/1ba</v>
      </c>
      <c r="H21" s="36" t="str">
        <v>2bd/2ba</v>
      </c>
      <c r="I21" s="36" t="str">
        <v>2bd/1.5ba</v>
      </c>
      <c r="J21" s="36" t="str">
        <v>3bd/2ba</v>
      </c>
    </row>
    <row r="22" spans="2:15" x14ac:dyDescent="0.25">
      <c r="B22" cm="1">
        <f t="array" ref="B22:B153">_xlfn.SEQUENCE(12*Term.Cap.Year,1,1)</f>
        <v>1</v>
      </c>
      <c r="C22" cm="1">
        <f t="array" ref="C22:C153">ROUNDUP(_xlfn.ANCHORARRAY(B22)/12,0)</f>
        <v>1</v>
      </c>
      <c r="D22" s="39" cm="1">
        <f t="array" ref="D22:D153">EOMONTH(Start.Date,_xlfn.ANCHORARRAY(B22)-1)</f>
        <v>45838</v>
      </c>
      <c r="E22" s="30" cm="1">
        <f t="array" ref="E22:E153">_xlfn.BYROW(_xlfn.ANCHORARRAY(F22),_xlfn.LAMBDA(_xlpm.array,SUM(_xlpm.array)))</f>
        <v>0</v>
      </c>
      <c r="F22" s="30" cm="1">
        <f t="array" ref="F22:J153">IF(_xlfn.ANCHORARRAY(B22)/12=INT(_xlfn.ANCHORARRAY(B22)/12),1,0)*F4:J4*F18:J18*(1+Infl.ReLeasing.Costs)^(_xlfn.ANCHORARRAY(C22)-1)</f>
        <v>0</v>
      </c>
      <c r="G22" s="30">
        <v>0</v>
      </c>
      <c r="H22" s="30">
        <v>0</v>
      </c>
      <c r="I22" s="30">
        <v>0</v>
      </c>
      <c r="J22" s="30">
        <v>0</v>
      </c>
      <c r="K22" s="30"/>
      <c r="L22" s="30"/>
      <c r="M22" s="30"/>
      <c r="N22" s="30"/>
      <c r="O22" s="30"/>
    </row>
    <row r="23" spans="2:15" x14ac:dyDescent="0.25">
      <c r="B23">
        <v>2</v>
      </c>
      <c r="C23">
        <v>1</v>
      </c>
      <c r="D23" s="39">
        <v>45869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/>
      <c r="L23" s="30"/>
      <c r="M23" s="30"/>
      <c r="N23" s="30"/>
      <c r="O23" s="30"/>
    </row>
    <row r="24" spans="2:15" x14ac:dyDescent="0.25">
      <c r="B24">
        <v>3</v>
      </c>
      <c r="C24">
        <v>1</v>
      </c>
      <c r="D24" s="39">
        <v>45900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/>
      <c r="L24" s="30"/>
      <c r="M24" s="30"/>
      <c r="N24" s="30"/>
      <c r="O24" s="30"/>
    </row>
    <row r="25" spans="2:15" x14ac:dyDescent="0.25">
      <c r="B25">
        <v>4</v>
      </c>
      <c r="C25">
        <v>1</v>
      </c>
      <c r="D25" s="39">
        <v>45930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/>
      <c r="L25" s="30"/>
      <c r="M25" s="30"/>
      <c r="N25" s="30"/>
      <c r="O25" s="30"/>
    </row>
    <row r="26" spans="2:15" x14ac:dyDescent="0.25">
      <c r="B26">
        <v>5</v>
      </c>
      <c r="C26">
        <v>1</v>
      </c>
      <c r="D26" s="39">
        <v>45961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/>
      <c r="L26" s="30"/>
      <c r="M26" s="30"/>
      <c r="N26" s="30"/>
      <c r="O26" s="30"/>
    </row>
    <row r="27" spans="2:15" x14ac:dyDescent="0.25">
      <c r="B27">
        <v>6</v>
      </c>
      <c r="C27">
        <v>1</v>
      </c>
      <c r="D27" s="39">
        <v>45991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/>
      <c r="L27" s="30"/>
      <c r="M27" s="30"/>
      <c r="N27" s="30"/>
      <c r="O27" s="30"/>
    </row>
    <row r="28" spans="2:15" x14ac:dyDescent="0.25">
      <c r="B28">
        <v>7</v>
      </c>
      <c r="C28">
        <v>1</v>
      </c>
      <c r="D28" s="39">
        <v>46022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/>
      <c r="L28" s="30"/>
      <c r="M28" s="30"/>
      <c r="N28" s="30"/>
      <c r="O28" s="30"/>
    </row>
    <row r="29" spans="2:15" x14ac:dyDescent="0.25">
      <c r="B29">
        <v>8</v>
      </c>
      <c r="C29">
        <v>1</v>
      </c>
      <c r="D29" s="39">
        <v>46053</v>
      </c>
      <c r="E29" s="30">
        <v>0</v>
      </c>
      <c r="F29" s="30">
        <v>0</v>
      </c>
      <c r="G29" s="30">
        <v>0</v>
      </c>
      <c r="H29" s="41">
        <v>0</v>
      </c>
      <c r="I29" s="30">
        <v>0</v>
      </c>
      <c r="J29" s="30">
        <v>0</v>
      </c>
      <c r="K29" s="30"/>
      <c r="L29" s="30"/>
      <c r="M29" s="30"/>
      <c r="N29" s="30"/>
      <c r="O29" s="30"/>
    </row>
    <row r="30" spans="2:15" x14ac:dyDescent="0.25">
      <c r="B30">
        <v>9</v>
      </c>
      <c r="C30">
        <v>1</v>
      </c>
      <c r="D30" s="39">
        <v>46081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/>
      <c r="L30" s="30"/>
      <c r="M30" s="30"/>
      <c r="N30" s="30"/>
      <c r="O30" s="30"/>
    </row>
    <row r="31" spans="2:15" x14ac:dyDescent="0.25">
      <c r="B31">
        <v>10</v>
      </c>
      <c r="C31">
        <v>1</v>
      </c>
      <c r="D31" s="39">
        <v>46112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/>
      <c r="L31" s="30"/>
      <c r="M31" s="30"/>
      <c r="N31" s="30"/>
      <c r="O31" s="30"/>
    </row>
    <row r="32" spans="2:15" x14ac:dyDescent="0.25">
      <c r="B32">
        <v>11</v>
      </c>
      <c r="C32">
        <v>1</v>
      </c>
      <c r="D32" s="39">
        <v>46142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/>
      <c r="L32" s="30"/>
      <c r="M32" s="30"/>
      <c r="N32" s="30"/>
      <c r="O32" s="30"/>
    </row>
    <row r="33" spans="2:15" x14ac:dyDescent="0.25">
      <c r="B33">
        <v>12</v>
      </c>
      <c r="C33">
        <v>1</v>
      </c>
      <c r="D33" s="39">
        <v>46173</v>
      </c>
      <c r="E33" s="30">
        <v>16560</v>
      </c>
      <c r="F33" s="30">
        <v>4800</v>
      </c>
      <c r="G33" s="30">
        <v>2880</v>
      </c>
      <c r="H33" s="30">
        <v>3360</v>
      </c>
      <c r="I33" s="30">
        <v>1680</v>
      </c>
      <c r="J33" s="30">
        <v>3840</v>
      </c>
      <c r="K33" s="30"/>
      <c r="L33" s="30"/>
      <c r="M33" s="30"/>
      <c r="N33" s="30"/>
      <c r="O33" s="30"/>
    </row>
    <row r="34" spans="2:15" x14ac:dyDescent="0.25">
      <c r="B34">
        <v>13</v>
      </c>
      <c r="C34">
        <v>2</v>
      </c>
      <c r="D34" s="39">
        <v>46203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/>
      <c r="L34" s="30"/>
      <c r="M34" s="30"/>
      <c r="N34" s="30"/>
      <c r="O34" s="30"/>
    </row>
    <row r="35" spans="2:15" x14ac:dyDescent="0.25">
      <c r="B35">
        <v>14</v>
      </c>
      <c r="C35">
        <v>2</v>
      </c>
      <c r="D35" s="39">
        <v>46234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/>
      <c r="L35" s="30"/>
      <c r="M35" s="30"/>
      <c r="N35" s="30"/>
      <c r="O35" s="30"/>
    </row>
    <row r="36" spans="2:15" x14ac:dyDescent="0.25">
      <c r="B36">
        <v>15</v>
      </c>
      <c r="C36">
        <v>2</v>
      </c>
      <c r="D36" s="39">
        <v>46265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/>
      <c r="L36" s="30"/>
      <c r="M36" s="30"/>
      <c r="N36" s="30"/>
      <c r="O36" s="30"/>
    </row>
    <row r="37" spans="2:15" x14ac:dyDescent="0.25">
      <c r="B37">
        <v>16</v>
      </c>
      <c r="C37">
        <v>2</v>
      </c>
      <c r="D37" s="39">
        <v>46295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/>
      <c r="L37" s="30"/>
      <c r="M37" s="30"/>
      <c r="N37" s="30"/>
      <c r="O37" s="30"/>
    </row>
    <row r="38" spans="2:15" x14ac:dyDescent="0.25">
      <c r="B38">
        <v>17</v>
      </c>
      <c r="C38">
        <v>2</v>
      </c>
      <c r="D38" s="39">
        <v>46326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/>
      <c r="L38" s="30"/>
      <c r="M38" s="30"/>
      <c r="N38" s="30"/>
      <c r="O38" s="30"/>
    </row>
    <row r="39" spans="2:15" x14ac:dyDescent="0.25">
      <c r="B39">
        <v>18</v>
      </c>
      <c r="C39">
        <v>2</v>
      </c>
      <c r="D39" s="39">
        <v>46356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/>
      <c r="L39" s="30"/>
      <c r="M39" s="30"/>
      <c r="N39" s="30"/>
      <c r="O39" s="30"/>
    </row>
    <row r="40" spans="2:15" x14ac:dyDescent="0.25">
      <c r="B40">
        <v>19</v>
      </c>
      <c r="C40">
        <v>2</v>
      </c>
      <c r="D40" s="39">
        <v>46387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/>
      <c r="L40" s="30"/>
      <c r="M40" s="30"/>
      <c r="N40" s="30"/>
      <c r="O40" s="30"/>
    </row>
    <row r="41" spans="2:15" x14ac:dyDescent="0.25">
      <c r="B41">
        <v>20</v>
      </c>
      <c r="C41">
        <v>2</v>
      </c>
      <c r="D41" s="39">
        <v>46418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/>
      <c r="L41" s="30"/>
      <c r="M41" s="30"/>
      <c r="N41" s="30"/>
      <c r="O41" s="30"/>
    </row>
    <row r="42" spans="2:15" x14ac:dyDescent="0.25">
      <c r="B42">
        <v>21</v>
      </c>
      <c r="C42">
        <v>2</v>
      </c>
      <c r="D42" s="39">
        <v>46446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/>
      <c r="L42" s="30"/>
      <c r="M42" s="30"/>
      <c r="N42" s="30"/>
      <c r="O42" s="30"/>
    </row>
    <row r="43" spans="2:15" x14ac:dyDescent="0.25">
      <c r="B43">
        <v>22</v>
      </c>
      <c r="C43">
        <v>2</v>
      </c>
      <c r="D43" s="39">
        <v>46477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/>
      <c r="L43" s="30"/>
      <c r="M43" s="30"/>
      <c r="N43" s="30"/>
      <c r="O43" s="30"/>
    </row>
    <row r="44" spans="2:15" x14ac:dyDescent="0.25">
      <c r="B44">
        <v>23</v>
      </c>
      <c r="C44">
        <v>2</v>
      </c>
      <c r="D44" s="39">
        <v>46507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/>
      <c r="L44" s="30"/>
      <c r="M44" s="30"/>
      <c r="N44" s="30"/>
      <c r="O44" s="30"/>
    </row>
    <row r="45" spans="2:15" x14ac:dyDescent="0.25">
      <c r="B45">
        <v>24</v>
      </c>
      <c r="C45">
        <v>2</v>
      </c>
      <c r="D45" s="39">
        <v>46538</v>
      </c>
      <c r="E45" s="30">
        <v>16891.2</v>
      </c>
      <c r="F45" s="30">
        <v>4896</v>
      </c>
      <c r="G45" s="30">
        <v>2937.6</v>
      </c>
      <c r="H45" s="30">
        <v>3427.2000000000003</v>
      </c>
      <c r="I45" s="30">
        <v>1713.6000000000001</v>
      </c>
      <c r="J45" s="30">
        <v>3916.8</v>
      </c>
      <c r="K45" s="30"/>
      <c r="L45" s="30"/>
      <c r="M45" s="30"/>
      <c r="N45" s="30"/>
      <c r="O45" s="30"/>
    </row>
    <row r="46" spans="2:15" x14ac:dyDescent="0.25">
      <c r="B46">
        <v>25</v>
      </c>
      <c r="C46">
        <v>3</v>
      </c>
      <c r="D46" s="39">
        <v>46568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/>
      <c r="L46" s="30"/>
      <c r="M46" s="30"/>
      <c r="N46" s="30"/>
      <c r="O46" s="30"/>
    </row>
    <row r="47" spans="2:15" x14ac:dyDescent="0.25">
      <c r="B47">
        <v>26</v>
      </c>
      <c r="C47">
        <v>3</v>
      </c>
      <c r="D47" s="39">
        <v>46599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/>
      <c r="L47" s="30"/>
      <c r="M47" s="30"/>
      <c r="N47" s="30"/>
      <c r="O47" s="30"/>
    </row>
    <row r="48" spans="2:15" x14ac:dyDescent="0.25">
      <c r="B48">
        <v>27</v>
      </c>
      <c r="C48">
        <v>3</v>
      </c>
      <c r="D48" s="39">
        <v>46630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/>
      <c r="L48" s="30"/>
      <c r="M48" s="30"/>
      <c r="N48" s="30"/>
      <c r="O48" s="30"/>
    </row>
    <row r="49" spans="2:15" x14ac:dyDescent="0.25">
      <c r="B49">
        <v>28</v>
      </c>
      <c r="C49">
        <v>3</v>
      </c>
      <c r="D49" s="39">
        <v>46660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/>
      <c r="L49" s="30"/>
      <c r="M49" s="30"/>
      <c r="N49" s="30"/>
      <c r="O49" s="30"/>
    </row>
    <row r="50" spans="2:15" x14ac:dyDescent="0.25">
      <c r="B50">
        <v>29</v>
      </c>
      <c r="C50">
        <v>3</v>
      </c>
      <c r="D50" s="39">
        <v>46691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/>
      <c r="L50" s="30"/>
      <c r="M50" s="30"/>
      <c r="N50" s="30"/>
      <c r="O50" s="30"/>
    </row>
    <row r="51" spans="2:15" x14ac:dyDescent="0.25">
      <c r="B51">
        <v>30</v>
      </c>
      <c r="C51">
        <v>3</v>
      </c>
      <c r="D51" s="39">
        <v>46721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/>
      <c r="L51" s="30"/>
      <c r="M51" s="30"/>
      <c r="N51" s="30"/>
      <c r="O51" s="30"/>
    </row>
    <row r="52" spans="2:15" x14ac:dyDescent="0.25">
      <c r="B52">
        <v>31</v>
      </c>
      <c r="C52">
        <v>3</v>
      </c>
      <c r="D52" s="39">
        <v>46752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/>
      <c r="L52" s="30"/>
      <c r="M52" s="30"/>
      <c r="N52" s="30"/>
      <c r="O52" s="30"/>
    </row>
    <row r="53" spans="2:15" x14ac:dyDescent="0.25">
      <c r="B53">
        <v>32</v>
      </c>
      <c r="C53">
        <v>3</v>
      </c>
      <c r="D53" s="39">
        <v>46783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/>
      <c r="L53" s="30"/>
      <c r="M53" s="30"/>
      <c r="N53" s="30"/>
      <c r="O53" s="30"/>
    </row>
    <row r="54" spans="2:15" x14ac:dyDescent="0.25">
      <c r="B54">
        <v>33</v>
      </c>
      <c r="C54">
        <v>3</v>
      </c>
      <c r="D54" s="39">
        <v>46812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/>
      <c r="L54" s="30"/>
      <c r="M54" s="30"/>
      <c r="N54" s="30"/>
      <c r="O54" s="30"/>
    </row>
    <row r="55" spans="2:15" x14ac:dyDescent="0.25">
      <c r="B55">
        <v>34</v>
      </c>
      <c r="C55">
        <v>3</v>
      </c>
      <c r="D55" s="39">
        <v>46843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/>
      <c r="L55" s="30"/>
      <c r="M55" s="30"/>
      <c r="N55" s="30"/>
      <c r="O55" s="30"/>
    </row>
    <row r="56" spans="2:15" x14ac:dyDescent="0.25">
      <c r="B56">
        <v>35</v>
      </c>
      <c r="C56">
        <v>3</v>
      </c>
      <c r="D56" s="39">
        <v>46873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/>
      <c r="L56" s="30"/>
      <c r="M56" s="30"/>
      <c r="N56" s="30"/>
      <c r="O56" s="30"/>
    </row>
    <row r="57" spans="2:15" x14ac:dyDescent="0.25">
      <c r="B57">
        <v>36</v>
      </c>
      <c r="C57">
        <v>3</v>
      </c>
      <c r="D57" s="39">
        <v>46904</v>
      </c>
      <c r="E57" s="30">
        <v>17229.023999999998</v>
      </c>
      <c r="F57" s="30">
        <v>4993.92</v>
      </c>
      <c r="G57" s="30">
        <v>2996.3519999999999</v>
      </c>
      <c r="H57" s="30">
        <v>3495.7440000000001</v>
      </c>
      <c r="I57" s="30">
        <v>1747.8720000000001</v>
      </c>
      <c r="J57" s="30">
        <v>3995.136</v>
      </c>
      <c r="K57" s="30"/>
      <c r="L57" s="30"/>
      <c r="M57" s="30"/>
      <c r="N57" s="30"/>
      <c r="O57" s="30"/>
    </row>
    <row r="58" spans="2:15" x14ac:dyDescent="0.25">
      <c r="B58">
        <v>37</v>
      </c>
      <c r="C58">
        <v>4</v>
      </c>
      <c r="D58" s="39">
        <v>46934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/>
      <c r="L58" s="30"/>
      <c r="M58" s="30"/>
      <c r="N58" s="30"/>
      <c r="O58" s="30"/>
    </row>
    <row r="59" spans="2:15" x14ac:dyDescent="0.25">
      <c r="B59">
        <v>38</v>
      </c>
      <c r="C59">
        <v>4</v>
      </c>
      <c r="D59" s="39">
        <v>46965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/>
      <c r="L59" s="30"/>
      <c r="M59" s="30"/>
      <c r="N59" s="30"/>
      <c r="O59" s="30"/>
    </row>
    <row r="60" spans="2:15" x14ac:dyDescent="0.25">
      <c r="B60">
        <v>39</v>
      </c>
      <c r="C60">
        <v>4</v>
      </c>
      <c r="D60" s="39">
        <v>46996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/>
      <c r="L60" s="30"/>
      <c r="M60" s="30"/>
      <c r="N60" s="30"/>
      <c r="O60" s="30"/>
    </row>
    <row r="61" spans="2:15" x14ac:dyDescent="0.25">
      <c r="B61">
        <v>40</v>
      </c>
      <c r="C61">
        <v>4</v>
      </c>
      <c r="D61" s="39">
        <v>47026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/>
      <c r="L61" s="30"/>
      <c r="M61" s="30"/>
      <c r="N61" s="30"/>
      <c r="O61" s="30"/>
    </row>
    <row r="62" spans="2:15" x14ac:dyDescent="0.25">
      <c r="B62">
        <v>41</v>
      </c>
      <c r="C62">
        <v>4</v>
      </c>
      <c r="D62" s="39">
        <v>47057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/>
      <c r="L62" s="30"/>
      <c r="M62" s="30"/>
      <c r="N62" s="30"/>
      <c r="O62" s="30"/>
    </row>
    <row r="63" spans="2:15" x14ac:dyDescent="0.25">
      <c r="B63">
        <v>42</v>
      </c>
      <c r="C63">
        <v>4</v>
      </c>
      <c r="D63" s="39">
        <v>47087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/>
      <c r="L63" s="30"/>
      <c r="M63" s="30"/>
      <c r="N63" s="30"/>
      <c r="O63" s="30"/>
    </row>
    <row r="64" spans="2:15" x14ac:dyDescent="0.25">
      <c r="B64">
        <v>43</v>
      </c>
      <c r="C64">
        <v>4</v>
      </c>
      <c r="D64" s="39">
        <v>47118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/>
      <c r="L64" s="30"/>
      <c r="M64" s="30"/>
      <c r="N64" s="30"/>
      <c r="O64" s="30"/>
    </row>
    <row r="65" spans="2:15" x14ac:dyDescent="0.25">
      <c r="B65">
        <v>44</v>
      </c>
      <c r="C65">
        <v>4</v>
      </c>
      <c r="D65" s="39">
        <v>47149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/>
      <c r="L65" s="30"/>
      <c r="M65" s="30"/>
      <c r="N65" s="30"/>
      <c r="O65" s="30"/>
    </row>
    <row r="66" spans="2:15" x14ac:dyDescent="0.25">
      <c r="B66">
        <v>45</v>
      </c>
      <c r="C66">
        <v>4</v>
      </c>
      <c r="D66" s="39">
        <v>47177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/>
      <c r="L66" s="30"/>
      <c r="M66" s="30"/>
      <c r="N66" s="30"/>
      <c r="O66" s="30"/>
    </row>
    <row r="67" spans="2:15" x14ac:dyDescent="0.25">
      <c r="B67">
        <v>46</v>
      </c>
      <c r="C67">
        <v>4</v>
      </c>
      <c r="D67" s="39">
        <v>47208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/>
      <c r="L67" s="30"/>
      <c r="M67" s="30"/>
      <c r="N67" s="30"/>
      <c r="O67" s="30"/>
    </row>
    <row r="68" spans="2:15" x14ac:dyDescent="0.25">
      <c r="B68">
        <v>47</v>
      </c>
      <c r="C68">
        <v>4</v>
      </c>
      <c r="D68" s="39">
        <v>47238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/>
      <c r="L68" s="30"/>
      <c r="M68" s="30"/>
      <c r="N68" s="30"/>
      <c r="O68" s="30"/>
    </row>
    <row r="69" spans="2:15" x14ac:dyDescent="0.25">
      <c r="B69">
        <v>48</v>
      </c>
      <c r="C69">
        <v>4</v>
      </c>
      <c r="D69" s="39">
        <v>47269</v>
      </c>
      <c r="E69" s="30">
        <v>17573.604479999998</v>
      </c>
      <c r="F69" s="30">
        <v>5093.7983999999997</v>
      </c>
      <c r="G69" s="30">
        <v>3056.2790399999999</v>
      </c>
      <c r="H69" s="30">
        <v>3565.65888</v>
      </c>
      <c r="I69" s="30">
        <v>1782.82944</v>
      </c>
      <c r="J69" s="30">
        <v>4075.0387199999996</v>
      </c>
      <c r="K69" s="30"/>
      <c r="L69" s="30"/>
      <c r="M69" s="30"/>
      <c r="N69" s="30"/>
      <c r="O69" s="30"/>
    </row>
    <row r="70" spans="2:15" x14ac:dyDescent="0.25">
      <c r="B70">
        <v>49</v>
      </c>
      <c r="C70">
        <v>5</v>
      </c>
      <c r="D70" s="39">
        <v>47299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/>
      <c r="L70" s="30"/>
      <c r="M70" s="30"/>
      <c r="N70" s="30"/>
      <c r="O70" s="30"/>
    </row>
    <row r="71" spans="2:15" x14ac:dyDescent="0.25">
      <c r="B71">
        <v>50</v>
      </c>
      <c r="C71">
        <v>5</v>
      </c>
      <c r="D71" s="39">
        <v>47330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/>
      <c r="L71" s="30"/>
      <c r="M71" s="30"/>
      <c r="N71" s="30"/>
      <c r="O71" s="30"/>
    </row>
    <row r="72" spans="2:15" x14ac:dyDescent="0.25">
      <c r="B72">
        <v>51</v>
      </c>
      <c r="C72">
        <v>5</v>
      </c>
      <c r="D72" s="39">
        <v>47361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/>
      <c r="L72" s="30"/>
      <c r="M72" s="30"/>
      <c r="N72" s="30"/>
      <c r="O72" s="30"/>
    </row>
    <row r="73" spans="2:15" x14ac:dyDescent="0.25">
      <c r="B73">
        <v>52</v>
      </c>
      <c r="C73">
        <v>5</v>
      </c>
      <c r="D73" s="39">
        <v>47391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/>
      <c r="L73" s="30"/>
      <c r="M73" s="30"/>
      <c r="N73" s="30"/>
      <c r="O73" s="30"/>
    </row>
    <row r="74" spans="2:15" x14ac:dyDescent="0.25">
      <c r="B74">
        <v>53</v>
      </c>
      <c r="C74">
        <v>5</v>
      </c>
      <c r="D74" s="39">
        <v>47422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/>
      <c r="L74" s="30"/>
      <c r="M74" s="30"/>
      <c r="N74" s="30"/>
      <c r="O74" s="30"/>
    </row>
    <row r="75" spans="2:15" x14ac:dyDescent="0.25">
      <c r="B75">
        <v>54</v>
      </c>
      <c r="C75">
        <v>5</v>
      </c>
      <c r="D75" s="39">
        <v>47452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/>
      <c r="L75" s="30"/>
      <c r="M75" s="30"/>
      <c r="N75" s="30"/>
      <c r="O75" s="30"/>
    </row>
    <row r="76" spans="2:15" x14ac:dyDescent="0.25">
      <c r="B76">
        <v>55</v>
      </c>
      <c r="C76">
        <v>5</v>
      </c>
      <c r="D76" s="39">
        <v>47483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/>
      <c r="L76" s="30"/>
      <c r="M76" s="30"/>
      <c r="N76" s="30"/>
      <c r="O76" s="30"/>
    </row>
    <row r="77" spans="2:15" x14ac:dyDescent="0.25">
      <c r="B77">
        <v>56</v>
      </c>
      <c r="C77">
        <v>5</v>
      </c>
      <c r="D77" s="39">
        <v>47514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/>
      <c r="L77" s="30"/>
      <c r="M77" s="30"/>
      <c r="N77" s="30"/>
      <c r="O77" s="30"/>
    </row>
    <row r="78" spans="2:15" x14ac:dyDescent="0.25">
      <c r="B78">
        <v>57</v>
      </c>
      <c r="C78">
        <v>5</v>
      </c>
      <c r="D78" s="39">
        <v>47542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/>
      <c r="L78" s="30"/>
      <c r="M78" s="30"/>
      <c r="N78" s="30"/>
      <c r="O78" s="30"/>
    </row>
    <row r="79" spans="2:15" x14ac:dyDescent="0.25">
      <c r="B79">
        <v>58</v>
      </c>
      <c r="C79">
        <v>5</v>
      </c>
      <c r="D79" s="39">
        <v>47573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/>
      <c r="L79" s="30"/>
      <c r="M79" s="30"/>
      <c r="N79" s="30"/>
      <c r="O79" s="30"/>
    </row>
    <row r="80" spans="2:15" x14ac:dyDescent="0.25">
      <c r="B80">
        <v>59</v>
      </c>
      <c r="C80">
        <v>5</v>
      </c>
      <c r="D80" s="39">
        <v>47603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/>
      <c r="L80" s="30"/>
      <c r="M80" s="30"/>
      <c r="N80" s="30"/>
      <c r="O80" s="30"/>
    </row>
    <row r="81" spans="2:15" x14ac:dyDescent="0.25">
      <c r="B81">
        <v>60</v>
      </c>
      <c r="C81">
        <v>5</v>
      </c>
      <c r="D81" s="39">
        <v>47634</v>
      </c>
      <c r="E81" s="30">
        <v>17925.076569600002</v>
      </c>
      <c r="F81" s="30">
        <v>5195.674368</v>
      </c>
      <c r="G81" s="30">
        <v>3117.4046208</v>
      </c>
      <c r="H81" s="30">
        <v>3636.9720576</v>
      </c>
      <c r="I81" s="30">
        <v>1818.4860288</v>
      </c>
      <c r="J81" s="30">
        <v>4156.5394944</v>
      </c>
      <c r="K81" s="30"/>
      <c r="L81" s="30"/>
      <c r="M81" s="30"/>
      <c r="N81" s="30"/>
      <c r="O81" s="30"/>
    </row>
    <row r="82" spans="2:15" x14ac:dyDescent="0.25">
      <c r="B82">
        <v>61</v>
      </c>
      <c r="C82">
        <v>6</v>
      </c>
      <c r="D82" s="39">
        <v>47664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/>
      <c r="L82" s="30"/>
      <c r="M82" s="30"/>
      <c r="N82" s="30"/>
      <c r="O82" s="30"/>
    </row>
    <row r="83" spans="2:15" x14ac:dyDescent="0.25">
      <c r="B83">
        <v>62</v>
      </c>
      <c r="C83">
        <v>6</v>
      </c>
      <c r="D83" s="39">
        <v>47695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/>
      <c r="L83" s="30"/>
      <c r="M83" s="30"/>
      <c r="N83" s="30"/>
      <c r="O83" s="30"/>
    </row>
    <row r="84" spans="2:15" x14ac:dyDescent="0.25">
      <c r="B84">
        <v>63</v>
      </c>
      <c r="C84">
        <v>6</v>
      </c>
      <c r="D84" s="39">
        <v>47726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/>
      <c r="L84" s="30"/>
      <c r="M84" s="30"/>
      <c r="N84" s="30"/>
      <c r="O84" s="30"/>
    </row>
    <row r="85" spans="2:15" x14ac:dyDescent="0.25">
      <c r="B85">
        <v>64</v>
      </c>
      <c r="C85">
        <v>6</v>
      </c>
      <c r="D85" s="39">
        <v>47756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/>
      <c r="L85" s="30"/>
      <c r="M85" s="30"/>
      <c r="N85" s="30"/>
      <c r="O85" s="30"/>
    </row>
    <row r="86" spans="2:15" x14ac:dyDescent="0.25">
      <c r="B86">
        <v>65</v>
      </c>
      <c r="C86">
        <v>6</v>
      </c>
      <c r="D86" s="39">
        <v>47787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/>
      <c r="L86" s="30"/>
      <c r="M86" s="30"/>
      <c r="N86" s="30"/>
      <c r="O86" s="30"/>
    </row>
    <row r="87" spans="2:15" x14ac:dyDescent="0.25">
      <c r="B87">
        <v>66</v>
      </c>
      <c r="C87">
        <v>6</v>
      </c>
      <c r="D87" s="39">
        <v>47817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/>
      <c r="L87" s="30"/>
      <c r="M87" s="30"/>
      <c r="N87" s="30"/>
      <c r="O87" s="30"/>
    </row>
    <row r="88" spans="2:15" x14ac:dyDescent="0.25">
      <c r="B88">
        <v>67</v>
      </c>
      <c r="C88">
        <v>6</v>
      </c>
      <c r="D88" s="39">
        <v>47848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/>
      <c r="L88" s="30"/>
      <c r="M88" s="30"/>
      <c r="N88" s="30"/>
      <c r="O88" s="30"/>
    </row>
    <row r="89" spans="2:15" x14ac:dyDescent="0.25">
      <c r="B89">
        <v>68</v>
      </c>
      <c r="C89">
        <v>6</v>
      </c>
      <c r="D89" s="39">
        <v>47879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/>
      <c r="L89" s="30"/>
      <c r="M89" s="30"/>
      <c r="N89" s="30"/>
      <c r="O89" s="30"/>
    </row>
    <row r="90" spans="2:15" x14ac:dyDescent="0.25">
      <c r="B90">
        <v>69</v>
      </c>
      <c r="C90">
        <v>6</v>
      </c>
      <c r="D90" s="39">
        <v>47907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/>
      <c r="L90" s="30"/>
      <c r="M90" s="30"/>
      <c r="N90" s="30"/>
      <c r="O90" s="30"/>
    </row>
    <row r="91" spans="2:15" x14ac:dyDescent="0.25">
      <c r="B91">
        <v>70</v>
      </c>
      <c r="C91">
        <v>6</v>
      </c>
      <c r="D91" s="39">
        <v>47938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/>
      <c r="L91" s="30"/>
      <c r="M91" s="30"/>
      <c r="N91" s="30"/>
      <c r="O91" s="30"/>
    </row>
    <row r="92" spans="2:15" x14ac:dyDescent="0.25">
      <c r="B92">
        <v>71</v>
      </c>
      <c r="C92">
        <v>6</v>
      </c>
      <c r="D92" s="39">
        <v>47968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/>
      <c r="L92" s="30"/>
      <c r="M92" s="30"/>
      <c r="N92" s="30"/>
      <c r="O92" s="30"/>
    </row>
    <row r="93" spans="2:15" x14ac:dyDescent="0.25">
      <c r="B93">
        <v>72</v>
      </c>
      <c r="C93">
        <v>6</v>
      </c>
      <c r="D93" s="39">
        <v>47999</v>
      </c>
      <c r="E93" s="30">
        <v>18283.578100992003</v>
      </c>
      <c r="F93" s="30">
        <v>5299.5878553600005</v>
      </c>
      <c r="G93" s="30">
        <v>3179.7527132159998</v>
      </c>
      <c r="H93" s="30">
        <v>3709.7114987519999</v>
      </c>
      <c r="I93" s="30">
        <v>1854.8557493759999</v>
      </c>
      <c r="J93" s="30">
        <v>4239.6702842880004</v>
      </c>
      <c r="K93" s="30"/>
      <c r="L93" s="30"/>
      <c r="M93" s="30"/>
      <c r="N93" s="30"/>
      <c r="O93" s="30"/>
    </row>
    <row r="94" spans="2:15" x14ac:dyDescent="0.25">
      <c r="B94">
        <v>73</v>
      </c>
      <c r="C94">
        <v>7</v>
      </c>
      <c r="D94" s="39">
        <v>48029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/>
      <c r="L94" s="30"/>
      <c r="M94" s="30"/>
      <c r="N94" s="30"/>
      <c r="O94" s="30"/>
    </row>
    <row r="95" spans="2:15" x14ac:dyDescent="0.25">
      <c r="B95">
        <v>74</v>
      </c>
      <c r="C95">
        <v>7</v>
      </c>
      <c r="D95" s="39">
        <v>48060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/>
      <c r="L95" s="30"/>
      <c r="M95" s="30"/>
      <c r="N95" s="30"/>
      <c r="O95" s="30"/>
    </row>
    <row r="96" spans="2:15" x14ac:dyDescent="0.25">
      <c r="B96">
        <v>75</v>
      </c>
      <c r="C96">
        <v>7</v>
      </c>
      <c r="D96" s="39">
        <v>48091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/>
      <c r="L96" s="30"/>
      <c r="M96" s="30"/>
      <c r="N96" s="30"/>
      <c r="O96" s="30"/>
    </row>
    <row r="97" spans="2:15" x14ac:dyDescent="0.25">
      <c r="B97">
        <v>76</v>
      </c>
      <c r="C97">
        <v>7</v>
      </c>
      <c r="D97" s="39">
        <v>48121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/>
      <c r="L97" s="30"/>
      <c r="M97" s="30"/>
      <c r="N97" s="30"/>
      <c r="O97" s="30"/>
    </row>
    <row r="98" spans="2:15" x14ac:dyDescent="0.25">
      <c r="B98">
        <v>77</v>
      </c>
      <c r="C98">
        <v>7</v>
      </c>
      <c r="D98" s="39">
        <v>48152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/>
      <c r="L98" s="30"/>
      <c r="M98" s="30"/>
      <c r="N98" s="30"/>
      <c r="O98" s="30"/>
    </row>
    <row r="99" spans="2:15" x14ac:dyDescent="0.25">
      <c r="B99">
        <v>78</v>
      </c>
      <c r="C99">
        <v>7</v>
      </c>
      <c r="D99" s="39">
        <v>48182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/>
      <c r="L99" s="30"/>
      <c r="M99" s="30"/>
      <c r="N99" s="30"/>
      <c r="O99" s="30"/>
    </row>
    <row r="100" spans="2:15" x14ac:dyDescent="0.25">
      <c r="B100">
        <v>79</v>
      </c>
      <c r="C100">
        <v>7</v>
      </c>
      <c r="D100" s="39">
        <v>48213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/>
      <c r="L100" s="30"/>
      <c r="M100" s="30"/>
      <c r="N100" s="30"/>
      <c r="O100" s="30"/>
    </row>
    <row r="101" spans="2:15" x14ac:dyDescent="0.25">
      <c r="B101">
        <v>80</v>
      </c>
      <c r="C101">
        <v>7</v>
      </c>
      <c r="D101" s="39">
        <v>48244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/>
      <c r="L101" s="30"/>
      <c r="M101" s="30"/>
      <c r="N101" s="30"/>
      <c r="O101" s="30"/>
    </row>
    <row r="102" spans="2:15" x14ac:dyDescent="0.25">
      <c r="B102">
        <v>81</v>
      </c>
      <c r="C102">
        <v>7</v>
      </c>
      <c r="D102" s="39">
        <v>48273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/>
      <c r="L102" s="30"/>
      <c r="M102" s="30"/>
      <c r="N102" s="30"/>
      <c r="O102" s="30"/>
    </row>
    <row r="103" spans="2:15" x14ac:dyDescent="0.25">
      <c r="B103">
        <v>82</v>
      </c>
      <c r="C103">
        <v>7</v>
      </c>
      <c r="D103" s="39">
        <v>48304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/>
      <c r="L103" s="30"/>
      <c r="M103" s="30"/>
      <c r="N103" s="30"/>
      <c r="O103" s="30"/>
    </row>
    <row r="104" spans="2:15" x14ac:dyDescent="0.25">
      <c r="B104">
        <v>83</v>
      </c>
      <c r="C104">
        <v>7</v>
      </c>
      <c r="D104" s="39">
        <v>48334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/>
      <c r="L104" s="30"/>
      <c r="M104" s="30"/>
      <c r="N104" s="30"/>
      <c r="O104" s="30"/>
    </row>
    <row r="105" spans="2:15" x14ac:dyDescent="0.25">
      <c r="B105">
        <v>84</v>
      </c>
      <c r="C105">
        <v>7</v>
      </c>
      <c r="D105" s="39">
        <v>48365</v>
      </c>
      <c r="E105" s="30">
        <v>18649.249663011844</v>
      </c>
      <c r="F105" s="30">
        <v>5405.5796124672006</v>
      </c>
      <c r="G105" s="30">
        <v>3243.3477674803203</v>
      </c>
      <c r="H105" s="30">
        <v>3783.9057287270402</v>
      </c>
      <c r="I105" s="30">
        <v>1891.9528643635201</v>
      </c>
      <c r="J105" s="30">
        <v>4324.4636899737607</v>
      </c>
      <c r="K105" s="30"/>
      <c r="L105" s="30"/>
      <c r="M105" s="30"/>
      <c r="N105" s="30"/>
      <c r="O105" s="30"/>
    </row>
    <row r="106" spans="2:15" x14ac:dyDescent="0.25">
      <c r="B106">
        <v>85</v>
      </c>
      <c r="C106">
        <v>8</v>
      </c>
      <c r="D106" s="39">
        <v>48395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/>
      <c r="L106" s="30"/>
      <c r="M106" s="30"/>
      <c r="N106" s="30"/>
      <c r="O106" s="30"/>
    </row>
    <row r="107" spans="2:15" x14ac:dyDescent="0.25">
      <c r="B107">
        <v>86</v>
      </c>
      <c r="C107">
        <v>8</v>
      </c>
      <c r="D107" s="39">
        <v>48426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/>
      <c r="L107" s="30"/>
      <c r="M107" s="30"/>
      <c r="N107" s="30"/>
      <c r="O107" s="30"/>
    </row>
    <row r="108" spans="2:15" x14ac:dyDescent="0.25">
      <c r="B108">
        <v>87</v>
      </c>
      <c r="C108">
        <v>8</v>
      </c>
      <c r="D108" s="39">
        <v>48457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/>
      <c r="L108" s="30"/>
      <c r="M108" s="30"/>
      <c r="N108" s="30"/>
      <c r="O108" s="30"/>
    </row>
    <row r="109" spans="2:15" x14ac:dyDescent="0.25">
      <c r="B109">
        <v>88</v>
      </c>
      <c r="C109">
        <v>8</v>
      </c>
      <c r="D109" s="39">
        <v>48487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/>
      <c r="L109" s="30"/>
      <c r="M109" s="30"/>
      <c r="N109" s="30"/>
      <c r="O109" s="30"/>
    </row>
    <row r="110" spans="2:15" x14ac:dyDescent="0.25">
      <c r="B110">
        <v>89</v>
      </c>
      <c r="C110">
        <v>8</v>
      </c>
      <c r="D110" s="39">
        <v>48518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/>
      <c r="L110" s="30"/>
      <c r="M110" s="30"/>
      <c r="N110" s="30"/>
      <c r="O110" s="30"/>
    </row>
    <row r="111" spans="2:15" x14ac:dyDescent="0.25">
      <c r="B111">
        <v>90</v>
      </c>
      <c r="C111">
        <v>8</v>
      </c>
      <c r="D111" s="39">
        <v>48548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/>
      <c r="L111" s="30"/>
      <c r="M111" s="30"/>
      <c r="N111" s="30"/>
      <c r="O111" s="30"/>
    </row>
    <row r="112" spans="2:15" x14ac:dyDescent="0.25">
      <c r="B112">
        <v>91</v>
      </c>
      <c r="C112">
        <v>8</v>
      </c>
      <c r="D112" s="39">
        <v>48579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/>
      <c r="L112" s="30"/>
      <c r="M112" s="30"/>
      <c r="N112" s="30"/>
      <c r="O112" s="30"/>
    </row>
    <row r="113" spans="2:15" x14ac:dyDescent="0.25">
      <c r="B113">
        <v>92</v>
      </c>
      <c r="C113">
        <v>8</v>
      </c>
      <c r="D113" s="39">
        <v>48610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/>
      <c r="L113" s="30"/>
      <c r="M113" s="30"/>
      <c r="N113" s="30"/>
      <c r="O113" s="30"/>
    </row>
    <row r="114" spans="2:15" x14ac:dyDescent="0.25">
      <c r="B114">
        <v>93</v>
      </c>
      <c r="C114">
        <v>8</v>
      </c>
      <c r="D114" s="39">
        <v>48638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/>
      <c r="L114" s="30"/>
      <c r="M114" s="30"/>
      <c r="N114" s="30"/>
      <c r="O114" s="30"/>
    </row>
    <row r="115" spans="2:15" x14ac:dyDescent="0.25">
      <c r="B115">
        <v>94</v>
      </c>
      <c r="C115">
        <v>8</v>
      </c>
      <c r="D115" s="39">
        <v>48669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/>
      <c r="L115" s="30"/>
      <c r="M115" s="30"/>
      <c r="N115" s="30"/>
      <c r="O115" s="30"/>
    </row>
    <row r="116" spans="2:15" x14ac:dyDescent="0.25">
      <c r="B116">
        <v>95</v>
      </c>
      <c r="C116">
        <v>8</v>
      </c>
      <c r="D116" s="39">
        <v>48699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/>
      <c r="L116" s="30"/>
      <c r="M116" s="30"/>
      <c r="N116" s="30"/>
      <c r="O116" s="30"/>
    </row>
    <row r="117" spans="2:15" x14ac:dyDescent="0.25">
      <c r="B117">
        <v>96</v>
      </c>
      <c r="C117">
        <v>8</v>
      </c>
      <c r="D117" s="39">
        <v>48730</v>
      </c>
      <c r="E117" s="30">
        <v>19022.234656272074</v>
      </c>
      <c r="F117" s="30">
        <v>5513.6912047165433</v>
      </c>
      <c r="G117" s="30">
        <v>3308.2147228299259</v>
      </c>
      <c r="H117" s="30">
        <v>3859.5838433015801</v>
      </c>
      <c r="I117" s="30">
        <v>1929.7919216507901</v>
      </c>
      <c r="J117" s="30">
        <v>4410.9529637732348</v>
      </c>
      <c r="K117" s="30"/>
      <c r="L117" s="30"/>
      <c r="M117" s="30"/>
      <c r="N117" s="30"/>
      <c r="O117" s="30"/>
    </row>
    <row r="118" spans="2:15" x14ac:dyDescent="0.25">
      <c r="B118">
        <v>97</v>
      </c>
      <c r="C118">
        <v>9</v>
      </c>
      <c r="D118" s="39">
        <v>48760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/>
      <c r="L118" s="30"/>
      <c r="M118" s="30"/>
      <c r="N118" s="30"/>
      <c r="O118" s="30"/>
    </row>
    <row r="119" spans="2:15" x14ac:dyDescent="0.25">
      <c r="B119">
        <v>98</v>
      </c>
      <c r="C119">
        <v>9</v>
      </c>
      <c r="D119" s="39">
        <v>48791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/>
      <c r="L119" s="30"/>
      <c r="M119" s="30"/>
      <c r="N119" s="30"/>
      <c r="O119" s="30"/>
    </row>
    <row r="120" spans="2:15" x14ac:dyDescent="0.25">
      <c r="B120">
        <v>99</v>
      </c>
      <c r="C120">
        <v>9</v>
      </c>
      <c r="D120" s="39">
        <v>48822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/>
      <c r="L120" s="30"/>
      <c r="M120" s="30"/>
      <c r="N120" s="30"/>
      <c r="O120" s="30"/>
    </row>
    <row r="121" spans="2:15" x14ac:dyDescent="0.25">
      <c r="B121">
        <v>100</v>
      </c>
      <c r="C121">
        <v>9</v>
      </c>
      <c r="D121" s="39">
        <v>48852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/>
      <c r="L121" s="30"/>
      <c r="M121" s="30"/>
      <c r="N121" s="30"/>
      <c r="O121" s="30"/>
    </row>
    <row r="122" spans="2:15" x14ac:dyDescent="0.25">
      <c r="B122">
        <v>101</v>
      </c>
      <c r="C122">
        <v>9</v>
      </c>
      <c r="D122" s="39">
        <v>48883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/>
      <c r="L122" s="30"/>
      <c r="M122" s="30"/>
      <c r="N122" s="30"/>
      <c r="O122" s="30"/>
    </row>
    <row r="123" spans="2:15" x14ac:dyDescent="0.25">
      <c r="B123">
        <v>102</v>
      </c>
      <c r="C123">
        <v>9</v>
      </c>
      <c r="D123" s="39">
        <v>48913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/>
      <c r="L123" s="30"/>
      <c r="M123" s="30"/>
      <c r="N123" s="30"/>
      <c r="O123" s="30"/>
    </row>
    <row r="124" spans="2:15" x14ac:dyDescent="0.25">
      <c r="B124">
        <v>103</v>
      </c>
      <c r="C124">
        <v>9</v>
      </c>
      <c r="D124" s="39">
        <v>48944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/>
      <c r="L124" s="30"/>
      <c r="M124" s="30"/>
      <c r="N124" s="30"/>
      <c r="O124" s="30"/>
    </row>
    <row r="125" spans="2:15" x14ac:dyDescent="0.25">
      <c r="B125">
        <v>104</v>
      </c>
      <c r="C125">
        <v>9</v>
      </c>
      <c r="D125" s="39">
        <v>48975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/>
      <c r="L125" s="30"/>
      <c r="M125" s="30"/>
      <c r="N125" s="30"/>
      <c r="O125" s="30"/>
    </row>
    <row r="126" spans="2:15" x14ac:dyDescent="0.25">
      <c r="B126">
        <v>105</v>
      </c>
      <c r="C126">
        <v>9</v>
      </c>
      <c r="D126" s="39">
        <v>49003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/>
      <c r="L126" s="30"/>
      <c r="M126" s="30"/>
      <c r="N126" s="30"/>
      <c r="O126" s="30"/>
    </row>
    <row r="127" spans="2:15" x14ac:dyDescent="0.25">
      <c r="B127">
        <v>106</v>
      </c>
      <c r="C127">
        <v>9</v>
      </c>
      <c r="D127" s="39">
        <v>49034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/>
      <c r="L127" s="30"/>
      <c r="M127" s="30"/>
      <c r="N127" s="30"/>
      <c r="O127" s="30"/>
    </row>
    <row r="128" spans="2:15" x14ac:dyDescent="0.25">
      <c r="B128">
        <v>107</v>
      </c>
      <c r="C128">
        <v>9</v>
      </c>
      <c r="D128" s="39">
        <v>49064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/>
      <c r="L128" s="30"/>
      <c r="M128" s="30"/>
      <c r="N128" s="30"/>
      <c r="O128" s="30"/>
    </row>
    <row r="129" spans="2:15" x14ac:dyDescent="0.25">
      <c r="B129">
        <v>108</v>
      </c>
      <c r="C129">
        <v>9</v>
      </c>
      <c r="D129" s="39">
        <v>49095</v>
      </c>
      <c r="E129" s="30">
        <v>19402.679349397516</v>
      </c>
      <c r="F129" s="30">
        <v>5623.9650288108742</v>
      </c>
      <c r="G129" s="30">
        <v>3374.3790172865247</v>
      </c>
      <c r="H129" s="30">
        <v>3936.7755201676123</v>
      </c>
      <c r="I129" s="30">
        <v>1968.3877600838061</v>
      </c>
      <c r="J129" s="30">
        <v>4499.1720230486999</v>
      </c>
      <c r="K129" s="30"/>
      <c r="L129" s="30"/>
      <c r="M129" s="30"/>
      <c r="N129" s="30"/>
      <c r="O129" s="30"/>
    </row>
    <row r="130" spans="2:15" x14ac:dyDescent="0.25">
      <c r="B130">
        <v>109</v>
      </c>
      <c r="C130">
        <v>10</v>
      </c>
      <c r="D130" s="39">
        <v>49125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/>
      <c r="L130" s="30"/>
      <c r="M130" s="30"/>
      <c r="N130" s="30"/>
      <c r="O130" s="30"/>
    </row>
    <row r="131" spans="2:15" x14ac:dyDescent="0.25">
      <c r="B131">
        <v>110</v>
      </c>
      <c r="C131">
        <v>10</v>
      </c>
      <c r="D131" s="39">
        <v>49156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/>
      <c r="L131" s="30"/>
      <c r="M131" s="30"/>
      <c r="N131" s="30"/>
      <c r="O131" s="30"/>
    </row>
    <row r="132" spans="2:15" x14ac:dyDescent="0.25">
      <c r="B132">
        <v>111</v>
      </c>
      <c r="C132">
        <v>10</v>
      </c>
      <c r="D132" s="39">
        <v>49187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/>
      <c r="L132" s="30"/>
      <c r="M132" s="30"/>
      <c r="N132" s="30"/>
      <c r="O132" s="30"/>
    </row>
    <row r="133" spans="2:15" x14ac:dyDescent="0.25">
      <c r="B133">
        <v>112</v>
      </c>
      <c r="C133">
        <v>10</v>
      </c>
      <c r="D133" s="39">
        <v>49217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/>
      <c r="L133" s="30"/>
      <c r="M133" s="30"/>
      <c r="N133" s="30"/>
      <c r="O133" s="30"/>
    </row>
    <row r="134" spans="2:15" x14ac:dyDescent="0.25">
      <c r="B134">
        <v>113</v>
      </c>
      <c r="C134">
        <v>10</v>
      </c>
      <c r="D134" s="39">
        <v>49248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/>
      <c r="L134" s="30"/>
      <c r="M134" s="30"/>
      <c r="N134" s="30"/>
      <c r="O134" s="30"/>
    </row>
    <row r="135" spans="2:15" x14ac:dyDescent="0.25">
      <c r="B135">
        <v>114</v>
      </c>
      <c r="C135">
        <v>10</v>
      </c>
      <c r="D135" s="39">
        <v>49278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/>
      <c r="L135" s="30"/>
      <c r="M135" s="30"/>
      <c r="N135" s="30"/>
      <c r="O135" s="30"/>
    </row>
    <row r="136" spans="2:15" x14ac:dyDescent="0.25">
      <c r="B136">
        <v>115</v>
      </c>
      <c r="C136">
        <v>10</v>
      </c>
      <c r="D136" s="39">
        <v>49309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/>
      <c r="L136" s="30"/>
      <c r="M136" s="30"/>
      <c r="N136" s="30"/>
      <c r="O136" s="30"/>
    </row>
    <row r="137" spans="2:15" x14ac:dyDescent="0.25">
      <c r="B137">
        <v>116</v>
      </c>
      <c r="C137">
        <v>10</v>
      </c>
      <c r="D137" s="39">
        <v>49340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/>
      <c r="L137" s="30"/>
      <c r="M137" s="30"/>
      <c r="N137" s="30"/>
      <c r="O137" s="30"/>
    </row>
    <row r="138" spans="2:15" x14ac:dyDescent="0.25">
      <c r="B138">
        <v>117</v>
      </c>
      <c r="C138">
        <v>10</v>
      </c>
      <c r="D138" s="39">
        <v>49368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/>
      <c r="L138" s="30"/>
      <c r="M138" s="30"/>
      <c r="N138" s="30"/>
      <c r="O138" s="30"/>
    </row>
    <row r="139" spans="2:15" x14ac:dyDescent="0.25">
      <c r="B139">
        <v>118</v>
      </c>
      <c r="C139">
        <v>10</v>
      </c>
      <c r="D139" s="39">
        <v>49399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/>
      <c r="L139" s="30"/>
      <c r="M139" s="30"/>
      <c r="N139" s="30"/>
      <c r="O139" s="30"/>
    </row>
    <row r="140" spans="2:15" x14ac:dyDescent="0.25">
      <c r="B140">
        <v>119</v>
      </c>
      <c r="C140">
        <v>10</v>
      </c>
      <c r="D140" s="39">
        <v>49429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/>
      <c r="L140" s="30"/>
      <c r="M140" s="30"/>
      <c r="N140" s="30"/>
      <c r="O140" s="30"/>
    </row>
    <row r="141" spans="2:15" x14ac:dyDescent="0.25">
      <c r="B141">
        <v>120</v>
      </c>
      <c r="C141">
        <v>10</v>
      </c>
      <c r="D141" s="39">
        <v>49460</v>
      </c>
      <c r="E141" s="30">
        <v>19790.732936385466</v>
      </c>
      <c r="F141" s="30">
        <v>5736.4443293870918</v>
      </c>
      <c r="G141" s="30">
        <v>3441.8665976322554</v>
      </c>
      <c r="H141" s="30">
        <v>4015.5110305709645</v>
      </c>
      <c r="I141" s="30">
        <v>2007.7555152854823</v>
      </c>
      <c r="J141" s="30">
        <v>4589.1554635096736</v>
      </c>
      <c r="K141" s="30"/>
      <c r="L141" s="30"/>
      <c r="M141" s="30"/>
      <c r="N141" s="30"/>
      <c r="O141" s="30"/>
    </row>
    <row r="142" spans="2:15" x14ac:dyDescent="0.25">
      <c r="B142">
        <v>121</v>
      </c>
      <c r="C142">
        <v>11</v>
      </c>
      <c r="D142" s="39">
        <v>49490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/>
      <c r="L142" s="30"/>
      <c r="M142" s="30"/>
      <c r="N142" s="30"/>
      <c r="O142" s="30"/>
    </row>
    <row r="143" spans="2:15" x14ac:dyDescent="0.25">
      <c r="B143">
        <v>122</v>
      </c>
      <c r="C143">
        <v>11</v>
      </c>
      <c r="D143" s="39">
        <v>49521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/>
      <c r="L143" s="30"/>
      <c r="M143" s="30"/>
      <c r="N143" s="30"/>
      <c r="O143" s="30"/>
    </row>
    <row r="144" spans="2:15" x14ac:dyDescent="0.25">
      <c r="B144">
        <v>123</v>
      </c>
      <c r="C144">
        <v>11</v>
      </c>
      <c r="D144" s="39">
        <v>49552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/>
      <c r="L144" s="30"/>
      <c r="M144" s="30"/>
      <c r="N144" s="30"/>
      <c r="O144" s="30"/>
    </row>
    <row r="145" spans="2:15" x14ac:dyDescent="0.25">
      <c r="B145">
        <v>124</v>
      </c>
      <c r="C145">
        <v>11</v>
      </c>
      <c r="D145" s="39">
        <v>49582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/>
      <c r="L145" s="30"/>
      <c r="M145" s="30"/>
      <c r="N145" s="30"/>
      <c r="O145" s="30"/>
    </row>
    <row r="146" spans="2:15" x14ac:dyDescent="0.25">
      <c r="B146">
        <v>125</v>
      </c>
      <c r="C146">
        <v>11</v>
      </c>
      <c r="D146" s="39">
        <v>49613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/>
      <c r="L146" s="30"/>
      <c r="M146" s="30"/>
      <c r="N146" s="30"/>
      <c r="O146" s="30"/>
    </row>
    <row r="147" spans="2:15" x14ac:dyDescent="0.25">
      <c r="B147">
        <v>126</v>
      </c>
      <c r="C147">
        <v>11</v>
      </c>
      <c r="D147" s="39">
        <v>49643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/>
      <c r="L147" s="30"/>
      <c r="M147" s="30"/>
      <c r="N147" s="30"/>
      <c r="O147" s="30"/>
    </row>
    <row r="148" spans="2:15" x14ac:dyDescent="0.25">
      <c r="B148">
        <v>127</v>
      </c>
      <c r="C148">
        <v>11</v>
      </c>
      <c r="D148" s="39">
        <v>49674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/>
      <c r="L148" s="30"/>
      <c r="M148" s="30"/>
      <c r="N148" s="30"/>
      <c r="O148" s="30"/>
    </row>
    <row r="149" spans="2:15" x14ac:dyDescent="0.25">
      <c r="B149">
        <v>128</v>
      </c>
      <c r="C149">
        <v>11</v>
      </c>
      <c r="D149" s="39">
        <v>49705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/>
      <c r="L149" s="30"/>
      <c r="M149" s="30"/>
      <c r="N149" s="30"/>
      <c r="O149" s="30"/>
    </row>
    <row r="150" spans="2:15" x14ac:dyDescent="0.25">
      <c r="B150">
        <v>129</v>
      </c>
      <c r="C150">
        <v>11</v>
      </c>
      <c r="D150" s="39">
        <v>49734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/>
      <c r="L150" s="30"/>
      <c r="M150" s="30"/>
      <c r="N150" s="30"/>
      <c r="O150" s="30"/>
    </row>
    <row r="151" spans="2:15" x14ac:dyDescent="0.25">
      <c r="B151">
        <v>130</v>
      </c>
      <c r="C151">
        <v>11</v>
      </c>
      <c r="D151" s="39">
        <v>49765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/>
      <c r="L151" s="30"/>
      <c r="M151" s="30"/>
      <c r="N151" s="30"/>
      <c r="O151" s="30"/>
    </row>
    <row r="152" spans="2:15" x14ac:dyDescent="0.25">
      <c r="B152">
        <v>131</v>
      </c>
      <c r="C152">
        <v>11</v>
      </c>
      <c r="D152" s="39">
        <v>49795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/>
      <c r="L152" s="30"/>
      <c r="M152" s="30"/>
      <c r="N152" s="30"/>
      <c r="O152" s="30"/>
    </row>
    <row r="153" spans="2:15" x14ac:dyDescent="0.25">
      <c r="B153">
        <v>132</v>
      </c>
      <c r="C153">
        <v>11</v>
      </c>
      <c r="D153" s="39">
        <v>49826</v>
      </c>
      <c r="E153" s="30">
        <v>20186.547595113178</v>
      </c>
      <c r="F153" s="30">
        <v>5851.1732159748344</v>
      </c>
      <c r="G153" s="30">
        <v>3510.7039295849004</v>
      </c>
      <c r="H153" s="30">
        <v>4095.821251182384</v>
      </c>
      <c r="I153" s="30">
        <v>2047.910625591192</v>
      </c>
      <c r="J153" s="30">
        <v>4680.9385727798672</v>
      </c>
      <c r="K153" s="30"/>
      <c r="L153" s="30"/>
      <c r="M153" s="30"/>
      <c r="N153" s="30"/>
      <c r="O153" s="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E198C30D334D4799A0A6192774ACA4" ma:contentTypeVersion="13" ma:contentTypeDescription="Create a new document." ma:contentTypeScope="" ma:versionID="c572f7800318d7f69b7325113cd25c40">
  <xsd:schema xmlns:xsd="http://www.w3.org/2001/XMLSchema" xmlns:xs="http://www.w3.org/2001/XMLSchema" xmlns:p="http://schemas.microsoft.com/office/2006/metadata/properties" xmlns:ns3="18ee5480-bc57-428c-a521-c1b5a30d1164" xmlns:ns4="e8d1ac66-52f7-4cba-a3db-9cc4a60ac180" targetNamespace="http://schemas.microsoft.com/office/2006/metadata/properties" ma:root="true" ma:fieldsID="f17c04d4cfd0e1c705f63883a6a92018" ns3:_="" ns4:_="">
    <xsd:import namespace="18ee5480-bc57-428c-a521-c1b5a30d1164"/>
    <xsd:import namespace="e8d1ac66-52f7-4cba-a3db-9cc4a60ac1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ee5480-bc57-428c-a521-c1b5a30d11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1ac66-52f7-4cba-a3db-9cc4a60ac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8ee5480-bc57-428c-a521-c1b5a30d1164" xsi:nil="true"/>
  </documentManagement>
</p:properties>
</file>

<file path=customXml/itemProps1.xml><?xml version="1.0" encoding="utf-8"?>
<ds:datastoreItem xmlns:ds="http://schemas.openxmlformats.org/officeDocument/2006/customXml" ds:itemID="{6411F12D-2BC4-48CA-94C0-E091C75283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ee5480-bc57-428c-a521-c1b5a30d1164"/>
    <ds:schemaRef ds:uri="e8d1ac66-52f7-4cba-a3db-9cc4a60ac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9F3105-34F6-429A-9C82-0CD59BE18C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E0BDE1-A1C8-4AF7-A57A-F7CDFCB0FECB}">
  <ds:schemaRefs>
    <ds:schemaRef ds:uri="e8d1ac66-52f7-4cba-a3db-9cc4a60ac180"/>
    <ds:schemaRef ds:uri="http://www.w3.org/XML/1998/namespace"/>
    <ds:schemaRef ds:uri="18ee5480-bc57-428c-a521-c1b5a30d1164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54</vt:i4>
      </vt:variant>
    </vt:vector>
  </HeadingPairs>
  <TitlesOfParts>
    <vt:vector size="66" baseType="lpstr">
      <vt:lpstr>Property Summary</vt:lpstr>
      <vt:lpstr>Property Returns</vt:lpstr>
      <vt:lpstr>Rent Roll</vt:lpstr>
      <vt:lpstr>Expenses</vt:lpstr>
      <vt:lpstr>Cash Flow</vt:lpstr>
      <vt:lpstr>Debt</vt:lpstr>
      <vt:lpstr>Calc Modules--&gt;</vt:lpstr>
      <vt:lpstr>Forecast. Monthly Rent</vt:lpstr>
      <vt:lpstr>Forecast.Free Rent</vt:lpstr>
      <vt:lpstr>Forecast.CAPEX</vt:lpstr>
      <vt:lpstr>Forecast.Vacancy</vt:lpstr>
      <vt:lpstr>Forecast.ReLeasing</vt:lpstr>
      <vt:lpstr>Acq.Costs.PCT</vt:lpstr>
      <vt:lpstr>Amort.Period</vt:lpstr>
      <vt:lpstr>Analysis.Period</vt:lpstr>
      <vt:lpstr>Basis</vt:lpstr>
      <vt:lpstr>Debt.Service</vt:lpstr>
      <vt:lpstr>Discount.Rate</vt:lpstr>
      <vt:lpstr>Estimated.Gross.Revenue</vt:lpstr>
      <vt:lpstr>Forecast.CapEx</vt:lpstr>
      <vt:lpstr>Forecast.Free.Rent</vt:lpstr>
      <vt:lpstr>Forecast.OpEx</vt:lpstr>
      <vt:lpstr>Forecast.ReLeasing.Cost</vt:lpstr>
      <vt:lpstr>Forecast.Vacancy</vt:lpstr>
      <vt:lpstr>Forecast.Value.Add.Costs</vt:lpstr>
      <vt:lpstr>Infl.CapEx</vt:lpstr>
      <vt:lpstr>Infl.Operating.Expenses</vt:lpstr>
      <vt:lpstr>Infl.Other.Income</vt:lpstr>
      <vt:lpstr>Infl.ReLeasing.Costs</vt:lpstr>
      <vt:lpstr>Infl.Rent</vt:lpstr>
      <vt:lpstr>Initial.Equity</vt:lpstr>
      <vt:lpstr>Interest.Expense</vt:lpstr>
      <vt:lpstr>Interest.Rate</vt:lpstr>
      <vt:lpstr>IRR.Unlevered</vt:lpstr>
      <vt:lpstr>Lender.Fee.AMT</vt:lpstr>
      <vt:lpstr>Lender.Fee.PCT</vt:lpstr>
      <vt:lpstr>Loan.Amount</vt:lpstr>
      <vt:lpstr>Loan.Balance</vt:lpstr>
      <vt:lpstr>Locale</vt:lpstr>
      <vt:lpstr>Market.Cap.Rate</vt:lpstr>
      <vt:lpstr>Monthly.Forecast.Unit</vt:lpstr>
      <vt:lpstr>Monthly.Revenue.Forecast</vt:lpstr>
      <vt:lpstr>Monthly.Revenue.Year</vt:lpstr>
      <vt:lpstr>Net.Operating.Income</vt:lpstr>
      <vt:lpstr>Num.Apartments</vt:lpstr>
      <vt:lpstr>Occupancy</vt:lpstr>
      <vt:lpstr>Operating.Expenses</vt:lpstr>
      <vt:lpstr>Other.Income</vt:lpstr>
      <vt:lpstr>PIK.Period</vt:lpstr>
      <vt:lpstr>Potential.Gross.Income</vt:lpstr>
      <vt:lpstr>Price.Per.Unit</vt:lpstr>
      <vt:lpstr>Property</vt:lpstr>
      <vt:lpstr>Purchase.Price</vt:lpstr>
      <vt:lpstr>rent.roll.assumptions</vt:lpstr>
      <vt:lpstr>Sales.Price.Forecast</vt:lpstr>
      <vt:lpstr>Start.Date</vt:lpstr>
      <vt:lpstr>Term</vt:lpstr>
      <vt:lpstr>Term.Cap.Growth.BPS</vt:lpstr>
      <vt:lpstr>Term.Cap.Year</vt:lpstr>
      <vt:lpstr>Timeline</vt:lpstr>
      <vt:lpstr>Total.CapEx</vt:lpstr>
      <vt:lpstr>Total.Equity.Required</vt:lpstr>
      <vt:lpstr>Total.Equity.Requirement</vt:lpstr>
      <vt:lpstr>Unit.Replacement.Cost</vt:lpstr>
      <vt:lpstr>Upfront.CAPEX</vt:lpstr>
      <vt:lpstr>Vacancy.Rate</vt:lpstr>
    </vt:vector>
  </TitlesOfParts>
  <Company>Kent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Gartner, Caleb</dc:creator>
  <cp:lastModifiedBy>Gartner, Caleb</cp:lastModifiedBy>
  <dcterms:created xsi:type="dcterms:W3CDTF">2025-03-31T19:53:37Z</dcterms:created>
  <dcterms:modified xsi:type="dcterms:W3CDTF">2026-05-01T19:07:59Z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0x010100E9E198C30D334D4799A0A6192774ACA4</vt:lpwstr>
  </property>
</Properties>
</file>