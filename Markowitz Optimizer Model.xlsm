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defaultThemeVersion="202300"/>
  <mc:AlternateContent xmlns:mc="http://schemas.openxmlformats.org/markup-compatibility/2006">
    <mc:Choice Requires="x15">
      <x15ac:absPath xmlns:x15ac="http://schemas.microsoft.com/office/spreadsheetml/2010/11/ac" url="C:\Users\Caleb\Desktop\GitHub Models\"/>
    </mc:Choice>
  </mc:AlternateContent>
  <xr:revisionPtr revIDLastSave="0" documentId="8_{61D13F94-09B0-472F-B21E-25DDD1850402}" xr6:coauthVersionLast="47" xr6:coauthVersionMax="47" xr10:uidLastSave="{00000000-0000-0000-0000-000000000000}"/>
  <bookViews>
    <workbookView xWindow="28680" yWindow="-120" windowWidth="29040" windowHeight="15720" activeTab="4" xr2:uid="{568AEE36-6A05-4756-9899-9C6F1C12FA66}"/>
  </bookViews>
  <sheets>
    <sheet name="Parms" sheetId="1" r:id="rId1"/>
    <sheet name="Optimized Portfolio" sheetId="5" r:id="rId2"/>
    <sheet name="CAPM Graph" sheetId="6" r:id="rId3"/>
    <sheet name="Historical Data" sheetId="2" r:id="rId4"/>
    <sheet name="Deltas" sheetId="3" r:id="rId5"/>
    <sheet name="Index" sheetId="4" r:id="rId6"/>
  </sheets>
  <externalReferences>
    <externalReference r:id="rId7"/>
  </externalReferences>
  <definedNames>
    <definedName name="best.portfolios">'Optimized Portfolio'!$U$46:$AE$47</definedName>
    <definedName name="daily.portfolio.risk">'Optimized Portfolio'!$L$41</definedName>
    <definedName name="end.date">Parms!$F$3</definedName>
    <definedName name="market.reward">'CAPM Graph'!$B$16</definedName>
    <definedName name="market.risk">'CAPM Graph'!$A$16</definedName>
    <definedName name="Portfolio.Companies">Parms!$G$5:$G$19</definedName>
    <definedName name="Return">'Optimized Portfolio'!$G$20</definedName>
    <definedName name="Risk">'Optimized Portfolio'!$G$21</definedName>
    <definedName name="risk.free.rate">'Optimized Portfolio'!$G$23</definedName>
    <definedName name="solver_adj" localSheetId="1" hidden="1">'Optimized Portfolio'!$G$3:$G$17</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'Optimized Portfolio'!$G$18</definedName>
    <definedName name="solver_lhs2" localSheetId="1" hidden="1">'Optimized Portfolio'!$G$21</definedName>
    <definedName name="solver_lhs3" localSheetId="1" hidden="1">'Optimized Portfolio'!$G$3:$G$17</definedName>
    <definedName name="solver_lhs4" localSheetId="1" hidden="1">'Optimized Portfolio'!$G$3:$G$17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4</definedName>
    <definedName name="solver_nwt" localSheetId="1" hidden="1">1</definedName>
    <definedName name="solver_opt" localSheetId="1" hidden="1">'Optimized Portfolio'!$G$22</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el3" localSheetId="1" hidden="1">1</definedName>
    <definedName name="solver_rel4" localSheetId="1" hidden="1">3</definedName>
    <definedName name="solver_rhs1" localSheetId="1" hidden="1">1</definedName>
    <definedName name="solver_rhs2" localSheetId="1" hidden="1">'Optimized Portfolio'!$G$24</definedName>
    <definedName name="solver_rhs3" localSheetId="1" hidden="1">0.2</definedName>
    <definedName name="solver_rhs4" localSheetId="1" hidden="1">0.02</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tart.date">Parms!$F$2</definedName>
    <definedName name="Stock.List">Parms!$F$5:$F$19</definedName>
    <definedName name="Stock.Names">Parms!$I$5:$I$19</definedName>
    <definedName name="Stock.Returns">'Historical Data'!$B$4:$P$4</definedName>
    <definedName name="Stock.Risk">Deltas!$B$2:$P$2</definedName>
    <definedName name="table.delta">Deltas!$B$5:$P$254</definedName>
    <definedName name="The.Dates">'Historical Data'!$A$8</definedName>
    <definedName name="Weights">'Optimized Portfolio'!$G$3:$G$17</definedName>
    <definedName name="worst.portfolios">'Optimized Portfolio'!$J$46:$T$47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6" l="1" a="1"/>
  <c r="E3" i="6" s="1"/>
  <c r="D3" i="6" a="1"/>
  <c r="D3" i="6" s="1"/>
  <c r="C3" i="6" a="1"/>
  <c r="C3" i="6" s="1"/>
  <c r="A3" i="6" a="1"/>
  <c r="A3" i="6" s="1"/>
  <c r="G49" i="5" a="1"/>
  <c r="G49" i="5" s="1"/>
  <c r="G24" i="5" l="1"/>
  <c r="L37" i="5" a="1"/>
  <c r="L37" i="5" s="1"/>
  <c r="J21" i="5" a="1"/>
  <c r="J21" i="5" s="1"/>
  <c r="G18" i="5"/>
  <c r="D4" i="2"/>
  <c r="B7" i="2" a="1"/>
  <c r="B7" i="2" s="1"/>
  <c r="A3" i="2"/>
  <c r="A2" i="2"/>
  <c r="F6" i="1" a="1"/>
  <c r="F6" i="1" s="1"/>
  <c r="F7" i="1" a="1"/>
  <c r="F7" i="1" s="1"/>
  <c r="F8" i="1" a="1"/>
  <c r="F8" i="1" s="1"/>
  <c r="F9" i="1" a="1"/>
  <c r="F9" i="1" s="1"/>
  <c r="F10" i="1" a="1"/>
  <c r="F10" i="1" s="1"/>
  <c r="F11" i="1" a="1"/>
  <c r="F11" i="1" s="1"/>
  <c r="F12" i="1" a="1"/>
  <c r="F12" i="1" s="1"/>
  <c r="F13" i="1" a="1"/>
  <c r="F13" i="1" s="1"/>
  <c r="F14" i="1" a="1"/>
  <c r="F14" i="1" s="1"/>
  <c r="F15" i="1" a="1"/>
  <c r="F15" i="1" s="1"/>
  <c r="F16" i="1" a="1"/>
  <c r="F16" i="1" s="1"/>
  <c r="F17" i="1" a="1"/>
  <c r="F17" i="1" s="1"/>
  <c r="F18" i="1" a="1"/>
  <c r="F18" i="1" s="1"/>
  <c r="F19" i="1" a="1"/>
  <c r="F19" i="1" s="1"/>
  <c r="F5" i="1" a="1"/>
  <c r="F5" i="1" s="1"/>
  <c r="I6" i="1" a="1"/>
  <c r="I6" i="1" s="1"/>
  <c r="I7" i="1" a="1"/>
  <c r="I7" i="1" s="1"/>
  <c r="I8" i="1" a="1"/>
  <c r="I8" i="1" s="1"/>
  <c r="I9" i="1" a="1"/>
  <c r="I9" i="1" s="1"/>
  <c r="I10" i="1" a="1"/>
  <c r="I10" i="1" s="1"/>
  <c r="I11" i="1" a="1"/>
  <c r="I11" i="1" s="1"/>
  <c r="I12" i="1" a="1"/>
  <c r="I12" i="1" s="1"/>
  <c r="I13" i="1" a="1"/>
  <c r="I13" i="1" s="1"/>
  <c r="I14" i="1" a="1"/>
  <c r="I14" i="1" s="1"/>
  <c r="I15" i="1" a="1"/>
  <c r="I15" i="1" s="1"/>
  <c r="I16" i="1" a="1"/>
  <c r="I16" i="1" s="1"/>
  <c r="I17" i="1" a="1"/>
  <c r="I17" i="1" s="1"/>
  <c r="I18" i="1" a="1"/>
  <c r="I18" i="1" s="1"/>
  <c r="I19" i="1" a="1"/>
  <c r="I19" i="1" s="1"/>
  <c r="I5" i="1" a="1"/>
  <c r="I5" i="1" s="1"/>
  <c r="H6" i="1" a="1"/>
  <c r="H6" i="1" s="1"/>
  <c r="H7" i="1" a="1"/>
  <c r="H7" i="1" s="1"/>
  <c r="H8" i="1" a="1"/>
  <c r="H8" i="1" s="1"/>
  <c r="H9" i="1" a="1"/>
  <c r="H9" i="1" s="1"/>
  <c r="H10" i="1" a="1"/>
  <c r="H10" i="1" s="1"/>
  <c r="H11" i="1" a="1"/>
  <c r="H11" i="1" s="1"/>
  <c r="H12" i="1" a="1"/>
  <c r="H12" i="1" s="1"/>
  <c r="H13" i="1" a="1"/>
  <c r="H13" i="1" s="1"/>
  <c r="H14" i="1" a="1"/>
  <c r="H14" i="1" s="1"/>
  <c r="H15" i="1" a="1"/>
  <c r="H15" i="1" s="1"/>
  <c r="H16" i="1" a="1"/>
  <c r="H16" i="1" s="1"/>
  <c r="H17" i="1" a="1"/>
  <c r="H17" i="1" s="1"/>
  <c r="H18" i="1" a="1"/>
  <c r="H18" i="1" s="1"/>
  <c r="H19" i="1" a="1"/>
  <c r="H19" i="1" s="1"/>
  <c r="H5" i="1" a="1"/>
  <c r="H5" i="1" s="1"/>
  <c r="I8" i="2" a="1"/>
  <c r="N8" i="2" a="1"/>
  <c r="H8" i="2" a="1"/>
  <c r="J8" i="2" a="1"/>
  <c r="P8" i="2" a="1"/>
  <c r="L8" i="2" a="1"/>
  <c r="O8" i="2" a="1"/>
  <c r="G8" i="2" a="1"/>
  <c r="A8" i="2" a="1"/>
  <c r="D8" i="2" a="1"/>
  <c r="F8" i="2" a="1"/>
  <c r="K8" i="2" a="1"/>
  <c r="E8" i="2" a="1"/>
  <c r="C8" i="2" a="1"/>
  <c r="M8" i="2" a="1"/>
  <c r="F49" i="5" l="1" a="1"/>
  <c r="F49" i="5" s="1"/>
  <c r="L20" i="5" a="1"/>
  <c r="L20" i="5" s="1"/>
  <c r="K21" i="5" a="1"/>
  <c r="K21" i="5" s="1"/>
  <c r="K3" i="5" a="1"/>
  <c r="K3" i="5" s="1"/>
  <c r="L2" i="5" a="1"/>
  <c r="C3" i="5" a="1"/>
  <c r="C3" i="5" s="1"/>
  <c r="F3" i="5" a="1"/>
  <c r="F3" i="5" s="1"/>
  <c r="B6" i="3"/>
  <c r="B22" i="3"/>
  <c r="B38" i="3"/>
  <c r="B54" i="3"/>
  <c r="B70" i="3"/>
  <c r="B86" i="3"/>
  <c r="B102" i="3"/>
  <c r="B118" i="3"/>
  <c r="B134" i="3"/>
  <c r="B150" i="3"/>
  <c r="B166" i="3"/>
  <c r="B182" i="3"/>
  <c r="B7" i="3"/>
  <c r="B23" i="3"/>
  <c r="B39" i="3"/>
  <c r="B55" i="3"/>
  <c r="B71" i="3"/>
  <c r="B13" i="3"/>
  <c r="B31" i="3"/>
  <c r="B49" i="3"/>
  <c r="B67" i="3"/>
  <c r="B85" i="3"/>
  <c r="B103" i="3"/>
  <c r="B120" i="3"/>
  <c r="B137" i="3"/>
  <c r="B154" i="3"/>
  <c r="B171" i="3"/>
  <c r="B188" i="3"/>
  <c r="B204" i="3"/>
  <c r="B220" i="3"/>
  <c r="B236" i="3"/>
  <c r="B252" i="3"/>
  <c r="B14" i="3"/>
  <c r="B32" i="3"/>
  <c r="B50" i="3"/>
  <c r="B68" i="3"/>
  <c r="B87" i="3"/>
  <c r="B104" i="3"/>
  <c r="B121" i="3"/>
  <c r="B138" i="3"/>
  <c r="B155" i="3"/>
  <c r="B172" i="3"/>
  <c r="B189" i="3"/>
  <c r="B205" i="3"/>
  <c r="B221" i="3"/>
  <c r="B237" i="3"/>
  <c r="B253" i="3"/>
  <c r="B15" i="3"/>
  <c r="B33" i="3"/>
  <c r="B51" i="3"/>
  <c r="B69" i="3"/>
  <c r="B88" i="3"/>
  <c r="B105" i="3"/>
  <c r="B122" i="3"/>
  <c r="B139" i="3"/>
  <c r="B156" i="3"/>
  <c r="B173" i="3"/>
  <c r="B190" i="3"/>
  <c r="B206" i="3"/>
  <c r="B222" i="3"/>
  <c r="B238" i="3"/>
  <c r="B254" i="3"/>
  <c r="B16" i="3"/>
  <c r="B34" i="3"/>
  <c r="B52" i="3"/>
  <c r="B72" i="3"/>
  <c r="B89" i="3"/>
  <c r="B106" i="3"/>
  <c r="B123" i="3"/>
  <c r="B140" i="3"/>
  <c r="B157" i="3"/>
  <c r="B174" i="3"/>
  <c r="B191" i="3"/>
  <c r="B207" i="3"/>
  <c r="B223" i="3"/>
  <c r="B239" i="3"/>
  <c r="B5" i="3"/>
  <c r="B8" i="3"/>
  <c r="B30" i="3"/>
  <c r="B58" i="3"/>
  <c r="B80" i="3"/>
  <c r="B101" i="3"/>
  <c r="B127" i="3"/>
  <c r="B148" i="3"/>
  <c r="B170" i="3"/>
  <c r="B195" i="3"/>
  <c r="B215" i="3"/>
  <c r="B235" i="3"/>
  <c r="B12" i="3"/>
  <c r="B110" i="3"/>
  <c r="B153" i="3"/>
  <c r="B219" i="3"/>
  <c r="B41" i="3"/>
  <c r="B64" i="3"/>
  <c r="B159" i="3"/>
  <c r="B245" i="3"/>
  <c r="B43" i="3"/>
  <c r="B113" i="3"/>
  <c r="B246" i="3"/>
  <c r="B9" i="3"/>
  <c r="B35" i="3"/>
  <c r="B59" i="3"/>
  <c r="B81" i="3"/>
  <c r="B107" i="3"/>
  <c r="B128" i="3"/>
  <c r="B149" i="3"/>
  <c r="B175" i="3"/>
  <c r="B196" i="3"/>
  <c r="B216" i="3"/>
  <c r="B240" i="3"/>
  <c r="B62" i="3"/>
  <c r="B178" i="3"/>
  <c r="B63" i="3"/>
  <c r="B111" i="3"/>
  <c r="B158" i="3"/>
  <c r="B179" i="3"/>
  <c r="B200" i="3"/>
  <c r="B244" i="3"/>
  <c r="B42" i="3"/>
  <c r="B180" i="3"/>
  <c r="B65" i="3"/>
  <c r="B226" i="3"/>
  <c r="B10" i="3"/>
  <c r="B36" i="3"/>
  <c r="B60" i="3"/>
  <c r="B82" i="3"/>
  <c r="B108" i="3"/>
  <c r="B129" i="3"/>
  <c r="B151" i="3"/>
  <c r="B176" i="3"/>
  <c r="B197" i="3"/>
  <c r="B217" i="3"/>
  <c r="B241" i="3"/>
  <c r="B40" i="3"/>
  <c r="B131" i="3"/>
  <c r="B243" i="3"/>
  <c r="B17" i="3"/>
  <c r="B91" i="3"/>
  <c r="B225" i="3"/>
  <c r="B19" i="3"/>
  <c r="B92" i="3"/>
  <c r="B160" i="3"/>
  <c r="B11" i="3"/>
  <c r="B37" i="3"/>
  <c r="B61" i="3"/>
  <c r="B83" i="3"/>
  <c r="B109" i="3"/>
  <c r="B130" i="3"/>
  <c r="B152" i="3"/>
  <c r="B177" i="3"/>
  <c r="B198" i="3"/>
  <c r="B218" i="3"/>
  <c r="B242" i="3"/>
  <c r="B84" i="3"/>
  <c r="B199" i="3"/>
  <c r="B90" i="3"/>
  <c r="B18" i="3"/>
  <c r="B112" i="3"/>
  <c r="B201" i="3"/>
  <c r="B135" i="3"/>
  <c r="B133" i="3"/>
  <c r="B202" i="3"/>
  <c r="B132" i="3"/>
  <c r="B224" i="3"/>
  <c r="B181" i="3"/>
  <c r="B20" i="3"/>
  <c r="B66" i="3"/>
  <c r="B114" i="3"/>
  <c r="B161" i="3"/>
  <c r="B203" i="3"/>
  <c r="B247" i="3"/>
  <c r="B164" i="3"/>
  <c r="B119" i="3"/>
  <c r="B251" i="3"/>
  <c r="B21" i="3"/>
  <c r="B73" i="3"/>
  <c r="B115" i="3"/>
  <c r="B162" i="3"/>
  <c r="B208" i="3"/>
  <c r="B248" i="3"/>
  <c r="B25" i="3"/>
  <c r="B250" i="3"/>
  <c r="B26" i="3"/>
  <c r="B165" i="3"/>
  <c r="B24" i="3"/>
  <c r="B74" i="3"/>
  <c r="B116" i="3"/>
  <c r="B163" i="3"/>
  <c r="B209" i="3"/>
  <c r="B249" i="3"/>
  <c r="B75" i="3"/>
  <c r="B117" i="3"/>
  <c r="B210" i="3"/>
  <c r="B76" i="3"/>
  <c r="B211" i="3"/>
  <c r="B29" i="3"/>
  <c r="B79" i="3"/>
  <c r="B126" i="3"/>
  <c r="B169" i="3"/>
  <c r="B214" i="3"/>
  <c r="B44" i="3"/>
  <c r="B93" i="3"/>
  <c r="B136" i="3"/>
  <c r="B183" i="3"/>
  <c r="B227" i="3"/>
  <c r="B77" i="3"/>
  <c r="B146" i="3"/>
  <c r="B231" i="3"/>
  <c r="B78" i="3"/>
  <c r="B232" i="3"/>
  <c r="B233" i="3"/>
  <c r="B234" i="3"/>
  <c r="B96" i="3"/>
  <c r="B185" i="3"/>
  <c r="B98" i="3"/>
  <c r="B27" i="3"/>
  <c r="B192" i="3"/>
  <c r="B45" i="3"/>
  <c r="B124" i="3"/>
  <c r="B193" i="3"/>
  <c r="B213" i="3"/>
  <c r="B143" i="3"/>
  <c r="B228" i="3"/>
  <c r="B229" i="3"/>
  <c r="B147" i="3"/>
  <c r="B95" i="3"/>
  <c r="B97" i="3"/>
  <c r="B187" i="3"/>
  <c r="B28" i="3"/>
  <c r="B46" i="3"/>
  <c r="B47" i="3"/>
  <c r="B212" i="3"/>
  <c r="B53" i="3"/>
  <c r="B230" i="3"/>
  <c r="B94" i="3"/>
  <c r="B167" i="3"/>
  <c r="B168" i="3"/>
  <c r="B184" i="3"/>
  <c r="B100" i="3"/>
  <c r="B125" i="3"/>
  <c r="B194" i="3"/>
  <c r="B142" i="3"/>
  <c r="B186" i="3"/>
  <c r="B99" i="3"/>
  <c r="B141" i="3"/>
  <c r="B48" i="3"/>
  <c r="B56" i="3"/>
  <c r="B145" i="3"/>
  <c r="B144" i="3"/>
  <c r="B57" i="3"/>
  <c r="C16" i="3"/>
  <c r="C27" i="3"/>
  <c r="C55" i="3"/>
  <c r="C66" i="3"/>
  <c r="C77" i="3"/>
  <c r="C94" i="3"/>
  <c r="C107" i="3"/>
  <c r="C10" i="3"/>
  <c r="C21" i="3"/>
  <c r="C38" i="3"/>
  <c r="C49" i="3"/>
  <c r="C60" i="3"/>
  <c r="C88" i="3"/>
  <c r="C99" i="3"/>
  <c r="C32" i="3"/>
  <c r="C43" i="3"/>
  <c r="C13" i="3"/>
  <c r="C19" i="3"/>
  <c r="C25" i="3"/>
  <c r="C31" i="3"/>
  <c r="C52" i="3"/>
  <c r="C58" i="3"/>
  <c r="C72" i="3"/>
  <c r="C79" i="3"/>
  <c r="C86" i="3"/>
  <c r="C7" i="3"/>
  <c r="C28" i="3"/>
  <c r="C34" i="3"/>
  <c r="C40" i="3"/>
  <c r="C46" i="3"/>
  <c r="C61" i="3"/>
  <c r="C68" i="3"/>
  <c r="C75" i="3"/>
  <c r="C82" i="3"/>
  <c r="C100" i="3"/>
  <c r="C104" i="3"/>
  <c r="C109" i="3"/>
  <c r="C117" i="3"/>
  <c r="C22" i="3"/>
  <c r="C57" i="3"/>
  <c r="C127" i="3"/>
  <c r="C33" i="3"/>
  <c r="C44" i="3"/>
  <c r="C48" i="3"/>
  <c r="C59" i="3"/>
  <c r="C95" i="3"/>
  <c r="C105" i="3"/>
  <c r="C132" i="3"/>
  <c r="C138" i="3"/>
  <c r="C146" i="3"/>
  <c r="C154" i="3"/>
  <c r="C24" i="3"/>
  <c r="C35" i="3"/>
  <c r="C78" i="3"/>
  <c r="C83" i="3"/>
  <c r="C85" i="3"/>
  <c r="C111" i="3"/>
  <c r="C118" i="3"/>
  <c r="C26" i="3"/>
  <c r="C37" i="3"/>
  <c r="C90" i="3"/>
  <c r="C92" i="3"/>
  <c r="C102" i="3"/>
  <c r="C114" i="3"/>
  <c r="C121" i="3"/>
  <c r="C126" i="3"/>
  <c r="C137" i="3"/>
  <c r="C45" i="3"/>
  <c r="C103" i="3"/>
  <c r="C113" i="3"/>
  <c r="C124" i="3"/>
  <c r="C143" i="3"/>
  <c r="C150" i="3"/>
  <c r="C157" i="3"/>
  <c r="C168" i="3"/>
  <c r="C191" i="3"/>
  <c r="C199" i="3"/>
  <c r="C207" i="3"/>
  <c r="C215" i="3"/>
  <c r="C223" i="3"/>
  <c r="C231" i="3"/>
  <c r="C239" i="3"/>
  <c r="C247" i="3"/>
  <c r="C50" i="3"/>
  <c r="C140" i="3"/>
  <c r="C153" i="3"/>
  <c r="C162" i="3"/>
  <c r="C179" i="3"/>
  <c r="C18" i="3"/>
  <c r="C62" i="3"/>
  <c r="C69" i="3"/>
  <c r="C101" i="3"/>
  <c r="C115" i="3"/>
  <c r="C129" i="3"/>
  <c r="C173" i="3"/>
  <c r="C184" i="3"/>
  <c r="C190" i="3"/>
  <c r="C198" i="3"/>
  <c r="C206" i="3"/>
  <c r="C214" i="3"/>
  <c r="C222" i="3"/>
  <c r="C230" i="3"/>
  <c r="C238" i="3"/>
  <c r="C23" i="3"/>
  <c r="C67" i="3"/>
  <c r="C76" i="3"/>
  <c r="C167" i="3"/>
  <c r="C178" i="3"/>
  <c r="C74" i="3"/>
  <c r="C89" i="3"/>
  <c r="C98" i="3"/>
  <c r="C131" i="3"/>
  <c r="C171" i="3"/>
  <c r="C189" i="3"/>
  <c r="C195" i="3"/>
  <c r="C201" i="3"/>
  <c r="C221" i="3"/>
  <c r="C227" i="3"/>
  <c r="C233" i="3"/>
  <c r="C242" i="3"/>
  <c r="C9" i="3"/>
  <c r="C36" i="3"/>
  <c r="C39" i="3"/>
  <c r="C42" i="3"/>
  <c r="C65" i="3"/>
  <c r="C80" i="3"/>
  <c r="C112" i="3"/>
  <c r="C135" i="3"/>
  <c r="C149" i="3"/>
  <c r="C158" i="3"/>
  <c r="C176" i="3"/>
  <c r="C245" i="3"/>
  <c r="C249" i="3"/>
  <c r="C253" i="3"/>
  <c r="C12" i="3"/>
  <c r="C29" i="3"/>
  <c r="C122" i="3"/>
  <c r="C133" i="3"/>
  <c r="C192" i="3"/>
  <c r="C212" i="3"/>
  <c r="C218" i="3"/>
  <c r="C224" i="3"/>
  <c r="C120" i="3"/>
  <c r="C71" i="3"/>
  <c r="C110" i="3"/>
  <c r="C147" i="3"/>
  <c r="C151" i="3"/>
  <c r="C160" i="3"/>
  <c r="C163" i="3"/>
  <c r="C181" i="3"/>
  <c r="C53" i="3"/>
  <c r="C56" i="3"/>
  <c r="C81" i="3"/>
  <c r="C96" i="3"/>
  <c r="C125" i="3"/>
  <c r="C142" i="3"/>
  <c r="C165" i="3"/>
  <c r="C183" i="3"/>
  <c r="C8" i="3"/>
  <c r="C139" i="3"/>
  <c r="C141" i="3"/>
  <c r="C47" i="3"/>
  <c r="C70" i="3"/>
  <c r="C170" i="3"/>
  <c r="C177" i="3"/>
  <c r="C193" i="3"/>
  <c r="C202" i="3"/>
  <c r="C148" i="3"/>
  <c r="C203" i="3"/>
  <c r="C145" i="3"/>
  <c r="C185" i="3"/>
  <c r="C6" i="3"/>
  <c r="C54" i="3"/>
  <c r="C64" i="3"/>
  <c r="C87" i="3"/>
  <c r="C108" i="3"/>
  <c r="C144" i="3"/>
  <c r="C200" i="3"/>
  <c r="C229" i="3"/>
  <c r="C235" i="3"/>
  <c r="C237" i="3"/>
  <c r="C225" i="3"/>
  <c r="C155" i="3"/>
  <c r="C180" i="3"/>
  <c r="C14" i="3"/>
  <c r="C241" i="3"/>
  <c r="C250" i="3"/>
  <c r="C252" i="3"/>
  <c r="C130" i="3"/>
  <c r="C187" i="3"/>
  <c r="C254" i="3"/>
  <c r="C123" i="3"/>
  <c r="C166" i="3"/>
  <c r="C93" i="3"/>
  <c r="C175" i="3"/>
  <c r="C182" i="3"/>
  <c r="C196" i="3"/>
  <c r="C213" i="3"/>
  <c r="C161" i="3"/>
  <c r="C152" i="3"/>
  <c r="C243" i="3"/>
  <c r="C20" i="3"/>
  <c r="C134" i="3"/>
  <c r="C194" i="3"/>
  <c r="C205" i="3"/>
  <c r="C209" i="3"/>
  <c r="C211" i="3"/>
  <c r="C217" i="3"/>
  <c r="C219" i="3"/>
  <c r="C84" i="3"/>
  <c r="C128" i="3"/>
  <c r="C234" i="3"/>
  <c r="C172" i="3"/>
  <c r="C188" i="3"/>
  <c r="C197" i="3"/>
  <c r="C51" i="3"/>
  <c r="C226" i="3"/>
  <c r="C15" i="3"/>
  <c r="C210" i="3"/>
  <c r="C41" i="3"/>
  <c r="C91" i="3"/>
  <c r="C169" i="3"/>
  <c r="C11" i="3"/>
  <c r="C116" i="3"/>
  <c r="C164" i="3"/>
  <c r="C228" i="3"/>
  <c r="C119" i="3"/>
  <c r="C236" i="3"/>
  <c r="C174" i="3"/>
  <c r="C251" i="3"/>
  <c r="C63" i="3"/>
  <c r="C159" i="3"/>
  <c r="C240" i="3"/>
  <c r="C136" i="3"/>
  <c r="C204" i="3"/>
  <c r="C220" i="3"/>
  <c r="C97" i="3"/>
  <c r="C186" i="3"/>
  <c r="C17" i="3"/>
  <c r="C248" i="3"/>
  <c r="C73" i="3"/>
  <c r="C106" i="3"/>
  <c r="C208" i="3"/>
  <c r="C232" i="3"/>
  <c r="C244" i="3"/>
  <c r="C30" i="3"/>
  <c r="C156" i="3"/>
  <c r="C216" i="3"/>
  <c r="C246" i="3"/>
  <c r="F7" i="3"/>
  <c r="F15" i="3"/>
  <c r="F23" i="3"/>
  <c r="F31" i="3"/>
  <c r="F39" i="3"/>
  <c r="F47" i="3"/>
  <c r="F55" i="3"/>
  <c r="F63" i="3"/>
  <c r="F71" i="3"/>
  <c r="F79" i="3"/>
  <c r="F87" i="3"/>
  <c r="F95" i="3"/>
  <c r="F17" i="3"/>
  <c r="F28" i="3"/>
  <c r="F56" i="3"/>
  <c r="F67" i="3"/>
  <c r="F78" i="3"/>
  <c r="F11" i="3"/>
  <c r="F22" i="3"/>
  <c r="F50" i="3"/>
  <c r="F61" i="3"/>
  <c r="F89" i="3"/>
  <c r="F100" i="3"/>
  <c r="F33" i="3"/>
  <c r="F44" i="3"/>
  <c r="F101" i="3"/>
  <c r="F105" i="3"/>
  <c r="F111" i="3"/>
  <c r="F119" i="3"/>
  <c r="F127" i="3"/>
  <c r="F135" i="3"/>
  <c r="F65" i="3"/>
  <c r="F72" i="3"/>
  <c r="F90" i="3"/>
  <c r="F97" i="3"/>
  <c r="F10" i="3"/>
  <c r="F16" i="3"/>
  <c r="F37" i="3"/>
  <c r="F43" i="3"/>
  <c r="F49" i="3"/>
  <c r="F86" i="3"/>
  <c r="F93" i="3"/>
  <c r="F110" i="3"/>
  <c r="F118" i="3"/>
  <c r="F13" i="3"/>
  <c r="F42" i="3"/>
  <c r="F53" i="3"/>
  <c r="F62" i="3"/>
  <c r="F81" i="3"/>
  <c r="F112" i="3"/>
  <c r="F128" i="3"/>
  <c r="F140" i="3"/>
  <c r="F148" i="3"/>
  <c r="F156" i="3"/>
  <c r="F164" i="3"/>
  <c r="F172" i="3"/>
  <c r="F180" i="3"/>
  <c r="F188" i="3"/>
  <c r="F6" i="3"/>
  <c r="F12" i="3"/>
  <c r="F14" i="3"/>
  <c r="F18" i="3"/>
  <c r="F29" i="3"/>
  <c r="F64" i="3"/>
  <c r="F69" i="3"/>
  <c r="F88" i="3"/>
  <c r="F108" i="3"/>
  <c r="F115" i="3"/>
  <c r="F122" i="3"/>
  <c r="F133" i="3"/>
  <c r="F8" i="3"/>
  <c r="F20" i="3"/>
  <c r="F46" i="3"/>
  <c r="F76" i="3"/>
  <c r="F139" i="3"/>
  <c r="F147" i="3"/>
  <c r="F155" i="3"/>
  <c r="F57" i="3"/>
  <c r="F83" i="3"/>
  <c r="F25" i="3"/>
  <c r="F30" i="3"/>
  <c r="F80" i="3"/>
  <c r="F96" i="3"/>
  <c r="F109" i="3"/>
  <c r="F132" i="3"/>
  <c r="F158" i="3"/>
  <c r="F169" i="3"/>
  <c r="F35" i="3"/>
  <c r="F85" i="3"/>
  <c r="F94" i="3"/>
  <c r="F163" i="3"/>
  <c r="F192" i="3"/>
  <c r="F200" i="3"/>
  <c r="F208" i="3"/>
  <c r="F216" i="3"/>
  <c r="F224" i="3"/>
  <c r="F232" i="3"/>
  <c r="F240" i="3"/>
  <c r="F248" i="3"/>
  <c r="F92" i="3"/>
  <c r="F137" i="3"/>
  <c r="F174" i="3"/>
  <c r="F185" i="3"/>
  <c r="F40" i="3"/>
  <c r="F45" i="3"/>
  <c r="F60" i="3"/>
  <c r="F99" i="3"/>
  <c r="F103" i="3"/>
  <c r="F113" i="3"/>
  <c r="F117" i="3"/>
  <c r="F124" i="3"/>
  <c r="F143" i="3"/>
  <c r="F150" i="3"/>
  <c r="F157" i="3"/>
  <c r="F168" i="3"/>
  <c r="F179" i="3"/>
  <c r="F191" i="3"/>
  <c r="F199" i="3"/>
  <c r="F207" i="3"/>
  <c r="F215" i="3"/>
  <c r="F223" i="3"/>
  <c r="F231" i="3"/>
  <c r="F239" i="3"/>
  <c r="F247" i="3"/>
  <c r="F19" i="3"/>
  <c r="F104" i="3"/>
  <c r="F187" i="3"/>
  <c r="F250" i="3"/>
  <c r="F254" i="3"/>
  <c r="F36" i="3"/>
  <c r="F149" i="3"/>
  <c r="F145" i="3"/>
  <c r="F166" i="3"/>
  <c r="F184" i="3"/>
  <c r="F198" i="3"/>
  <c r="F204" i="3"/>
  <c r="F210" i="3"/>
  <c r="F230" i="3"/>
  <c r="F236" i="3"/>
  <c r="F9" i="3"/>
  <c r="F59" i="3"/>
  <c r="F26" i="3"/>
  <c r="F32" i="3"/>
  <c r="F52" i="3"/>
  <c r="F68" i="3"/>
  <c r="F77" i="3"/>
  <c r="F141" i="3"/>
  <c r="F171" i="3"/>
  <c r="F153" i="3"/>
  <c r="F74" i="3"/>
  <c r="F98" i="3"/>
  <c r="F107" i="3"/>
  <c r="F131" i="3"/>
  <c r="F189" i="3"/>
  <c r="F195" i="3"/>
  <c r="F201" i="3"/>
  <c r="F221" i="3"/>
  <c r="F227" i="3"/>
  <c r="F233" i="3"/>
  <c r="F242" i="3"/>
  <c r="F129" i="3"/>
  <c r="F173" i="3"/>
  <c r="F51" i="3"/>
  <c r="F73" i="3"/>
  <c r="F154" i="3"/>
  <c r="F161" i="3"/>
  <c r="F24" i="3"/>
  <c r="F246" i="3"/>
  <c r="F229" i="3"/>
  <c r="F237" i="3"/>
  <c r="F126" i="3"/>
  <c r="F182" i="3"/>
  <c r="F41" i="3"/>
  <c r="F116" i="3"/>
  <c r="F121" i="3"/>
  <c r="F125" i="3"/>
  <c r="F160" i="3"/>
  <c r="F165" i="3"/>
  <c r="F151" i="3"/>
  <c r="F235" i="3"/>
  <c r="F241" i="3"/>
  <c r="F245" i="3"/>
  <c r="F252" i="3"/>
  <c r="F134" i="3"/>
  <c r="F196" i="3"/>
  <c r="F48" i="3"/>
  <c r="F70" i="3"/>
  <c r="F91" i="3"/>
  <c r="F66" i="3"/>
  <c r="F175" i="3"/>
  <c r="F21" i="3"/>
  <c r="F138" i="3"/>
  <c r="F243" i="3"/>
  <c r="F54" i="3"/>
  <c r="F170" i="3"/>
  <c r="F177" i="3"/>
  <c r="F193" i="3"/>
  <c r="F202" i="3"/>
  <c r="F144" i="3"/>
  <c r="F178" i="3"/>
  <c r="F82" i="3"/>
  <c r="F38" i="3"/>
  <c r="F34" i="3"/>
  <c r="F205" i="3"/>
  <c r="F209" i="3"/>
  <c r="F213" i="3"/>
  <c r="F217" i="3"/>
  <c r="F225" i="3"/>
  <c r="F27" i="3"/>
  <c r="F120" i="3"/>
  <c r="F130" i="3"/>
  <c r="F249" i="3"/>
  <c r="F123" i="3"/>
  <c r="F162" i="3"/>
  <c r="F197" i="3"/>
  <c r="F102" i="3"/>
  <c r="F75" i="3"/>
  <c r="F238" i="3"/>
  <c r="F167" i="3"/>
  <c r="F183" i="3"/>
  <c r="F194" i="3"/>
  <c r="F203" i="3"/>
  <c r="F211" i="3"/>
  <c r="F219" i="3"/>
  <c r="F159" i="3"/>
  <c r="F226" i="3"/>
  <c r="F220" i="3"/>
  <c r="F214" i="3"/>
  <c r="F222" i="3"/>
  <c r="F186" i="3"/>
  <c r="F114" i="3"/>
  <c r="F146" i="3"/>
  <c r="F84" i="3"/>
  <c r="F253" i="3"/>
  <c r="F190" i="3"/>
  <c r="F212" i="3"/>
  <c r="F234" i="3"/>
  <c r="F206" i="3"/>
  <c r="F136" i="3"/>
  <c r="F181" i="3"/>
  <c r="F152" i="3"/>
  <c r="F142" i="3"/>
  <c r="F106" i="3"/>
  <c r="F244" i="3"/>
  <c r="F251" i="3"/>
  <c r="F228" i="3"/>
  <c r="F176" i="3"/>
  <c r="F58" i="3"/>
  <c r="F218" i="3"/>
  <c r="P12" i="3"/>
  <c r="P20" i="3"/>
  <c r="P28" i="3"/>
  <c r="P36" i="3"/>
  <c r="P44" i="3"/>
  <c r="P52" i="3"/>
  <c r="P60" i="3"/>
  <c r="P68" i="3"/>
  <c r="P76" i="3"/>
  <c r="P84" i="3"/>
  <c r="P92" i="3"/>
  <c r="P9" i="3"/>
  <c r="P37" i="3"/>
  <c r="P48" i="3"/>
  <c r="P59" i="3"/>
  <c r="P87" i="3"/>
  <c r="P98" i="3"/>
  <c r="P31" i="3"/>
  <c r="P42" i="3"/>
  <c r="P70" i="3"/>
  <c r="P81" i="3"/>
  <c r="P105" i="3"/>
  <c r="P14" i="3"/>
  <c r="P25" i="3"/>
  <c r="P53" i="3"/>
  <c r="P6" i="3"/>
  <c r="P27" i="3"/>
  <c r="P33" i="3"/>
  <c r="P39" i="3"/>
  <c r="P45" i="3"/>
  <c r="P67" i="3"/>
  <c r="P74" i="3"/>
  <c r="P99" i="3"/>
  <c r="P103" i="3"/>
  <c r="P108" i="3"/>
  <c r="P116" i="3"/>
  <c r="P124" i="3"/>
  <c r="P132" i="3"/>
  <c r="P15" i="3"/>
  <c r="P21" i="3"/>
  <c r="P54" i="3"/>
  <c r="P63" i="3"/>
  <c r="P88" i="3"/>
  <c r="P95" i="3"/>
  <c r="P115" i="3"/>
  <c r="P32" i="3"/>
  <c r="P43" i="3"/>
  <c r="P47" i="3"/>
  <c r="P58" i="3"/>
  <c r="P94" i="3"/>
  <c r="P104" i="3"/>
  <c r="P131" i="3"/>
  <c r="P137" i="3"/>
  <c r="P145" i="3"/>
  <c r="P153" i="3"/>
  <c r="P161" i="3"/>
  <c r="P169" i="3"/>
  <c r="P177" i="3"/>
  <c r="P185" i="3"/>
  <c r="P23" i="3"/>
  <c r="P34" i="3"/>
  <c r="P77" i="3"/>
  <c r="P82" i="3"/>
  <c r="P110" i="3"/>
  <c r="P117" i="3"/>
  <c r="P65" i="3"/>
  <c r="P89" i="3"/>
  <c r="P91" i="3"/>
  <c r="P101" i="3"/>
  <c r="P113" i="3"/>
  <c r="P120" i="3"/>
  <c r="P125" i="3"/>
  <c r="P136" i="3"/>
  <c r="P144" i="3"/>
  <c r="P152" i="3"/>
  <c r="P72" i="3"/>
  <c r="P96" i="3"/>
  <c r="P130" i="3"/>
  <c r="P49" i="3"/>
  <c r="P93" i="3"/>
  <c r="P139" i="3"/>
  <c r="P178" i="3"/>
  <c r="P17" i="3"/>
  <c r="P61" i="3"/>
  <c r="P100" i="3"/>
  <c r="P114" i="3"/>
  <c r="P128" i="3"/>
  <c r="P172" i="3"/>
  <c r="P183" i="3"/>
  <c r="P189" i="3"/>
  <c r="P197" i="3"/>
  <c r="P205" i="3"/>
  <c r="P213" i="3"/>
  <c r="P221" i="3"/>
  <c r="P229" i="3"/>
  <c r="P237" i="3"/>
  <c r="P245" i="3"/>
  <c r="P253" i="3"/>
  <c r="P22" i="3"/>
  <c r="P66" i="3"/>
  <c r="P75" i="3"/>
  <c r="P166" i="3"/>
  <c r="P73" i="3"/>
  <c r="P133" i="3"/>
  <c r="P160" i="3"/>
  <c r="P188" i="3"/>
  <c r="P196" i="3"/>
  <c r="P204" i="3"/>
  <c r="P212" i="3"/>
  <c r="P220" i="3"/>
  <c r="P228" i="3"/>
  <c r="P236" i="3"/>
  <c r="P244" i="3"/>
  <c r="P8" i="3"/>
  <c r="P35" i="3"/>
  <c r="P38" i="3"/>
  <c r="P41" i="3"/>
  <c r="P64" i="3"/>
  <c r="P79" i="3"/>
  <c r="P106" i="3"/>
  <c r="P111" i="3"/>
  <c r="P134" i="3"/>
  <c r="P148" i="3"/>
  <c r="P157" i="3"/>
  <c r="P175" i="3"/>
  <c r="P248" i="3"/>
  <c r="P252" i="3"/>
  <c r="P55" i="3"/>
  <c r="P11" i="3"/>
  <c r="P51" i="3"/>
  <c r="P85" i="3"/>
  <c r="P121" i="3"/>
  <c r="P191" i="3"/>
  <c r="P211" i="3"/>
  <c r="P217" i="3"/>
  <c r="P223" i="3"/>
  <c r="P141" i="3"/>
  <c r="P109" i="3"/>
  <c r="P146" i="3"/>
  <c r="P150" i="3"/>
  <c r="P159" i="3"/>
  <c r="P162" i="3"/>
  <c r="P180" i="3"/>
  <c r="P80" i="3"/>
  <c r="P119" i="3"/>
  <c r="P167" i="3"/>
  <c r="P202" i="3"/>
  <c r="P208" i="3"/>
  <c r="P214" i="3"/>
  <c r="P234" i="3"/>
  <c r="P29" i="3"/>
  <c r="P62" i="3"/>
  <c r="P83" i="3"/>
  <c r="P86" i="3"/>
  <c r="P135" i="3"/>
  <c r="P154" i="3"/>
  <c r="P193" i="3"/>
  <c r="P199" i="3"/>
  <c r="P18" i="3"/>
  <c r="P24" i="3"/>
  <c r="P97" i="3"/>
  <c r="P123" i="3"/>
  <c r="P142" i="3"/>
  <c r="P107" i="3"/>
  <c r="P143" i="3"/>
  <c r="P149" i="3"/>
  <c r="P156" i="3"/>
  <c r="P190" i="3"/>
  <c r="P19" i="3"/>
  <c r="P210" i="3"/>
  <c r="P218" i="3"/>
  <c r="P140" i="3"/>
  <c r="P165" i="3"/>
  <c r="P240" i="3"/>
  <c r="P249" i="3"/>
  <c r="P251" i="3"/>
  <c r="P224" i="3"/>
  <c r="P238" i="3"/>
  <c r="P13" i="3"/>
  <c r="P7" i="3"/>
  <c r="P174" i="3"/>
  <c r="P181" i="3"/>
  <c r="P30" i="3"/>
  <c r="P216" i="3"/>
  <c r="P226" i="3"/>
  <c r="P232" i="3"/>
  <c r="P246" i="3"/>
  <c r="P151" i="3"/>
  <c r="P182" i="3"/>
  <c r="P184" i="3"/>
  <c r="P102" i="3"/>
  <c r="P112" i="3"/>
  <c r="P195" i="3"/>
  <c r="P242" i="3"/>
  <c r="P222" i="3"/>
  <c r="P230" i="3"/>
  <c r="P122" i="3"/>
  <c r="P26" i="3"/>
  <c r="P71" i="3"/>
  <c r="P129" i="3"/>
  <c r="P147" i="3"/>
  <c r="P179" i="3"/>
  <c r="P186" i="3"/>
  <c r="P46" i="3"/>
  <c r="P241" i="3"/>
  <c r="P171" i="3"/>
  <c r="P176" i="3"/>
  <c r="P187" i="3"/>
  <c r="P10" i="3"/>
  <c r="P50" i="3"/>
  <c r="P200" i="3"/>
  <c r="P225" i="3"/>
  <c r="P233" i="3"/>
  <c r="P138" i="3"/>
  <c r="P40" i="3"/>
  <c r="P78" i="3"/>
  <c r="P90" i="3"/>
  <c r="P168" i="3"/>
  <c r="P192" i="3"/>
  <c r="P201" i="3"/>
  <c r="P163" i="3"/>
  <c r="P206" i="3"/>
  <c r="P170" i="3"/>
  <c r="P203" i="3"/>
  <c r="P219" i="3"/>
  <c r="P198" i="3"/>
  <c r="P235" i="3"/>
  <c r="P173" i="3"/>
  <c r="P243" i="3"/>
  <c r="P155" i="3"/>
  <c r="P56" i="3"/>
  <c r="P57" i="3"/>
  <c r="P127" i="3"/>
  <c r="P239" i="3"/>
  <c r="P194" i="3"/>
  <c r="P16" i="3"/>
  <c r="P254" i="3"/>
  <c r="P126" i="3"/>
  <c r="P215" i="3"/>
  <c r="P231" i="3"/>
  <c r="P69" i="3"/>
  <c r="P227" i="3"/>
  <c r="P247" i="3"/>
  <c r="P118" i="3"/>
  <c r="P250" i="3"/>
  <c r="P164" i="3"/>
  <c r="P207" i="3"/>
  <c r="P158" i="3"/>
  <c r="P209" i="3"/>
  <c r="N11" i="3"/>
  <c r="N19" i="3"/>
  <c r="N27" i="3"/>
  <c r="N35" i="3"/>
  <c r="N43" i="3"/>
  <c r="N51" i="3"/>
  <c r="N59" i="3"/>
  <c r="N67" i="3"/>
  <c r="N75" i="3"/>
  <c r="N83" i="3"/>
  <c r="N91" i="3"/>
  <c r="N99" i="3"/>
  <c r="N14" i="3"/>
  <c r="N25" i="3"/>
  <c r="N53" i="3"/>
  <c r="N64" i="3"/>
  <c r="N92" i="3"/>
  <c r="N8" i="3"/>
  <c r="N36" i="3"/>
  <c r="N47" i="3"/>
  <c r="N58" i="3"/>
  <c r="N86" i="3"/>
  <c r="N97" i="3"/>
  <c r="N104" i="3"/>
  <c r="N30" i="3"/>
  <c r="N41" i="3"/>
  <c r="N63" i="3"/>
  <c r="N81" i="3"/>
  <c r="N88" i="3"/>
  <c r="N95" i="3"/>
  <c r="N115" i="3"/>
  <c r="N123" i="3"/>
  <c r="N131" i="3"/>
  <c r="N107" i="3"/>
  <c r="N70" i="3"/>
  <c r="N77" i="3"/>
  <c r="N84" i="3"/>
  <c r="N102" i="3"/>
  <c r="N114" i="3"/>
  <c r="N17" i="3"/>
  <c r="N45" i="3"/>
  <c r="N65" i="3"/>
  <c r="N89" i="3"/>
  <c r="N101" i="3"/>
  <c r="N113" i="3"/>
  <c r="N120" i="3"/>
  <c r="N125" i="3"/>
  <c r="N136" i="3"/>
  <c r="N144" i="3"/>
  <c r="N152" i="3"/>
  <c r="N160" i="3"/>
  <c r="N168" i="3"/>
  <c r="N176" i="3"/>
  <c r="N184" i="3"/>
  <c r="N21" i="3"/>
  <c r="N72" i="3"/>
  <c r="N96" i="3"/>
  <c r="N130" i="3"/>
  <c r="N38" i="3"/>
  <c r="N49" i="3"/>
  <c r="N79" i="3"/>
  <c r="N106" i="3"/>
  <c r="N143" i="3"/>
  <c r="N151" i="3"/>
  <c r="N29" i="3"/>
  <c r="N40" i="3"/>
  <c r="N60" i="3"/>
  <c r="N62" i="3"/>
  <c r="N98" i="3"/>
  <c r="N124" i="3"/>
  <c r="N135" i="3"/>
  <c r="N22" i="3"/>
  <c r="N39" i="3"/>
  <c r="N66" i="3"/>
  <c r="N68" i="3"/>
  <c r="N116" i="3"/>
  <c r="N166" i="3"/>
  <c r="N73" i="3"/>
  <c r="N133" i="3"/>
  <c r="N145" i="3"/>
  <c r="N177" i="3"/>
  <c r="N188" i="3"/>
  <c r="N196" i="3"/>
  <c r="N204" i="3"/>
  <c r="N212" i="3"/>
  <c r="N220" i="3"/>
  <c r="N228" i="3"/>
  <c r="N236" i="3"/>
  <c r="N244" i="3"/>
  <c r="N252" i="3"/>
  <c r="N12" i="3"/>
  <c r="N32" i="3"/>
  <c r="N80" i="3"/>
  <c r="N118" i="3"/>
  <c r="N141" i="3"/>
  <c r="N148" i="3"/>
  <c r="N155" i="3"/>
  <c r="N171" i="3"/>
  <c r="N182" i="3"/>
  <c r="N9" i="3"/>
  <c r="N20" i="3"/>
  <c r="N37" i="3"/>
  <c r="N42" i="3"/>
  <c r="N52" i="3"/>
  <c r="N54" i="3"/>
  <c r="N57" i="3"/>
  <c r="N82" i="3"/>
  <c r="N165" i="3"/>
  <c r="N195" i="3"/>
  <c r="N203" i="3"/>
  <c r="N211" i="3"/>
  <c r="N219" i="3"/>
  <c r="N227" i="3"/>
  <c r="N235" i="3"/>
  <c r="N243" i="3"/>
  <c r="N28" i="3"/>
  <c r="N109" i="3"/>
  <c r="N132" i="3"/>
  <c r="N146" i="3"/>
  <c r="N150" i="3"/>
  <c r="N159" i="3"/>
  <c r="N162" i="3"/>
  <c r="N180" i="3"/>
  <c r="N74" i="3"/>
  <c r="N119" i="3"/>
  <c r="N167" i="3"/>
  <c r="N202" i="3"/>
  <c r="N208" i="3"/>
  <c r="N214" i="3"/>
  <c r="N234" i="3"/>
  <c r="N122" i="3"/>
  <c r="N55" i="3"/>
  <c r="N164" i="3"/>
  <c r="N185" i="3"/>
  <c r="N240" i="3"/>
  <c r="N247" i="3"/>
  <c r="N251" i="3"/>
  <c r="N15" i="3"/>
  <c r="N48" i="3"/>
  <c r="N61" i="3"/>
  <c r="N128" i="3"/>
  <c r="N154" i="3"/>
  <c r="N172" i="3"/>
  <c r="N193" i="3"/>
  <c r="N199" i="3"/>
  <c r="N205" i="3"/>
  <c r="N225" i="3"/>
  <c r="N231" i="3"/>
  <c r="N237" i="3"/>
  <c r="N16" i="3"/>
  <c r="N71" i="3"/>
  <c r="N112" i="3"/>
  <c r="N126" i="3"/>
  <c r="N156" i="3"/>
  <c r="N174" i="3"/>
  <c r="N190" i="3"/>
  <c r="N31" i="3"/>
  <c r="N34" i="3"/>
  <c r="N76" i="3"/>
  <c r="N85" i="3"/>
  <c r="N100" i="3"/>
  <c r="N121" i="3"/>
  <c r="N181" i="3"/>
  <c r="N87" i="3"/>
  <c r="N140" i="3"/>
  <c r="N246" i="3"/>
  <c r="N93" i="3"/>
  <c r="N248" i="3"/>
  <c r="N50" i="3"/>
  <c r="N163" i="3"/>
  <c r="N111" i="3"/>
  <c r="N183" i="3"/>
  <c r="N242" i="3"/>
  <c r="N6" i="3"/>
  <c r="N18" i="3"/>
  <c r="N210" i="3"/>
  <c r="N216" i="3"/>
  <c r="N218" i="3"/>
  <c r="N222" i="3"/>
  <c r="N224" i="3"/>
  <c r="N226" i="3"/>
  <c r="N230" i="3"/>
  <c r="N232" i="3"/>
  <c r="N238" i="3"/>
  <c r="N13" i="3"/>
  <c r="N7" i="3"/>
  <c r="N206" i="3"/>
  <c r="N108" i="3"/>
  <c r="N157" i="3"/>
  <c r="N250" i="3"/>
  <c r="N129" i="3"/>
  <c r="N147" i="3"/>
  <c r="N153" i="3"/>
  <c r="N179" i="3"/>
  <c r="N186" i="3"/>
  <c r="N24" i="3"/>
  <c r="N197" i="3"/>
  <c r="N26" i="3"/>
  <c r="N103" i="3"/>
  <c r="N117" i="3"/>
  <c r="N137" i="3"/>
  <c r="N253" i="3"/>
  <c r="N170" i="3"/>
  <c r="N187" i="3"/>
  <c r="N191" i="3"/>
  <c r="N200" i="3"/>
  <c r="N233" i="3"/>
  <c r="N23" i="3"/>
  <c r="N209" i="3"/>
  <c r="N217" i="3"/>
  <c r="N138" i="3"/>
  <c r="N139" i="3"/>
  <c r="N213" i="3"/>
  <c r="N229" i="3"/>
  <c r="N78" i="3"/>
  <c r="N241" i="3"/>
  <c r="N10" i="3"/>
  <c r="N110" i="3"/>
  <c r="N161" i="3"/>
  <c r="N221" i="3"/>
  <c r="N90" i="3"/>
  <c r="N173" i="3"/>
  <c r="N249" i="3"/>
  <c r="N105" i="3"/>
  <c r="N239" i="3"/>
  <c r="N69" i="3"/>
  <c r="N134" i="3"/>
  <c r="N189" i="3"/>
  <c r="N46" i="3"/>
  <c r="N201" i="3"/>
  <c r="N215" i="3"/>
  <c r="N169" i="3"/>
  <c r="N178" i="3"/>
  <c r="N94" i="3"/>
  <c r="N149" i="3"/>
  <c r="N56" i="3"/>
  <c r="N142" i="3"/>
  <c r="N33" i="3"/>
  <c r="N127" i="3"/>
  <c r="N223" i="3"/>
  <c r="N44" i="3"/>
  <c r="N198" i="3"/>
  <c r="N254" i="3"/>
  <c r="N192" i="3"/>
  <c r="N158" i="3"/>
  <c r="N175" i="3"/>
  <c r="N207" i="3"/>
  <c r="N194" i="3"/>
  <c r="N245" i="3"/>
  <c r="J9" i="3"/>
  <c r="J17" i="3"/>
  <c r="J25" i="3"/>
  <c r="J33" i="3"/>
  <c r="J41" i="3"/>
  <c r="J49" i="3"/>
  <c r="J57" i="3"/>
  <c r="J65" i="3"/>
  <c r="J73" i="3"/>
  <c r="J81" i="3"/>
  <c r="J89" i="3"/>
  <c r="J97" i="3"/>
  <c r="J7" i="3"/>
  <c r="J35" i="3"/>
  <c r="J46" i="3"/>
  <c r="J74" i="3"/>
  <c r="J85" i="3"/>
  <c r="J96" i="3"/>
  <c r="J18" i="3"/>
  <c r="J29" i="3"/>
  <c r="J40" i="3"/>
  <c r="J68" i="3"/>
  <c r="J79" i="3"/>
  <c r="J102" i="3"/>
  <c r="J12" i="3"/>
  <c r="J23" i="3"/>
  <c r="J51" i="3"/>
  <c r="J11" i="3"/>
  <c r="J32" i="3"/>
  <c r="J38" i="3"/>
  <c r="J44" i="3"/>
  <c r="J50" i="3"/>
  <c r="J66" i="3"/>
  <c r="J91" i="3"/>
  <c r="J98" i="3"/>
  <c r="J106" i="3"/>
  <c r="J113" i="3"/>
  <c r="J121" i="3"/>
  <c r="J129" i="3"/>
  <c r="J8" i="3"/>
  <c r="J14" i="3"/>
  <c r="J20" i="3"/>
  <c r="J26" i="3"/>
  <c r="J47" i="3"/>
  <c r="J53" i="3"/>
  <c r="J59" i="3"/>
  <c r="J62" i="3"/>
  <c r="J80" i="3"/>
  <c r="J87" i="3"/>
  <c r="J94" i="3"/>
  <c r="J101" i="3"/>
  <c r="J112" i="3"/>
  <c r="J120" i="3"/>
  <c r="J36" i="3"/>
  <c r="J67" i="3"/>
  <c r="J109" i="3"/>
  <c r="J116" i="3"/>
  <c r="J142" i="3"/>
  <c r="J150" i="3"/>
  <c r="J158" i="3"/>
  <c r="J166" i="3"/>
  <c r="J174" i="3"/>
  <c r="J182" i="3"/>
  <c r="J16" i="3"/>
  <c r="J27" i="3"/>
  <c r="J86" i="3"/>
  <c r="J119" i="3"/>
  <c r="J6" i="3"/>
  <c r="J10" i="3"/>
  <c r="J55" i="3"/>
  <c r="J69" i="3"/>
  <c r="J93" i="3"/>
  <c r="J123" i="3"/>
  <c r="J134" i="3"/>
  <c r="J141" i="3"/>
  <c r="J149" i="3"/>
  <c r="J31" i="3"/>
  <c r="J76" i="3"/>
  <c r="J100" i="3"/>
  <c r="J103" i="3"/>
  <c r="J128" i="3"/>
  <c r="J42" i="3"/>
  <c r="J64" i="3"/>
  <c r="J82" i="3"/>
  <c r="J125" i="3"/>
  <c r="J138" i="3"/>
  <c r="J176" i="3"/>
  <c r="J187" i="3"/>
  <c r="J71" i="3"/>
  <c r="J105" i="3"/>
  <c r="J122" i="3"/>
  <c r="J159" i="3"/>
  <c r="J170" i="3"/>
  <c r="J181" i="3"/>
  <c r="J194" i="3"/>
  <c r="J202" i="3"/>
  <c r="J210" i="3"/>
  <c r="J218" i="3"/>
  <c r="J226" i="3"/>
  <c r="J234" i="3"/>
  <c r="J242" i="3"/>
  <c r="J250" i="3"/>
  <c r="J52" i="3"/>
  <c r="J78" i="3"/>
  <c r="J111" i="3"/>
  <c r="J127" i="3"/>
  <c r="J130" i="3"/>
  <c r="J144" i="3"/>
  <c r="J151" i="3"/>
  <c r="J164" i="3"/>
  <c r="J15" i="3"/>
  <c r="J107" i="3"/>
  <c r="J135" i="3"/>
  <c r="J147" i="3"/>
  <c r="J154" i="3"/>
  <c r="J175" i="3"/>
  <c r="J186" i="3"/>
  <c r="J193" i="3"/>
  <c r="J201" i="3"/>
  <c r="J209" i="3"/>
  <c r="J217" i="3"/>
  <c r="J225" i="3"/>
  <c r="J233" i="3"/>
  <c r="J241" i="3"/>
  <c r="J22" i="3"/>
  <c r="J45" i="3"/>
  <c r="J83" i="3"/>
  <c r="J169" i="3"/>
  <c r="J251" i="3"/>
  <c r="J70" i="3"/>
  <c r="J95" i="3"/>
  <c r="J126" i="3"/>
  <c r="J152" i="3"/>
  <c r="J156" i="3"/>
  <c r="J177" i="3"/>
  <c r="J190" i="3"/>
  <c r="J196" i="3"/>
  <c r="J216" i="3"/>
  <c r="J222" i="3"/>
  <c r="J228" i="3"/>
  <c r="J19" i="3"/>
  <c r="J39" i="3"/>
  <c r="J104" i="3"/>
  <c r="J58" i="3"/>
  <c r="J92" i="3"/>
  <c r="J114" i="3"/>
  <c r="J137" i="3"/>
  <c r="J139" i="3"/>
  <c r="J243" i="3"/>
  <c r="J117" i="3"/>
  <c r="J124" i="3"/>
  <c r="J143" i="3"/>
  <c r="J161" i="3"/>
  <c r="J179" i="3"/>
  <c r="J207" i="3"/>
  <c r="J213" i="3"/>
  <c r="J219" i="3"/>
  <c r="J239" i="3"/>
  <c r="J246" i="3"/>
  <c r="J90" i="3"/>
  <c r="J115" i="3"/>
  <c r="J133" i="3"/>
  <c r="J145" i="3"/>
  <c r="J163" i="3"/>
  <c r="J184" i="3"/>
  <c r="J192" i="3"/>
  <c r="J198" i="3"/>
  <c r="J48" i="3"/>
  <c r="J54" i="3"/>
  <c r="J61" i="3"/>
  <c r="J132" i="3"/>
  <c r="J140" i="3"/>
  <c r="J188" i="3"/>
  <c r="J197" i="3"/>
  <c r="J191" i="3"/>
  <c r="J77" i="3"/>
  <c r="J173" i="3"/>
  <c r="J30" i="3"/>
  <c r="J162" i="3"/>
  <c r="J195" i="3"/>
  <c r="J253" i="3"/>
  <c r="J200" i="3"/>
  <c r="J168" i="3"/>
  <c r="J88" i="3"/>
  <c r="J118" i="3"/>
  <c r="J75" i="3"/>
  <c r="J136" i="3"/>
  <c r="J167" i="3"/>
  <c r="J204" i="3"/>
  <c r="J206" i="3"/>
  <c r="J208" i="3"/>
  <c r="J212" i="3"/>
  <c r="J214" i="3"/>
  <c r="J220" i="3"/>
  <c r="J244" i="3"/>
  <c r="J43" i="3"/>
  <c r="J37" i="3"/>
  <c r="J99" i="3"/>
  <c r="J13" i="3"/>
  <c r="J24" i="3"/>
  <c r="J108" i="3"/>
  <c r="J157" i="3"/>
  <c r="J248" i="3"/>
  <c r="J165" i="3"/>
  <c r="J172" i="3"/>
  <c r="J72" i="3"/>
  <c r="J60" i="3"/>
  <c r="J160" i="3"/>
  <c r="J189" i="3"/>
  <c r="J21" i="3"/>
  <c r="J221" i="3"/>
  <c r="J229" i="3"/>
  <c r="J237" i="3"/>
  <c r="J34" i="3"/>
  <c r="J153" i="3"/>
  <c r="J245" i="3"/>
  <c r="J252" i="3"/>
  <c r="J131" i="3"/>
  <c r="J146" i="3"/>
  <c r="J155" i="3"/>
  <c r="J249" i="3"/>
  <c r="J205" i="3"/>
  <c r="J63" i="3"/>
  <c r="J183" i="3"/>
  <c r="J28" i="3"/>
  <c r="J56" i="3"/>
  <c r="J215" i="3"/>
  <c r="J223" i="3"/>
  <c r="J227" i="3"/>
  <c r="J231" i="3"/>
  <c r="J235" i="3"/>
  <c r="J211" i="3"/>
  <c r="J247" i="3"/>
  <c r="J254" i="3"/>
  <c r="J185" i="3"/>
  <c r="J238" i="3"/>
  <c r="J84" i="3"/>
  <c r="J110" i="3"/>
  <c r="J224" i="3"/>
  <c r="J148" i="3"/>
  <c r="J180" i="3"/>
  <c r="J203" i="3"/>
  <c r="J171" i="3"/>
  <c r="J240" i="3"/>
  <c r="J199" i="3"/>
  <c r="J236" i="3"/>
  <c r="J230" i="3"/>
  <c r="J178" i="3"/>
  <c r="J232" i="3"/>
  <c r="H8" i="3"/>
  <c r="H16" i="3"/>
  <c r="H24" i="3"/>
  <c r="H32" i="3"/>
  <c r="H40" i="3"/>
  <c r="H48" i="3"/>
  <c r="H56" i="3"/>
  <c r="H64" i="3"/>
  <c r="H72" i="3"/>
  <c r="H80" i="3"/>
  <c r="H88" i="3"/>
  <c r="H96" i="3"/>
  <c r="H12" i="3"/>
  <c r="H23" i="3"/>
  <c r="H51" i="3"/>
  <c r="H62" i="3"/>
  <c r="H90" i="3"/>
  <c r="H6" i="3"/>
  <c r="H34" i="3"/>
  <c r="H45" i="3"/>
  <c r="H73" i="3"/>
  <c r="H84" i="3"/>
  <c r="H95" i="3"/>
  <c r="H101" i="3"/>
  <c r="H17" i="3"/>
  <c r="H28" i="3"/>
  <c r="H39" i="3"/>
  <c r="H29" i="3"/>
  <c r="H35" i="3"/>
  <c r="H41" i="3"/>
  <c r="H112" i="3"/>
  <c r="H120" i="3"/>
  <c r="H128" i="3"/>
  <c r="H136" i="3"/>
  <c r="H69" i="3"/>
  <c r="H76" i="3"/>
  <c r="H83" i="3"/>
  <c r="H105" i="3"/>
  <c r="H111" i="3"/>
  <c r="H119" i="3"/>
  <c r="H10" i="3"/>
  <c r="H55" i="3"/>
  <c r="H91" i="3"/>
  <c r="H93" i="3"/>
  <c r="H123" i="3"/>
  <c r="H134" i="3"/>
  <c r="H141" i="3"/>
  <c r="H149" i="3"/>
  <c r="H157" i="3"/>
  <c r="H165" i="3"/>
  <c r="H173" i="3"/>
  <c r="H181" i="3"/>
  <c r="H31" i="3"/>
  <c r="H74" i="3"/>
  <c r="H98" i="3"/>
  <c r="H100" i="3"/>
  <c r="H103" i="3"/>
  <c r="H22" i="3"/>
  <c r="H42" i="3"/>
  <c r="H53" i="3"/>
  <c r="H81" i="3"/>
  <c r="H140" i="3"/>
  <c r="H148" i="3"/>
  <c r="H156" i="3"/>
  <c r="H14" i="3"/>
  <c r="H18" i="3"/>
  <c r="H33" i="3"/>
  <c r="H44" i="3"/>
  <c r="H71" i="3"/>
  <c r="H108" i="3"/>
  <c r="H115" i="3"/>
  <c r="H122" i="3"/>
  <c r="H133" i="3"/>
  <c r="H20" i="3"/>
  <c r="H52" i="3"/>
  <c r="H78" i="3"/>
  <c r="H127" i="3"/>
  <c r="H130" i="3"/>
  <c r="H144" i="3"/>
  <c r="H151" i="3"/>
  <c r="H164" i="3"/>
  <c r="H7" i="3"/>
  <c r="H15" i="3"/>
  <c r="H57" i="3"/>
  <c r="H107" i="3"/>
  <c r="H135" i="3"/>
  <c r="H147" i="3"/>
  <c r="H154" i="3"/>
  <c r="H175" i="3"/>
  <c r="H186" i="3"/>
  <c r="H193" i="3"/>
  <c r="H201" i="3"/>
  <c r="H209" i="3"/>
  <c r="H217" i="3"/>
  <c r="H225" i="3"/>
  <c r="H233" i="3"/>
  <c r="H241" i="3"/>
  <c r="H249" i="3"/>
  <c r="H25" i="3"/>
  <c r="H30" i="3"/>
  <c r="H47" i="3"/>
  <c r="H87" i="3"/>
  <c r="H109" i="3"/>
  <c r="H132" i="3"/>
  <c r="H158" i="3"/>
  <c r="H169" i="3"/>
  <c r="H180" i="3"/>
  <c r="H50" i="3"/>
  <c r="H85" i="3"/>
  <c r="H94" i="3"/>
  <c r="H163" i="3"/>
  <c r="H192" i="3"/>
  <c r="H200" i="3"/>
  <c r="H208" i="3"/>
  <c r="H216" i="3"/>
  <c r="H224" i="3"/>
  <c r="H232" i="3"/>
  <c r="H240" i="3"/>
  <c r="H58" i="3"/>
  <c r="H92" i="3"/>
  <c r="H114" i="3"/>
  <c r="H137" i="3"/>
  <c r="H139" i="3"/>
  <c r="H174" i="3"/>
  <c r="H243" i="3"/>
  <c r="H46" i="3"/>
  <c r="H117" i="3"/>
  <c r="H124" i="3"/>
  <c r="H143" i="3"/>
  <c r="H161" i="3"/>
  <c r="H179" i="3"/>
  <c r="H182" i="3"/>
  <c r="H207" i="3"/>
  <c r="H213" i="3"/>
  <c r="H219" i="3"/>
  <c r="H239" i="3"/>
  <c r="H246" i="3"/>
  <c r="H26" i="3"/>
  <c r="H68" i="3"/>
  <c r="H77" i="3"/>
  <c r="H19" i="3"/>
  <c r="H104" i="3"/>
  <c r="H187" i="3"/>
  <c r="H250" i="3"/>
  <c r="H254" i="3"/>
  <c r="H65" i="3"/>
  <c r="H86" i="3"/>
  <c r="H89" i="3"/>
  <c r="H145" i="3"/>
  <c r="H166" i="3"/>
  <c r="H184" i="3"/>
  <c r="H198" i="3"/>
  <c r="H204" i="3"/>
  <c r="H210" i="3"/>
  <c r="H230" i="3"/>
  <c r="H236" i="3"/>
  <c r="H13" i="3"/>
  <c r="H43" i="3"/>
  <c r="H49" i="3"/>
  <c r="H99" i="3"/>
  <c r="H110" i="3"/>
  <c r="H131" i="3"/>
  <c r="H168" i="3"/>
  <c r="H189" i="3"/>
  <c r="H195" i="3"/>
  <c r="H38" i="3"/>
  <c r="H70" i="3"/>
  <c r="H106" i="3"/>
  <c r="H126" i="3"/>
  <c r="H152" i="3"/>
  <c r="H159" i="3"/>
  <c r="H59" i="3"/>
  <c r="H75" i="3"/>
  <c r="H97" i="3"/>
  <c r="H102" i="3"/>
  <c r="H167" i="3"/>
  <c r="H206" i="3"/>
  <c r="H212" i="3"/>
  <c r="H214" i="3"/>
  <c r="H218" i="3"/>
  <c r="H220" i="3"/>
  <c r="H222" i="3"/>
  <c r="H226" i="3"/>
  <c r="H228" i="3"/>
  <c r="H234" i="3"/>
  <c r="H244" i="3"/>
  <c r="H231" i="3"/>
  <c r="H155" i="3"/>
  <c r="H11" i="3"/>
  <c r="H36" i="3"/>
  <c r="H248" i="3"/>
  <c r="H37" i="3"/>
  <c r="H202" i="3"/>
  <c r="H118" i="3"/>
  <c r="H223" i="3"/>
  <c r="H235" i="3"/>
  <c r="H61" i="3"/>
  <c r="H129" i="3"/>
  <c r="H150" i="3"/>
  <c r="H172" i="3"/>
  <c r="H191" i="3"/>
  <c r="H66" i="3"/>
  <c r="H221" i="3"/>
  <c r="H229" i="3"/>
  <c r="H237" i="3"/>
  <c r="H82" i="3"/>
  <c r="H60" i="3"/>
  <c r="H116" i="3"/>
  <c r="H121" i="3"/>
  <c r="H125" i="3"/>
  <c r="H160" i="3"/>
  <c r="H215" i="3"/>
  <c r="H227" i="3"/>
  <c r="H252" i="3"/>
  <c r="H54" i="3"/>
  <c r="H113" i="3"/>
  <c r="H170" i="3"/>
  <c r="H177" i="3"/>
  <c r="H245" i="3"/>
  <c r="H9" i="3"/>
  <c r="H146" i="3"/>
  <c r="H196" i="3"/>
  <c r="H205" i="3"/>
  <c r="H63" i="3"/>
  <c r="H178" i="3"/>
  <c r="H238" i="3"/>
  <c r="H27" i="3"/>
  <c r="H67" i="3"/>
  <c r="H253" i="3"/>
  <c r="H142" i="3"/>
  <c r="H138" i="3"/>
  <c r="H199" i="3"/>
  <c r="H185" i="3"/>
  <c r="H203" i="3"/>
  <c r="H251" i="3"/>
  <c r="H211" i="3"/>
  <c r="H247" i="3"/>
  <c r="H171" i="3"/>
  <c r="H197" i="3"/>
  <c r="H190" i="3"/>
  <c r="H153" i="3"/>
  <c r="H188" i="3"/>
  <c r="H162" i="3"/>
  <c r="H242" i="3"/>
  <c r="H21" i="3"/>
  <c r="H183" i="3"/>
  <c r="H176" i="3"/>
  <c r="H194" i="3"/>
  <c r="H79" i="3"/>
  <c r="G6" i="3"/>
  <c r="G34" i="3"/>
  <c r="G45" i="3"/>
  <c r="G73" i="3"/>
  <c r="G84" i="3"/>
  <c r="G95" i="3"/>
  <c r="G101" i="3"/>
  <c r="G17" i="3"/>
  <c r="G28" i="3"/>
  <c r="G39" i="3"/>
  <c r="G56" i="3"/>
  <c r="G67" i="3"/>
  <c r="G78" i="3"/>
  <c r="G11" i="3"/>
  <c r="G22" i="3"/>
  <c r="G50" i="3"/>
  <c r="G62" i="3"/>
  <c r="G69" i="3"/>
  <c r="G76" i="3"/>
  <c r="G83" i="3"/>
  <c r="G105" i="3"/>
  <c r="G111" i="3"/>
  <c r="G119" i="3"/>
  <c r="G55" i="3"/>
  <c r="G65" i="3"/>
  <c r="G72" i="3"/>
  <c r="G90" i="3"/>
  <c r="G97" i="3"/>
  <c r="G10" i="3"/>
  <c r="G16" i="3"/>
  <c r="G31" i="3"/>
  <c r="G40" i="3"/>
  <c r="G51" i="3"/>
  <c r="G74" i="3"/>
  <c r="G98" i="3"/>
  <c r="G100" i="3"/>
  <c r="G103" i="3"/>
  <c r="G42" i="3"/>
  <c r="G53" i="3"/>
  <c r="G81" i="3"/>
  <c r="G112" i="3"/>
  <c r="G128" i="3"/>
  <c r="G140" i="3"/>
  <c r="G148" i="3"/>
  <c r="G156" i="3"/>
  <c r="G12" i="3"/>
  <c r="G14" i="3"/>
  <c r="G18" i="3"/>
  <c r="G29" i="3"/>
  <c r="G33" i="3"/>
  <c r="G44" i="3"/>
  <c r="G64" i="3"/>
  <c r="G71" i="3"/>
  <c r="G88" i="3"/>
  <c r="G108" i="3"/>
  <c r="G115" i="3"/>
  <c r="G122" i="3"/>
  <c r="G133" i="3"/>
  <c r="G8" i="3"/>
  <c r="G20" i="3"/>
  <c r="G46" i="3"/>
  <c r="G118" i="3"/>
  <c r="G127" i="3"/>
  <c r="G139" i="3"/>
  <c r="G7" i="3"/>
  <c r="G15" i="3"/>
  <c r="G57" i="3"/>
  <c r="G107" i="3"/>
  <c r="G120" i="3"/>
  <c r="G135" i="3"/>
  <c r="G147" i="3"/>
  <c r="G154" i="3"/>
  <c r="G175" i="3"/>
  <c r="G186" i="3"/>
  <c r="G193" i="3"/>
  <c r="G201" i="3"/>
  <c r="G209" i="3"/>
  <c r="G217" i="3"/>
  <c r="G225" i="3"/>
  <c r="G233" i="3"/>
  <c r="G241" i="3"/>
  <c r="G249" i="3"/>
  <c r="G25" i="3"/>
  <c r="G30" i="3"/>
  <c r="G47" i="3"/>
  <c r="G80" i="3"/>
  <c r="G87" i="3"/>
  <c r="G96" i="3"/>
  <c r="G109" i="3"/>
  <c r="G132" i="3"/>
  <c r="G158" i="3"/>
  <c r="G169" i="3"/>
  <c r="G180" i="3"/>
  <c r="G35" i="3"/>
  <c r="G85" i="3"/>
  <c r="G94" i="3"/>
  <c r="G163" i="3"/>
  <c r="G192" i="3"/>
  <c r="G200" i="3"/>
  <c r="G208" i="3"/>
  <c r="G216" i="3"/>
  <c r="G224" i="3"/>
  <c r="G232" i="3"/>
  <c r="G92" i="3"/>
  <c r="G137" i="3"/>
  <c r="G174" i="3"/>
  <c r="G185" i="3"/>
  <c r="G117" i="3"/>
  <c r="G124" i="3"/>
  <c r="G143" i="3"/>
  <c r="G161" i="3"/>
  <c r="G179" i="3"/>
  <c r="G182" i="3"/>
  <c r="G207" i="3"/>
  <c r="G213" i="3"/>
  <c r="G219" i="3"/>
  <c r="G239" i="3"/>
  <c r="G246" i="3"/>
  <c r="G13" i="3"/>
  <c r="G43" i="3"/>
  <c r="G110" i="3"/>
  <c r="G19" i="3"/>
  <c r="G104" i="3"/>
  <c r="G187" i="3"/>
  <c r="G250" i="3"/>
  <c r="G254" i="3"/>
  <c r="G86" i="3"/>
  <c r="G89" i="3"/>
  <c r="G145" i="3"/>
  <c r="G166" i="3"/>
  <c r="G184" i="3"/>
  <c r="G198" i="3"/>
  <c r="G204" i="3"/>
  <c r="G210" i="3"/>
  <c r="G230" i="3"/>
  <c r="G236" i="3"/>
  <c r="G49" i="3"/>
  <c r="G99" i="3"/>
  <c r="G131" i="3"/>
  <c r="G26" i="3"/>
  <c r="G32" i="3"/>
  <c r="G52" i="3"/>
  <c r="G68" i="3"/>
  <c r="G77" i="3"/>
  <c r="G141" i="3"/>
  <c r="G171" i="3"/>
  <c r="G9" i="3"/>
  <c r="G36" i="3"/>
  <c r="G59" i="3"/>
  <c r="G149" i="3"/>
  <c r="G153" i="3"/>
  <c r="G176" i="3"/>
  <c r="G58" i="3"/>
  <c r="G91" i="3"/>
  <c r="G114" i="3"/>
  <c r="G130" i="3"/>
  <c r="G164" i="3"/>
  <c r="G136" i="3"/>
  <c r="G159" i="3"/>
  <c r="G248" i="3"/>
  <c r="G168" i="3"/>
  <c r="G177" i="3"/>
  <c r="G202" i="3"/>
  <c r="G61" i="3"/>
  <c r="G155" i="3"/>
  <c r="G24" i="3"/>
  <c r="G129" i="3"/>
  <c r="G150" i="3"/>
  <c r="G157" i="3"/>
  <c r="G172" i="3"/>
  <c r="G191" i="3"/>
  <c r="G93" i="3"/>
  <c r="G113" i="3"/>
  <c r="G231" i="3"/>
  <c r="G235" i="3"/>
  <c r="G252" i="3"/>
  <c r="G41" i="3"/>
  <c r="G60" i="3"/>
  <c r="G116" i="3"/>
  <c r="G121" i="3"/>
  <c r="G125" i="3"/>
  <c r="G160" i="3"/>
  <c r="G165" i="3"/>
  <c r="G54" i="3"/>
  <c r="G170" i="3"/>
  <c r="G82" i="3"/>
  <c r="G21" i="3"/>
  <c r="G138" i="3"/>
  <c r="G37" i="3"/>
  <c r="G48" i="3"/>
  <c r="G70" i="3"/>
  <c r="G189" i="3"/>
  <c r="G173" i="3"/>
  <c r="G245" i="3"/>
  <c r="G126" i="3"/>
  <c r="G134" i="3"/>
  <c r="G66" i="3"/>
  <c r="G144" i="3"/>
  <c r="G151" i="3"/>
  <c r="G215" i="3"/>
  <c r="G221" i="3"/>
  <c r="G223" i="3"/>
  <c r="G227" i="3"/>
  <c r="G229" i="3"/>
  <c r="G237" i="3"/>
  <c r="G146" i="3"/>
  <c r="G181" i="3"/>
  <c r="G196" i="3"/>
  <c r="G167" i="3"/>
  <c r="G205" i="3"/>
  <c r="G38" i="3"/>
  <c r="G23" i="3"/>
  <c r="G63" i="3"/>
  <c r="G178" i="3"/>
  <c r="G75" i="3"/>
  <c r="G238" i="3"/>
  <c r="G183" i="3"/>
  <c r="G123" i="3"/>
  <c r="G142" i="3"/>
  <c r="G206" i="3"/>
  <c r="G214" i="3"/>
  <c r="G218" i="3"/>
  <c r="G222" i="3"/>
  <c r="G226" i="3"/>
  <c r="G234" i="3"/>
  <c r="G79" i="3"/>
  <c r="G243" i="3"/>
  <c r="G247" i="3"/>
  <c r="G197" i="3"/>
  <c r="G240" i="3"/>
  <c r="G199" i="3"/>
  <c r="G27" i="3"/>
  <c r="G211" i="3"/>
  <c r="G188" i="3"/>
  <c r="G253" i="3"/>
  <c r="G162" i="3"/>
  <c r="G212" i="3"/>
  <c r="G242" i="3"/>
  <c r="G152" i="3"/>
  <c r="G106" i="3"/>
  <c r="G244" i="3"/>
  <c r="G190" i="3"/>
  <c r="G220" i="3"/>
  <c r="G195" i="3"/>
  <c r="G102" i="3"/>
  <c r="G228" i="3"/>
  <c r="G194" i="3"/>
  <c r="G203" i="3"/>
  <c r="G251" i="3"/>
  <c r="E11" i="3"/>
  <c r="E22" i="3"/>
  <c r="E39" i="3"/>
  <c r="E50" i="3"/>
  <c r="E61" i="3"/>
  <c r="E89" i="3"/>
  <c r="E100" i="3"/>
  <c r="E108" i="3"/>
  <c r="E33" i="3"/>
  <c r="E44" i="3"/>
  <c r="E72" i="3"/>
  <c r="E83" i="3"/>
  <c r="E94" i="3"/>
  <c r="E16" i="3"/>
  <c r="E27" i="3"/>
  <c r="E38" i="3"/>
  <c r="E55" i="3"/>
  <c r="E65" i="3"/>
  <c r="E90" i="3"/>
  <c r="E97" i="3"/>
  <c r="E10" i="3"/>
  <c r="E37" i="3"/>
  <c r="E43" i="3"/>
  <c r="E49" i="3"/>
  <c r="E86" i="3"/>
  <c r="E93" i="3"/>
  <c r="E110" i="3"/>
  <c r="E118" i="3"/>
  <c r="E13" i="3"/>
  <c r="E19" i="3"/>
  <c r="E25" i="3"/>
  <c r="E31" i="3"/>
  <c r="E46" i="3"/>
  <c r="E52" i="3"/>
  <c r="E58" i="3"/>
  <c r="E79" i="3"/>
  <c r="E7" i="3"/>
  <c r="E6" i="3"/>
  <c r="E12" i="3"/>
  <c r="E14" i="3"/>
  <c r="E18" i="3"/>
  <c r="E29" i="3"/>
  <c r="E64" i="3"/>
  <c r="E69" i="3"/>
  <c r="E88" i="3"/>
  <c r="E115" i="3"/>
  <c r="E122" i="3"/>
  <c r="E133" i="3"/>
  <c r="E8" i="3"/>
  <c r="E20" i="3"/>
  <c r="E71" i="3"/>
  <c r="E76" i="3"/>
  <c r="E139" i="3"/>
  <c r="E147" i="3"/>
  <c r="E155" i="3"/>
  <c r="E57" i="3"/>
  <c r="E127" i="3"/>
  <c r="E48" i="3"/>
  <c r="E59" i="3"/>
  <c r="E66" i="3"/>
  <c r="E78" i="3"/>
  <c r="E95" i="3"/>
  <c r="E105" i="3"/>
  <c r="E132" i="3"/>
  <c r="E138" i="3"/>
  <c r="E35" i="3"/>
  <c r="E47" i="3"/>
  <c r="E85" i="3"/>
  <c r="E87" i="3"/>
  <c r="E111" i="3"/>
  <c r="E163" i="3"/>
  <c r="E180" i="3"/>
  <c r="E192" i="3"/>
  <c r="E200" i="3"/>
  <c r="E208" i="3"/>
  <c r="E216" i="3"/>
  <c r="E224" i="3"/>
  <c r="E232" i="3"/>
  <c r="E240" i="3"/>
  <c r="E248" i="3"/>
  <c r="E92" i="3"/>
  <c r="E137" i="3"/>
  <c r="E174" i="3"/>
  <c r="E185" i="3"/>
  <c r="E28" i="3"/>
  <c r="E40" i="3"/>
  <c r="E45" i="3"/>
  <c r="E60" i="3"/>
  <c r="E99" i="3"/>
  <c r="E103" i="3"/>
  <c r="E113" i="3"/>
  <c r="E117" i="3"/>
  <c r="E124" i="3"/>
  <c r="E143" i="3"/>
  <c r="E150" i="3"/>
  <c r="E157" i="3"/>
  <c r="E168" i="3"/>
  <c r="E179" i="3"/>
  <c r="E191" i="3"/>
  <c r="E199" i="3"/>
  <c r="E207" i="3"/>
  <c r="E215" i="3"/>
  <c r="E223" i="3"/>
  <c r="E231" i="3"/>
  <c r="E239" i="3"/>
  <c r="E62" i="3"/>
  <c r="E140" i="3"/>
  <c r="E146" i="3"/>
  <c r="E153" i="3"/>
  <c r="E162" i="3"/>
  <c r="E101" i="3"/>
  <c r="E145" i="3"/>
  <c r="E166" i="3"/>
  <c r="E184" i="3"/>
  <c r="E198" i="3"/>
  <c r="E204" i="3"/>
  <c r="E210" i="3"/>
  <c r="E230" i="3"/>
  <c r="E236" i="3"/>
  <c r="E129" i="3"/>
  <c r="E26" i="3"/>
  <c r="E32" i="3"/>
  <c r="E68" i="3"/>
  <c r="E77" i="3"/>
  <c r="E141" i="3"/>
  <c r="E171" i="3"/>
  <c r="E74" i="3"/>
  <c r="E98" i="3"/>
  <c r="E107" i="3"/>
  <c r="E131" i="3"/>
  <c r="E189" i="3"/>
  <c r="E195" i="3"/>
  <c r="E201" i="3"/>
  <c r="E221" i="3"/>
  <c r="E227" i="3"/>
  <c r="E233" i="3"/>
  <c r="E242" i="3"/>
  <c r="E9" i="3"/>
  <c r="E36" i="3"/>
  <c r="E42" i="3"/>
  <c r="E80" i="3"/>
  <c r="E112" i="3"/>
  <c r="E135" i="3"/>
  <c r="E149" i="3"/>
  <c r="E158" i="3"/>
  <c r="E176" i="3"/>
  <c r="E245" i="3"/>
  <c r="E249" i="3"/>
  <c r="E253" i="3"/>
  <c r="E23" i="3"/>
  <c r="E102" i="3"/>
  <c r="E151" i="3"/>
  <c r="E160" i="3"/>
  <c r="E178" i="3"/>
  <c r="E181" i="3"/>
  <c r="E15" i="3"/>
  <c r="E104" i="3"/>
  <c r="E109" i="3"/>
  <c r="E119" i="3"/>
  <c r="E128" i="3"/>
  <c r="E156" i="3"/>
  <c r="E30" i="3"/>
  <c r="E41" i="3"/>
  <c r="E81" i="3"/>
  <c r="E116" i="3"/>
  <c r="E121" i="3"/>
  <c r="E125" i="3"/>
  <c r="E165" i="3"/>
  <c r="E172" i="3"/>
  <c r="E175" i="3"/>
  <c r="E21" i="3"/>
  <c r="E134" i="3"/>
  <c r="E194" i="3"/>
  <c r="E209" i="3"/>
  <c r="E70" i="3"/>
  <c r="E91" i="3"/>
  <c r="E243" i="3"/>
  <c r="E219" i="3"/>
  <c r="E247" i="3"/>
  <c r="E142" i="3"/>
  <c r="E54" i="3"/>
  <c r="E170" i="3"/>
  <c r="E177" i="3"/>
  <c r="E193" i="3"/>
  <c r="E202" i="3"/>
  <c r="E82" i="3"/>
  <c r="E252" i="3"/>
  <c r="E203" i="3"/>
  <c r="E205" i="3"/>
  <c r="E225" i="3"/>
  <c r="E144" i="3"/>
  <c r="E229" i="3"/>
  <c r="E235" i="3"/>
  <c r="E237" i="3"/>
  <c r="E241" i="3"/>
  <c r="E250" i="3"/>
  <c r="E187" i="3"/>
  <c r="E217" i="3"/>
  <c r="E196" i="3"/>
  <c r="E211" i="3"/>
  <c r="E126" i="3"/>
  <c r="E154" i="3"/>
  <c r="E173" i="3"/>
  <c r="E182" i="3"/>
  <c r="E213" i="3"/>
  <c r="E56" i="3"/>
  <c r="E130" i="3"/>
  <c r="E148" i="3"/>
  <c r="E73" i="3"/>
  <c r="E120" i="3"/>
  <c r="E161" i="3"/>
  <c r="E24" i="3"/>
  <c r="E114" i="3"/>
  <c r="E63" i="3"/>
  <c r="E75" i="3"/>
  <c r="E238" i="3"/>
  <c r="E197" i="3"/>
  <c r="E188" i="3"/>
  <c r="E167" i="3"/>
  <c r="E183" i="3"/>
  <c r="E123" i="3"/>
  <c r="E51" i="3"/>
  <c r="E53" i="3"/>
  <c r="E246" i="3"/>
  <c r="E254" i="3"/>
  <c r="E106" i="3"/>
  <c r="E244" i="3"/>
  <c r="E34" i="3"/>
  <c r="E169" i="3"/>
  <c r="E67" i="3"/>
  <c r="E226" i="3"/>
  <c r="E190" i="3"/>
  <c r="E212" i="3"/>
  <c r="E234" i="3"/>
  <c r="E17" i="3"/>
  <c r="E152" i="3"/>
  <c r="E214" i="3"/>
  <c r="E228" i="3"/>
  <c r="E222" i="3"/>
  <c r="E159" i="3"/>
  <c r="E206" i="3"/>
  <c r="E96" i="3"/>
  <c r="E136" i="3"/>
  <c r="E220" i="3"/>
  <c r="E84" i="3"/>
  <c r="E251" i="3"/>
  <c r="E218" i="3"/>
  <c r="E164" i="3"/>
  <c r="E186" i="3"/>
  <c r="K13" i="3"/>
  <c r="K24" i="3"/>
  <c r="K52" i="3"/>
  <c r="K63" i="3"/>
  <c r="K91" i="3"/>
  <c r="K103" i="3"/>
  <c r="K7" i="3"/>
  <c r="K35" i="3"/>
  <c r="K46" i="3"/>
  <c r="K57" i="3"/>
  <c r="K74" i="3"/>
  <c r="K85" i="3"/>
  <c r="K96" i="3"/>
  <c r="K18" i="3"/>
  <c r="K29" i="3"/>
  <c r="K40" i="3"/>
  <c r="K17" i="3"/>
  <c r="K23" i="3"/>
  <c r="K56" i="3"/>
  <c r="K73" i="3"/>
  <c r="K11" i="3"/>
  <c r="K32" i="3"/>
  <c r="K38" i="3"/>
  <c r="K44" i="3"/>
  <c r="K50" i="3"/>
  <c r="K66" i="3"/>
  <c r="K98" i="3"/>
  <c r="K106" i="3"/>
  <c r="K113" i="3"/>
  <c r="K121" i="3"/>
  <c r="K8" i="3"/>
  <c r="K14" i="3"/>
  <c r="K20" i="3"/>
  <c r="K26" i="3"/>
  <c r="K41" i="3"/>
  <c r="K47" i="3"/>
  <c r="K53" i="3"/>
  <c r="K59" i="3"/>
  <c r="K62" i="3"/>
  <c r="K80" i="3"/>
  <c r="K87" i="3"/>
  <c r="K94" i="3"/>
  <c r="K25" i="3"/>
  <c r="K60" i="3"/>
  <c r="K84" i="3"/>
  <c r="K124" i="3"/>
  <c r="K135" i="3"/>
  <c r="K36" i="3"/>
  <c r="K51" i="3"/>
  <c r="K67" i="3"/>
  <c r="K109" i="3"/>
  <c r="K116" i="3"/>
  <c r="K129" i="3"/>
  <c r="K142" i="3"/>
  <c r="K150" i="3"/>
  <c r="K16" i="3"/>
  <c r="K27" i="3"/>
  <c r="K86" i="3"/>
  <c r="K112" i="3"/>
  <c r="K119" i="3"/>
  <c r="K6" i="3"/>
  <c r="K10" i="3"/>
  <c r="K12" i="3"/>
  <c r="K55" i="3"/>
  <c r="K69" i="3"/>
  <c r="K93" i="3"/>
  <c r="K123" i="3"/>
  <c r="K134" i="3"/>
  <c r="K141" i="3"/>
  <c r="K9" i="3"/>
  <c r="K37" i="3"/>
  <c r="K54" i="3"/>
  <c r="K75" i="3"/>
  <c r="K165" i="3"/>
  <c r="K195" i="3"/>
  <c r="K203" i="3"/>
  <c r="K211" i="3"/>
  <c r="K219" i="3"/>
  <c r="K227" i="3"/>
  <c r="K235" i="3"/>
  <c r="K243" i="3"/>
  <c r="K251" i="3"/>
  <c r="K42" i="3"/>
  <c r="K64" i="3"/>
  <c r="K82" i="3"/>
  <c r="K89" i="3"/>
  <c r="K120" i="3"/>
  <c r="K125" i="3"/>
  <c r="K138" i="3"/>
  <c r="K176" i="3"/>
  <c r="K187" i="3"/>
  <c r="K71" i="3"/>
  <c r="K105" i="3"/>
  <c r="K122" i="3"/>
  <c r="K159" i="3"/>
  <c r="K170" i="3"/>
  <c r="K181" i="3"/>
  <c r="K194" i="3"/>
  <c r="K202" i="3"/>
  <c r="K210" i="3"/>
  <c r="K218" i="3"/>
  <c r="K226" i="3"/>
  <c r="K234" i="3"/>
  <c r="K78" i="3"/>
  <c r="K111" i="3"/>
  <c r="K127" i="3"/>
  <c r="K130" i="3"/>
  <c r="K144" i="3"/>
  <c r="K151" i="3"/>
  <c r="K164" i="3"/>
  <c r="K15" i="3"/>
  <c r="K48" i="3"/>
  <c r="K61" i="3"/>
  <c r="K128" i="3"/>
  <c r="K154" i="3"/>
  <c r="K172" i="3"/>
  <c r="K193" i="3"/>
  <c r="K199" i="3"/>
  <c r="K205" i="3"/>
  <c r="K225" i="3"/>
  <c r="K231" i="3"/>
  <c r="K237" i="3"/>
  <c r="K117" i="3"/>
  <c r="K143" i="3"/>
  <c r="K22" i="3"/>
  <c r="K45" i="3"/>
  <c r="K83" i="3"/>
  <c r="K101" i="3"/>
  <c r="K169" i="3"/>
  <c r="K147" i="3"/>
  <c r="K158" i="3"/>
  <c r="K70" i="3"/>
  <c r="K95" i="3"/>
  <c r="K126" i="3"/>
  <c r="K152" i="3"/>
  <c r="K156" i="3"/>
  <c r="K174" i="3"/>
  <c r="K177" i="3"/>
  <c r="K190" i="3"/>
  <c r="K196" i="3"/>
  <c r="K216" i="3"/>
  <c r="K222" i="3"/>
  <c r="K228" i="3"/>
  <c r="K107" i="3"/>
  <c r="K58" i="3"/>
  <c r="K92" i="3"/>
  <c r="K114" i="3"/>
  <c r="K137" i="3"/>
  <c r="K139" i="3"/>
  <c r="K182" i="3"/>
  <c r="K250" i="3"/>
  <c r="K19" i="3"/>
  <c r="K33" i="3"/>
  <c r="K39" i="3"/>
  <c r="K65" i="3"/>
  <c r="K68" i="3"/>
  <c r="K104" i="3"/>
  <c r="K166" i="3"/>
  <c r="K79" i="3"/>
  <c r="K148" i="3"/>
  <c r="K146" i="3"/>
  <c r="K153" i="3"/>
  <c r="K186" i="3"/>
  <c r="K240" i="3"/>
  <c r="K160" i="3"/>
  <c r="K189" i="3"/>
  <c r="K88" i="3"/>
  <c r="K81" i="3"/>
  <c r="K102" i="3"/>
  <c r="K132" i="3"/>
  <c r="K140" i="3"/>
  <c r="K179" i="3"/>
  <c r="K188" i="3"/>
  <c r="K197" i="3"/>
  <c r="K246" i="3"/>
  <c r="K248" i="3"/>
  <c r="K30" i="3"/>
  <c r="K97" i="3"/>
  <c r="K162" i="3"/>
  <c r="K253" i="3"/>
  <c r="K191" i="3"/>
  <c r="K49" i="3"/>
  <c r="K99" i="3"/>
  <c r="K175" i="3"/>
  <c r="K76" i="3"/>
  <c r="K133" i="3"/>
  <c r="K136" i="3"/>
  <c r="K167" i="3"/>
  <c r="K184" i="3"/>
  <c r="K204" i="3"/>
  <c r="K206" i="3"/>
  <c r="K208" i="3"/>
  <c r="K212" i="3"/>
  <c r="K214" i="3"/>
  <c r="K220" i="3"/>
  <c r="K244" i="3"/>
  <c r="K108" i="3"/>
  <c r="K157" i="3"/>
  <c r="K198" i="3"/>
  <c r="K241" i="3"/>
  <c r="K77" i="3"/>
  <c r="K168" i="3"/>
  <c r="K31" i="3"/>
  <c r="K43" i="3"/>
  <c r="K163" i="3"/>
  <c r="K200" i="3"/>
  <c r="K233" i="3"/>
  <c r="K239" i="3"/>
  <c r="K72" i="3"/>
  <c r="K110" i="3"/>
  <c r="K171" i="3"/>
  <c r="K131" i="3"/>
  <c r="K21" i="3"/>
  <c r="K161" i="3"/>
  <c r="K209" i="3"/>
  <c r="K213" i="3"/>
  <c r="K217" i="3"/>
  <c r="K221" i="3"/>
  <c r="K229" i="3"/>
  <c r="K173" i="3"/>
  <c r="K34" i="3"/>
  <c r="K100" i="3"/>
  <c r="K192" i="3"/>
  <c r="K245" i="3"/>
  <c r="K252" i="3"/>
  <c r="K90" i="3"/>
  <c r="K201" i="3"/>
  <c r="K155" i="3"/>
  <c r="K249" i="3"/>
  <c r="K115" i="3"/>
  <c r="K230" i="3"/>
  <c r="K238" i="3"/>
  <c r="K242" i="3"/>
  <c r="K183" i="3"/>
  <c r="K28" i="3"/>
  <c r="K149" i="3"/>
  <c r="K180" i="3"/>
  <c r="K232" i="3"/>
  <c r="K215" i="3"/>
  <c r="K223" i="3"/>
  <c r="K236" i="3"/>
  <c r="K224" i="3"/>
  <c r="K247" i="3"/>
  <c r="K254" i="3"/>
  <c r="K118" i="3"/>
  <c r="K207" i="3"/>
  <c r="K185" i="3"/>
  <c r="K145" i="3"/>
  <c r="K178" i="3"/>
  <c r="M8" i="3"/>
  <c r="M36" i="3"/>
  <c r="M47" i="3"/>
  <c r="M58" i="3"/>
  <c r="M75" i="3"/>
  <c r="M86" i="3"/>
  <c r="M97" i="3"/>
  <c r="M104" i="3"/>
  <c r="M19" i="3"/>
  <c r="M30" i="3"/>
  <c r="M41" i="3"/>
  <c r="M69" i="3"/>
  <c r="M80" i="3"/>
  <c r="M13" i="3"/>
  <c r="M24" i="3"/>
  <c r="M52" i="3"/>
  <c r="M107" i="3"/>
  <c r="M70" i="3"/>
  <c r="M77" i="3"/>
  <c r="M84" i="3"/>
  <c r="M91" i="3"/>
  <c r="M102" i="3"/>
  <c r="M114" i="3"/>
  <c r="M17" i="3"/>
  <c r="M23" i="3"/>
  <c r="M29" i="3"/>
  <c r="M35" i="3"/>
  <c r="M50" i="3"/>
  <c r="M56" i="3"/>
  <c r="M66" i="3"/>
  <c r="M73" i="3"/>
  <c r="M98" i="3"/>
  <c r="M11" i="3"/>
  <c r="M21" i="3"/>
  <c r="M72" i="3"/>
  <c r="M96" i="3"/>
  <c r="M130" i="3"/>
  <c r="M38" i="3"/>
  <c r="M49" i="3"/>
  <c r="M79" i="3"/>
  <c r="M106" i="3"/>
  <c r="M143" i="3"/>
  <c r="M151" i="3"/>
  <c r="M25" i="3"/>
  <c r="M40" i="3"/>
  <c r="M60" i="3"/>
  <c r="M62" i="3"/>
  <c r="M124" i="3"/>
  <c r="M135" i="3"/>
  <c r="M51" i="3"/>
  <c r="M67" i="3"/>
  <c r="M74" i="3"/>
  <c r="M109" i="3"/>
  <c r="M116" i="3"/>
  <c r="M129" i="3"/>
  <c r="M27" i="3"/>
  <c r="M59" i="3"/>
  <c r="M133" i="3"/>
  <c r="M145" i="3"/>
  <c r="M152" i="3"/>
  <c r="M177" i="3"/>
  <c r="M188" i="3"/>
  <c r="M196" i="3"/>
  <c r="M204" i="3"/>
  <c r="M212" i="3"/>
  <c r="M220" i="3"/>
  <c r="M228" i="3"/>
  <c r="M236" i="3"/>
  <c r="M244" i="3"/>
  <c r="M252" i="3"/>
  <c r="M12" i="3"/>
  <c r="M32" i="3"/>
  <c r="M118" i="3"/>
  <c r="M141" i="3"/>
  <c r="M148" i="3"/>
  <c r="M155" i="3"/>
  <c r="M160" i="3"/>
  <c r="M171" i="3"/>
  <c r="M182" i="3"/>
  <c r="M9" i="3"/>
  <c r="M20" i="3"/>
  <c r="M37" i="3"/>
  <c r="M42" i="3"/>
  <c r="M54" i="3"/>
  <c r="M57" i="3"/>
  <c r="M82" i="3"/>
  <c r="M165" i="3"/>
  <c r="M195" i="3"/>
  <c r="M203" i="3"/>
  <c r="M211" i="3"/>
  <c r="M219" i="3"/>
  <c r="M227" i="3"/>
  <c r="M235" i="3"/>
  <c r="M7" i="3"/>
  <c r="M64" i="3"/>
  <c r="M89" i="3"/>
  <c r="M120" i="3"/>
  <c r="M122" i="3"/>
  <c r="M125" i="3"/>
  <c r="M138" i="3"/>
  <c r="M159" i="3"/>
  <c r="M176" i="3"/>
  <c r="M187" i="3"/>
  <c r="M119" i="3"/>
  <c r="M167" i="3"/>
  <c r="M202" i="3"/>
  <c r="M208" i="3"/>
  <c r="M214" i="3"/>
  <c r="M234" i="3"/>
  <c r="M16" i="3"/>
  <c r="M156" i="3"/>
  <c r="M55" i="3"/>
  <c r="M164" i="3"/>
  <c r="M185" i="3"/>
  <c r="M240" i="3"/>
  <c r="M247" i="3"/>
  <c r="M251" i="3"/>
  <c r="M95" i="3"/>
  <c r="M112" i="3"/>
  <c r="M15" i="3"/>
  <c r="M48" i="3"/>
  <c r="M61" i="3"/>
  <c r="M128" i="3"/>
  <c r="M154" i="3"/>
  <c r="M172" i="3"/>
  <c r="M193" i="3"/>
  <c r="M199" i="3"/>
  <c r="M205" i="3"/>
  <c r="M225" i="3"/>
  <c r="M231" i="3"/>
  <c r="M237" i="3"/>
  <c r="M71" i="3"/>
  <c r="M126" i="3"/>
  <c r="M22" i="3"/>
  <c r="M45" i="3"/>
  <c r="M83" i="3"/>
  <c r="M101" i="3"/>
  <c r="M169" i="3"/>
  <c r="M243" i="3"/>
  <c r="M26" i="3"/>
  <c r="M92" i="3"/>
  <c r="M137" i="3"/>
  <c r="M139" i="3"/>
  <c r="M28" i="3"/>
  <c r="M88" i="3"/>
  <c r="M132" i="3"/>
  <c r="M136" i="3"/>
  <c r="M146" i="3"/>
  <c r="M150" i="3"/>
  <c r="M162" i="3"/>
  <c r="M34" i="3"/>
  <c r="M53" i="3"/>
  <c r="M63" i="3"/>
  <c r="M85" i="3"/>
  <c r="M111" i="3"/>
  <c r="M174" i="3"/>
  <c r="M183" i="3"/>
  <c r="M242" i="3"/>
  <c r="M103" i="3"/>
  <c r="M253" i="3"/>
  <c r="M93" i="3"/>
  <c r="M108" i="3"/>
  <c r="M170" i="3"/>
  <c r="M248" i="3"/>
  <c r="M14" i="3"/>
  <c r="M18" i="3"/>
  <c r="M210" i="3"/>
  <c r="M216" i="3"/>
  <c r="M218" i="3"/>
  <c r="M222" i="3"/>
  <c r="M224" i="3"/>
  <c r="M226" i="3"/>
  <c r="M230" i="3"/>
  <c r="M232" i="3"/>
  <c r="M238" i="3"/>
  <c r="M43" i="3"/>
  <c r="M163" i="3"/>
  <c r="M158" i="3"/>
  <c r="M147" i="3"/>
  <c r="M153" i="3"/>
  <c r="M179" i="3"/>
  <c r="M186" i="3"/>
  <c r="M117" i="3"/>
  <c r="M191" i="3"/>
  <c r="M239" i="3"/>
  <c r="M6" i="3"/>
  <c r="M65" i="3"/>
  <c r="M81" i="3"/>
  <c r="M87" i="3"/>
  <c r="M140" i="3"/>
  <c r="M197" i="3"/>
  <c r="M246" i="3"/>
  <c r="M157" i="3"/>
  <c r="M144" i="3"/>
  <c r="M200" i="3"/>
  <c r="M250" i="3"/>
  <c r="M31" i="3"/>
  <c r="M113" i="3"/>
  <c r="M233" i="3"/>
  <c r="M76" i="3"/>
  <c r="M121" i="3"/>
  <c r="M184" i="3"/>
  <c r="M206" i="3"/>
  <c r="M175" i="3"/>
  <c r="M99" i="3"/>
  <c r="M166" i="3"/>
  <c r="M209" i="3"/>
  <c r="M90" i="3"/>
  <c r="M192" i="3"/>
  <c r="M201" i="3"/>
  <c r="M181" i="3"/>
  <c r="M241" i="3"/>
  <c r="M78" i="3"/>
  <c r="M100" i="3"/>
  <c r="M245" i="3"/>
  <c r="M10" i="3"/>
  <c r="M110" i="3"/>
  <c r="M161" i="3"/>
  <c r="M213" i="3"/>
  <c r="M217" i="3"/>
  <c r="M221" i="3"/>
  <c r="M229" i="3"/>
  <c r="M39" i="3"/>
  <c r="M105" i="3"/>
  <c r="M123" i="3"/>
  <c r="M149" i="3"/>
  <c r="M178" i="3"/>
  <c r="M189" i="3"/>
  <c r="M198" i="3"/>
  <c r="M94" i="3"/>
  <c r="M254" i="3"/>
  <c r="M173" i="3"/>
  <c r="M142" i="3"/>
  <c r="M131" i="3"/>
  <c r="M68" i="3"/>
  <c r="M44" i="3"/>
  <c r="M46" i="3"/>
  <c r="M190" i="3"/>
  <c r="M194" i="3"/>
  <c r="M115" i="3"/>
  <c r="M180" i="3"/>
  <c r="M215" i="3"/>
  <c r="M33" i="3"/>
  <c r="M127" i="3"/>
  <c r="M168" i="3"/>
  <c r="M223" i="3"/>
  <c r="M207" i="3"/>
  <c r="M249" i="3"/>
  <c r="M134" i="3"/>
  <c r="I18" i="3"/>
  <c r="I29" i="3"/>
  <c r="I40" i="3"/>
  <c r="I57" i="3"/>
  <c r="I68" i="3"/>
  <c r="I79" i="3"/>
  <c r="I102" i="3"/>
  <c r="I12" i="3"/>
  <c r="I23" i="3"/>
  <c r="I51" i="3"/>
  <c r="I62" i="3"/>
  <c r="I90" i="3"/>
  <c r="I6" i="3"/>
  <c r="I34" i="3"/>
  <c r="I45" i="3"/>
  <c r="I56" i="3"/>
  <c r="I8" i="3"/>
  <c r="I14" i="3"/>
  <c r="I20" i="3"/>
  <c r="I26" i="3"/>
  <c r="I47" i="3"/>
  <c r="I53" i="3"/>
  <c r="I59" i="3"/>
  <c r="I80" i="3"/>
  <c r="I87" i="3"/>
  <c r="I94" i="3"/>
  <c r="I35" i="3"/>
  <c r="I41" i="3"/>
  <c r="I101" i="3"/>
  <c r="I112" i="3"/>
  <c r="I120" i="3"/>
  <c r="I69" i="3"/>
  <c r="I76" i="3"/>
  <c r="I83" i="3"/>
  <c r="I16" i="3"/>
  <c r="I27" i="3"/>
  <c r="I38" i="3"/>
  <c r="I86" i="3"/>
  <c r="I106" i="3"/>
  <c r="I119" i="3"/>
  <c r="I129" i="3"/>
  <c r="I10" i="3"/>
  <c r="I55" i="3"/>
  <c r="I91" i="3"/>
  <c r="I93" i="3"/>
  <c r="I123" i="3"/>
  <c r="I134" i="3"/>
  <c r="I141" i="3"/>
  <c r="I149" i="3"/>
  <c r="I31" i="3"/>
  <c r="I74" i="3"/>
  <c r="I98" i="3"/>
  <c r="I100" i="3"/>
  <c r="I103" i="3"/>
  <c r="I128" i="3"/>
  <c r="I22" i="3"/>
  <c r="I42" i="3"/>
  <c r="I64" i="3"/>
  <c r="I81" i="3"/>
  <c r="I88" i="3"/>
  <c r="I140" i="3"/>
  <c r="I32" i="3"/>
  <c r="I71" i="3"/>
  <c r="I73" i="3"/>
  <c r="I89" i="3"/>
  <c r="I105" i="3"/>
  <c r="I122" i="3"/>
  <c r="I159" i="3"/>
  <c r="I170" i="3"/>
  <c r="I181" i="3"/>
  <c r="I194" i="3"/>
  <c r="I202" i="3"/>
  <c r="I210" i="3"/>
  <c r="I218" i="3"/>
  <c r="I226" i="3"/>
  <c r="I234" i="3"/>
  <c r="I242" i="3"/>
  <c r="I250" i="3"/>
  <c r="I52" i="3"/>
  <c r="I78" i="3"/>
  <c r="I111" i="3"/>
  <c r="I127" i="3"/>
  <c r="I130" i="3"/>
  <c r="I144" i="3"/>
  <c r="I151" i="3"/>
  <c r="I164" i="3"/>
  <c r="I7" i="3"/>
  <c r="I15" i="3"/>
  <c r="I96" i="3"/>
  <c r="I107" i="3"/>
  <c r="I135" i="3"/>
  <c r="I147" i="3"/>
  <c r="I154" i="3"/>
  <c r="I175" i="3"/>
  <c r="I186" i="3"/>
  <c r="I193" i="3"/>
  <c r="I201" i="3"/>
  <c r="I209" i="3"/>
  <c r="I217" i="3"/>
  <c r="I225" i="3"/>
  <c r="I233" i="3"/>
  <c r="I25" i="3"/>
  <c r="I28" i="3"/>
  <c r="I30" i="3"/>
  <c r="I109" i="3"/>
  <c r="I132" i="3"/>
  <c r="I158" i="3"/>
  <c r="I169" i="3"/>
  <c r="I180" i="3"/>
  <c r="I70" i="3"/>
  <c r="I95" i="3"/>
  <c r="I126" i="3"/>
  <c r="I152" i="3"/>
  <c r="I156" i="3"/>
  <c r="I177" i="3"/>
  <c r="I190" i="3"/>
  <c r="I196" i="3"/>
  <c r="I216" i="3"/>
  <c r="I222" i="3"/>
  <c r="I228" i="3"/>
  <c r="I65" i="3"/>
  <c r="I58" i="3"/>
  <c r="I92" i="3"/>
  <c r="I114" i="3"/>
  <c r="I137" i="3"/>
  <c r="I139" i="3"/>
  <c r="I174" i="3"/>
  <c r="I243" i="3"/>
  <c r="I133" i="3"/>
  <c r="I117" i="3"/>
  <c r="I124" i="3"/>
  <c r="I143" i="3"/>
  <c r="I161" i="3"/>
  <c r="I179" i="3"/>
  <c r="I182" i="3"/>
  <c r="I207" i="3"/>
  <c r="I213" i="3"/>
  <c r="I219" i="3"/>
  <c r="I239" i="3"/>
  <c r="I246" i="3"/>
  <c r="I33" i="3"/>
  <c r="I115" i="3"/>
  <c r="I145" i="3"/>
  <c r="I19" i="3"/>
  <c r="I39" i="3"/>
  <c r="I104" i="3"/>
  <c r="I187" i="3"/>
  <c r="I254" i="3"/>
  <c r="I46" i="3"/>
  <c r="I77" i="3"/>
  <c r="I171" i="3"/>
  <c r="I11" i="3"/>
  <c r="I67" i="3"/>
  <c r="I82" i="3"/>
  <c r="I116" i="3"/>
  <c r="I17" i="3"/>
  <c r="I162" i="3"/>
  <c r="I195" i="3"/>
  <c r="I251" i="3"/>
  <c r="I253" i="3"/>
  <c r="I48" i="3"/>
  <c r="I121" i="3"/>
  <c r="I173" i="3"/>
  <c r="I221" i="3"/>
  <c r="I235" i="3"/>
  <c r="I75" i="3"/>
  <c r="I97" i="3"/>
  <c r="I136" i="3"/>
  <c r="I167" i="3"/>
  <c r="I204" i="3"/>
  <c r="I206" i="3"/>
  <c r="I208" i="3"/>
  <c r="I212" i="3"/>
  <c r="I214" i="3"/>
  <c r="I220" i="3"/>
  <c r="I244" i="3"/>
  <c r="I60" i="3"/>
  <c r="I125" i="3"/>
  <c r="I163" i="3"/>
  <c r="I54" i="3"/>
  <c r="I72" i="3"/>
  <c r="I118" i="3"/>
  <c r="I231" i="3"/>
  <c r="I61" i="3"/>
  <c r="I13" i="3"/>
  <c r="I24" i="3"/>
  <c r="I36" i="3"/>
  <c r="I108" i="3"/>
  <c r="I157" i="3"/>
  <c r="I184" i="3"/>
  <c r="I248" i="3"/>
  <c r="I160" i="3"/>
  <c r="I113" i="3"/>
  <c r="I241" i="3"/>
  <c r="I50" i="3"/>
  <c r="I66" i="3"/>
  <c r="I215" i="3"/>
  <c r="I223" i="3"/>
  <c r="I227" i="3"/>
  <c r="I237" i="3"/>
  <c r="I43" i="3"/>
  <c r="I150" i="3"/>
  <c r="I165" i="3"/>
  <c r="I172" i="3"/>
  <c r="I191" i="3"/>
  <c r="I200" i="3"/>
  <c r="I189" i="3"/>
  <c r="I229" i="3"/>
  <c r="I37" i="3"/>
  <c r="I49" i="3"/>
  <c r="I99" i="3"/>
  <c r="I168" i="3"/>
  <c r="I198" i="3"/>
  <c r="I85" i="3"/>
  <c r="I138" i="3"/>
  <c r="I153" i="3"/>
  <c r="I245" i="3"/>
  <c r="I252" i="3"/>
  <c r="I63" i="3"/>
  <c r="I148" i="3"/>
  <c r="I178" i="3"/>
  <c r="I9" i="3"/>
  <c r="I192" i="3"/>
  <c r="I131" i="3"/>
  <c r="I146" i="3"/>
  <c r="I155" i="3"/>
  <c r="I249" i="3"/>
  <c r="I205" i="3"/>
  <c r="I188" i="3"/>
  <c r="I197" i="3"/>
  <c r="I44" i="3"/>
  <c r="I232" i="3"/>
  <c r="I240" i="3"/>
  <c r="I21" i="3"/>
  <c r="I199" i="3"/>
  <c r="I236" i="3"/>
  <c r="I166" i="3"/>
  <c r="I185" i="3"/>
  <c r="I230" i="3"/>
  <c r="I176" i="3"/>
  <c r="I203" i="3"/>
  <c r="I247" i="3"/>
  <c r="I142" i="3"/>
  <c r="I238" i="3"/>
  <c r="I110" i="3"/>
  <c r="I183" i="3"/>
  <c r="I84" i="3"/>
  <c r="I224" i="3"/>
  <c r="I211" i="3"/>
  <c r="O20" i="3"/>
  <c r="O31" i="3"/>
  <c r="O42" i="3"/>
  <c r="O70" i="3"/>
  <c r="O81" i="3"/>
  <c r="O105" i="3"/>
  <c r="O14" i="3"/>
  <c r="O25" i="3"/>
  <c r="O53" i="3"/>
  <c r="O64" i="3"/>
  <c r="O75" i="3"/>
  <c r="O92" i="3"/>
  <c r="O8" i="3"/>
  <c r="O19" i="3"/>
  <c r="O36" i="3"/>
  <c r="O47" i="3"/>
  <c r="O58" i="3"/>
  <c r="O9" i="3"/>
  <c r="O15" i="3"/>
  <c r="O21" i="3"/>
  <c r="O48" i="3"/>
  <c r="O54" i="3"/>
  <c r="O60" i="3"/>
  <c r="O63" i="3"/>
  <c r="O88" i="3"/>
  <c r="O95" i="3"/>
  <c r="O115" i="3"/>
  <c r="O91" i="3"/>
  <c r="O107" i="3"/>
  <c r="O23" i="3"/>
  <c r="O34" i="3"/>
  <c r="O77" i="3"/>
  <c r="O82" i="3"/>
  <c r="O110" i="3"/>
  <c r="O117" i="3"/>
  <c r="O45" i="3"/>
  <c r="O65" i="3"/>
  <c r="O84" i="3"/>
  <c r="O89" i="3"/>
  <c r="O101" i="3"/>
  <c r="O113" i="3"/>
  <c r="O120" i="3"/>
  <c r="O125" i="3"/>
  <c r="O136" i="3"/>
  <c r="O144" i="3"/>
  <c r="O152" i="3"/>
  <c r="O72" i="3"/>
  <c r="O96" i="3"/>
  <c r="O130" i="3"/>
  <c r="O38" i="3"/>
  <c r="O49" i="3"/>
  <c r="O79" i="3"/>
  <c r="O106" i="3"/>
  <c r="O17" i="3"/>
  <c r="O61" i="3"/>
  <c r="O98" i="3"/>
  <c r="O100" i="3"/>
  <c r="O114" i="3"/>
  <c r="O128" i="3"/>
  <c r="O161" i="3"/>
  <c r="O172" i="3"/>
  <c r="O183" i="3"/>
  <c r="O189" i="3"/>
  <c r="O197" i="3"/>
  <c r="O205" i="3"/>
  <c r="O213" i="3"/>
  <c r="O221" i="3"/>
  <c r="O229" i="3"/>
  <c r="O237" i="3"/>
  <c r="O245" i="3"/>
  <c r="O253" i="3"/>
  <c r="O22" i="3"/>
  <c r="O27" i="3"/>
  <c r="O39" i="3"/>
  <c r="O59" i="3"/>
  <c r="O66" i="3"/>
  <c r="O68" i="3"/>
  <c r="O116" i="3"/>
  <c r="O166" i="3"/>
  <c r="O73" i="3"/>
  <c r="O133" i="3"/>
  <c r="O145" i="3"/>
  <c r="O160" i="3"/>
  <c r="O177" i="3"/>
  <c r="O188" i="3"/>
  <c r="O196" i="3"/>
  <c r="O204" i="3"/>
  <c r="O212" i="3"/>
  <c r="O220" i="3"/>
  <c r="O228" i="3"/>
  <c r="O236" i="3"/>
  <c r="O12" i="3"/>
  <c r="O32" i="3"/>
  <c r="O35" i="3"/>
  <c r="O80" i="3"/>
  <c r="O118" i="3"/>
  <c r="O141" i="3"/>
  <c r="O148" i="3"/>
  <c r="O155" i="3"/>
  <c r="O171" i="3"/>
  <c r="O182" i="3"/>
  <c r="O11" i="3"/>
  <c r="O51" i="3"/>
  <c r="O67" i="3"/>
  <c r="O76" i="3"/>
  <c r="O85" i="3"/>
  <c r="O121" i="3"/>
  <c r="O191" i="3"/>
  <c r="O211" i="3"/>
  <c r="O217" i="3"/>
  <c r="O223" i="3"/>
  <c r="O244" i="3"/>
  <c r="O29" i="3"/>
  <c r="O83" i="3"/>
  <c r="O124" i="3"/>
  <c r="O135" i="3"/>
  <c r="O28" i="3"/>
  <c r="O109" i="3"/>
  <c r="O132" i="3"/>
  <c r="O146" i="3"/>
  <c r="O150" i="3"/>
  <c r="O159" i="3"/>
  <c r="O162" i="3"/>
  <c r="O180" i="3"/>
  <c r="O52" i="3"/>
  <c r="O86" i="3"/>
  <c r="O154" i="3"/>
  <c r="O119" i="3"/>
  <c r="O167" i="3"/>
  <c r="O202" i="3"/>
  <c r="O208" i="3"/>
  <c r="O214" i="3"/>
  <c r="O234" i="3"/>
  <c r="O62" i="3"/>
  <c r="O55" i="3"/>
  <c r="O164" i="3"/>
  <c r="O185" i="3"/>
  <c r="O240" i="3"/>
  <c r="O247" i="3"/>
  <c r="O251" i="3"/>
  <c r="O74" i="3"/>
  <c r="O122" i="3"/>
  <c r="O143" i="3"/>
  <c r="O169" i="3"/>
  <c r="O187" i="3"/>
  <c r="O41" i="3"/>
  <c r="O44" i="3"/>
  <c r="O94" i="3"/>
  <c r="O111" i="3"/>
  <c r="O134" i="3"/>
  <c r="O157" i="3"/>
  <c r="O178" i="3"/>
  <c r="O199" i="3"/>
  <c r="O249" i="3"/>
  <c r="O153" i="3"/>
  <c r="O7" i="3"/>
  <c r="O108" i="3"/>
  <c r="O126" i="3"/>
  <c r="O174" i="3"/>
  <c r="O181" i="3"/>
  <c r="O186" i="3"/>
  <c r="O103" i="3"/>
  <c r="O137" i="3"/>
  <c r="O206" i="3"/>
  <c r="O93" i="3"/>
  <c r="O102" i="3"/>
  <c r="O112" i="3"/>
  <c r="O195" i="3"/>
  <c r="O242" i="3"/>
  <c r="O97" i="3"/>
  <c r="O147" i="3"/>
  <c r="O193" i="3"/>
  <c r="O18" i="3"/>
  <c r="O30" i="3"/>
  <c r="O210" i="3"/>
  <c r="O216" i="3"/>
  <c r="O218" i="3"/>
  <c r="O222" i="3"/>
  <c r="O224" i="3"/>
  <c r="O226" i="3"/>
  <c r="O230" i="3"/>
  <c r="O232" i="3"/>
  <c r="O238" i="3"/>
  <c r="O71" i="3"/>
  <c r="O129" i="3"/>
  <c r="O179" i="3"/>
  <c r="O184" i="3"/>
  <c r="O26" i="3"/>
  <c r="O151" i="3"/>
  <c r="O6" i="3"/>
  <c r="O13" i="3"/>
  <c r="O24" i="3"/>
  <c r="O87" i="3"/>
  <c r="O140" i="3"/>
  <c r="O165" i="3"/>
  <c r="O246" i="3"/>
  <c r="O37" i="3"/>
  <c r="O43" i="3"/>
  <c r="O104" i="3"/>
  <c r="O176" i="3"/>
  <c r="O248" i="3"/>
  <c r="O252" i="3"/>
  <c r="O50" i="3"/>
  <c r="O99" i="3"/>
  <c r="O200" i="3"/>
  <c r="O225" i="3"/>
  <c r="O233" i="3"/>
  <c r="O138" i="3"/>
  <c r="O241" i="3"/>
  <c r="O10" i="3"/>
  <c r="O131" i="3"/>
  <c r="O163" i="3"/>
  <c r="O123" i="3"/>
  <c r="O156" i="3"/>
  <c r="O173" i="3"/>
  <c r="O250" i="3"/>
  <c r="O16" i="3"/>
  <c r="O198" i="3"/>
  <c r="O46" i="3"/>
  <c r="O254" i="3"/>
  <c r="O192" i="3"/>
  <c r="O194" i="3"/>
  <c r="O40" i="3"/>
  <c r="O203" i="3"/>
  <c r="O69" i="3"/>
  <c r="O227" i="3"/>
  <c r="O190" i="3"/>
  <c r="O207" i="3"/>
  <c r="O142" i="3"/>
  <c r="O158" i="3"/>
  <c r="O209" i="3"/>
  <c r="O219" i="3"/>
  <c r="O149" i="3"/>
  <c r="O235" i="3"/>
  <c r="O139" i="3"/>
  <c r="O56" i="3"/>
  <c r="O175" i="3"/>
  <c r="O57" i="3"/>
  <c r="O201" i="3"/>
  <c r="O215" i="3"/>
  <c r="O168" i="3"/>
  <c r="O243" i="3"/>
  <c r="O78" i="3"/>
  <c r="O231" i="3"/>
  <c r="O33" i="3"/>
  <c r="O127" i="3"/>
  <c r="O239" i="3"/>
  <c r="O170" i="3"/>
  <c r="O90" i="3"/>
  <c r="L10" i="3"/>
  <c r="L18" i="3"/>
  <c r="L26" i="3"/>
  <c r="L34" i="3"/>
  <c r="L42" i="3"/>
  <c r="L50" i="3"/>
  <c r="L58" i="3"/>
  <c r="L66" i="3"/>
  <c r="L74" i="3"/>
  <c r="L82" i="3"/>
  <c r="L90" i="3"/>
  <c r="L98" i="3"/>
  <c r="L19" i="3"/>
  <c r="L30" i="3"/>
  <c r="L41" i="3"/>
  <c r="L69" i="3"/>
  <c r="L80" i="3"/>
  <c r="L13" i="3"/>
  <c r="L24" i="3"/>
  <c r="L52" i="3"/>
  <c r="L63" i="3"/>
  <c r="L91" i="3"/>
  <c r="L103" i="3"/>
  <c r="L7" i="3"/>
  <c r="L35" i="3"/>
  <c r="L46" i="3"/>
  <c r="L57" i="3"/>
  <c r="L70" i="3"/>
  <c r="L77" i="3"/>
  <c r="L84" i="3"/>
  <c r="L102" i="3"/>
  <c r="L114" i="3"/>
  <c r="L122" i="3"/>
  <c r="L130" i="3"/>
  <c r="L17" i="3"/>
  <c r="L23" i="3"/>
  <c r="L29" i="3"/>
  <c r="L56" i="3"/>
  <c r="L73" i="3"/>
  <c r="L11" i="3"/>
  <c r="L32" i="3"/>
  <c r="L38" i="3"/>
  <c r="L44" i="3"/>
  <c r="L106" i="3"/>
  <c r="L113" i="3"/>
  <c r="L121" i="3"/>
  <c r="L8" i="3"/>
  <c r="L14" i="3"/>
  <c r="L49" i="3"/>
  <c r="L79" i="3"/>
  <c r="L143" i="3"/>
  <c r="L151" i="3"/>
  <c r="L159" i="3"/>
  <c r="L167" i="3"/>
  <c r="L175" i="3"/>
  <c r="L183" i="3"/>
  <c r="L25" i="3"/>
  <c r="L40" i="3"/>
  <c r="L60" i="3"/>
  <c r="L62" i="3"/>
  <c r="L124" i="3"/>
  <c r="L135" i="3"/>
  <c r="L36" i="3"/>
  <c r="L51" i="3"/>
  <c r="L67" i="3"/>
  <c r="L109" i="3"/>
  <c r="L116" i="3"/>
  <c r="L129" i="3"/>
  <c r="L142" i="3"/>
  <c r="L150" i="3"/>
  <c r="L16" i="3"/>
  <c r="L27" i="3"/>
  <c r="L53" i="3"/>
  <c r="L86" i="3"/>
  <c r="L112" i="3"/>
  <c r="L119" i="3"/>
  <c r="L12" i="3"/>
  <c r="L118" i="3"/>
  <c r="L141" i="3"/>
  <c r="L148" i="3"/>
  <c r="L155" i="3"/>
  <c r="L160" i="3"/>
  <c r="L171" i="3"/>
  <c r="L182" i="3"/>
  <c r="L9" i="3"/>
  <c r="L20" i="3"/>
  <c r="L37" i="3"/>
  <c r="L54" i="3"/>
  <c r="L75" i="3"/>
  <c r="L165" i="3"/>
  <c r="L195" i="3"/>
  <c r="L203" i="3"/>
  <c r="L211" i="3"/>
  <c r="L219" i="3"/>
  <c r="L227" i="3"/>
  <c r="L235" i="3"/>
  <c r="L243" i="3"/>
  <c r="L251" i="3"/>
  <c r="L64" i="3"/>
  <c r="L89" i="3"/>
  <c r="L120" i="3"/>
  <c r="L125" i="3"/>
  <c r="L138" i="3"/>
  <c r="L176" i="3"/>
  <c r="L187" i="3"/>
  <c r="L47" i="3"/>
  <c r="L71" i="3"/>
  <c r="L87" i="3"/>
  <c r="L96" i="3"/>
  <c r="L105" i="3"/>
  <c r="L170" i="3"/>
  <c r="L181" i="3"/>
  <c r="L194" i="3"/>
  <c r="L202" i="3"/>
  <c r="L210" i="3"/>
  <c r="L218" i="3"/>
  <c r="L226" i="3"/>
  <c r="L234" i="3"/>
  <c r="L242" i="3"/>
  <c r="L55" i="3"/>
  <c r="L164" i="3"/>
  <c r="L185" i="3"/>
  <c r="L240" i="3"/>
  <c r="L247" i="3"/>
  <c r="L92" i="3"/>
  <c r="L139" i="3"/>
  <c r="L15" i="3"/>
  <c r="L48" i="3"/>
  <c r="L61" i="3"/>
  <c r="L128" i="3"/>
  <c r="L154" i="3"/>
  <c r="L172" i="3"/>
  <c r="L193" i="3"/>
  <c r="L199" i="3"/>
  <c r="L205" i="3"/>
  <c r="L225" i="3"/>
  <c r="L231" i="3"/>
  <c r="L237" i="3"/>
  <c r="L22" i="3"/>
  <c r="L45" i="3"/>
  <c r="L83" i="3"/>
  <c r="L101" i="3"/>
  <c r="L169" i="3"/>
  <c r="L137" i="3"/>
  <c r="L95" i="3"/>
  <c r="L126" i="3"/>
  <c r="L152" i="3"/>
  <c r="L156" i="3"/>
  <c r="L174" i="3"/>
  <c r="L177" i="3"/>
  <c r="L190" i="3"/>
  <c r="L196" i="3"/>
  <c r="L216" i="3"/>
  <c r="L222" i="3"/>
  <c r="L228" i="3"/>
  <c r="L107" i="3"/>
  <c r="L117" i="3"/>
  <c r="L147" i="3"/>
  <c r="L158" i="3"/>
  <c r="L161" i="3"/>
  <c r="L179" i="3"/>
  <c r="L201" i="3"/>
  <c r="L21" i="3"/>
  <c r="L224" i="3"/>
  <c r="L230" i="3"/>
  <c r="L232" i="3"/>
  <c r="L236" i="3"/>
  <c r="L238" i="3"/>
  <c r="L184" i="3"/>
  <c r="L43" i="3"/>
  <c r="L239" i="3"/>
  <c r="L78" i="3"/>
  <c r="L59" i="3"/>
  <c r="L146" i="3"/>
  <c r="L153" i="3"/>
  <c r="L186" i="3"/>
  <c r="L76" i="3"/>
  <c r="L136" i="3"/>
  <c r="L212" i="3"/>
  <c r="L248" i="3"/>
  <c r="L250" i="3"/>
  <c r="L191" i="3"/>
  <c r="L168" i="3"/>
  <c r="L6" i="3"/>
  <c r="L65" i="3"/>
  <c r="L81" i="3"/>
  <c r="L132" i="3"/>
  <c r="L140" i="3"/>
  <c r="L188" i="3"/>
  <c r="L197" i="3"/>
  <c r="L246" i="3"/>
  <c r="L133" i="3"/>
  <c r="L206" i="3"/>
  <c r="L220" i="3"/>
  <c r="L244" i="3"/>
  <c r="L144" i="3"/>
  <c r="L163" i="3"/>
  <c r="L200" i="3"/>
  <c r="L198" i="3"/>
  <c r="L97" i="3"/>
  <c r="L162" i="3"/>
  <c r="L253" i="3"/>
  <c r="L204" i="3"/>
  <c r="L208" i="3"/>
  <c r="L214" i="3"/>
  <c r="L31" i="3"/>
  <c r="L233" i="3"/>
  <c r="L104" i="3"/>
  <c r="L99" i="3"/>
  <c r="L189" i="3"/>
  <c r="L33" i="3"/>
  <c r="L93" i="3"/>
  <c r="L108" i="3"/>
  <c r="L157" i="3"/>
  <c r="L241" i="3"/>
  <c r="L245" i="3"/>
  <c r="L111" i="3"/>
  <c r="L85" i="3"/>
  <c r="L110" i="3"/>
  <c r="L39" i="3"/>
  <c r="L131" i="3"/>
  <c r="L88" i="3"/>
  <c r="L209" i="3"/>
  <c r="L213" i="3"/>
  <c r="L217" i="3"/>
  <c r="L221" i="3"/>
  <c r="L229" i="3"/>
  <c r="L100" i="3"/>
  <c r="L192" i="3"/>
  <c r="L252" i="3"/>
  <c r="L149" i="3"/>
  <c r="L178" i="3"/>
  <c r="L68" i="3"/>
  <c r="L115" i="3"/>
  <c r="L134" i="3"/>
  <c r="L123" i="3"/>
  <c r="L28" i="3"/>
  <c r="L166" i="3"/>
  <c r="L223" i="3"/>
  <c r="L145" i="3"/>
  <c r="L180" i="3"/>
  <c r="L254" i="3"/>
  <c r="L72" i="3"/>
  <c r="L173" i="3"/>
  <c r="L207" i="3"/>
  <c r="L249" i="3"/>
  <c r="L215" i="3"/>
  <c r="L127" i="3"/>
  <c r="L94" i="3"/>
  <c r="D6" i="3"/>
  <c r="D14" i="3"/>
  <c r="D22" i="3"/>
  <c r="D30" i="3"/>
  <c r="D38" i="3"/>
  <c r="D46" i="3"/>
  <c r="D54" i="3"/>
  <c r="D62" i="3"/>
  <c r="D70" i="3"/>
  <c r="D78" i="3"/>
  <c r="D86" i="3"/>
  <c r="D94" i="3"/>
  <c r="D33" i="3"/>
  <c r="D44" i="3"/>
  <c r="D72" i="3"/>
  <c r="D83" i="3"/>
  <c r="D16" i="3"/>
  <c r="D27" i="3"/>
  <c r="D55" i="3"/>
  <c r="D66" i="3"/>
  <c r="D77" i="3"/>
  <c r="D10" i="3"/>
  <c r="D21" i="3"/>
  <c r="D49" i="3"/>
  <c r="D60" i="3"/>
  <c r="D37" i="3"/>
  <c r="D43" i="3"/>
  <c r="D93" i="3"/>
  <c r="D110" i="3"/>
  <c r="D118" i="3"/>
  <c r="D126" i="3"/>
  <c r="D134" i="3"/>
  <c r="D13" i="3"/>
  <c r="D19" i="3"/>
  <c r="D25" i="3"/>
  <c r="D31" i="3"/>
  <c r="D52" i="3"/>
  <c r="D58" i="3"/>
  <c r="D79" i="3"/>
  <c r="D7" i="3"/>
  <c r="D28" i="3"/>
  <c r="D34" i="3"/>
  <c r="D40" i="3"/>
  <c r="D61" i="3"/>
  <c r="D68" i="3"/>
  <c r="D75" i="3"/>
  <c r="D82" i="3"/>
  <c r="D100" i="3"/>
  <c r="D104" i="3"/>
  <c r="D109" i="3"/>
  <c r="D117" i="3"/>
  <c r="D8" i="3"/>
  <c r="D20" i="3"/>
  <c r="D71" i="3"/>
  <c r="D76" i="3"/>
  <c r="D108" i="3"/>
  <c r="D139" i="3"/>
  <c r="D147" i="3"/>
  <c r="D155" i="3"/>
  <c r="D163" i="3"/>
  <c r="D171" i="3"/>
  <c r="D179" i="3"/>
  <c r="D187" i="3"/>
  <c r="D57" i="3"/>
  <c r="D127" i="3"/>
  <c r="D48" i="3"/>
  <c r="D59" i="3"/>
  <c r="D95" i="3"/>
  <c r="D105" i="3"/>
  <c r="D132" i="3"/>
  <c r="D138" i="3"/>
  <c r="D146" i="3"/>
  <c r="D154" i="3"/>
  <c r="D24" i="3"/>
  <c r="D35" i="3"/>
  <c r="D85" i="3"/>
  <c r="D111" i="3"/>
  <c r="D92" i="3"/>
  <c r="D137" i="3"/>
  <c r="D174" i="3"/>
  <c r="D185" i="3"/>
  <c r="D45" i="3"/>
  <c r="D99" i="3"/>
  <c r="D103" i="3"/>
  <c r="D113" i="3"/>
  <c r="D124" i="3"/>
  <c r="D143" i="3"/>
  <c r="D150" i="3"/>
  <c r="D157" i="3"/>
  <c r="D168" i="3"/>
  <c r="D191" i="3"/>
  <c r="D199" i="3"/>
  <c r="D207" i="3"/>
  <c r="D215" i="3"/>
  <c r="D223" i="3"/>
  <c r="D231" i="3"/>
  <c r="D239" i="3"/>
  <c r="D247" i="3"/>
  <c r="D50" i="3"/>
  <c r="D140" i="3"/>
  <c r="D153" i="3"/>
  <c r="D162" i="3"/>
  <c r="D18" i="3"/>
  <c r="D69" i="3"/>
  <c r="D101" i="3"/>
  <c r="D115" i="3"/>
  <c r="D129" i="3"/>
  <c r="D173" i="3"/>
  <c r="D184" i="3"/>
  <c r="D190" i="3"/>
  <c r="D198" i="3"/>
  <c r="D206" i="3"/>
  <c r="D214" i="3"/>
  <c r="D222" i="3"/>
  <c r="D230" i="3"/>
  <c r="D238" i="3"/>
  <c r="D246" i="3"/>
  <c r="D26" i="3"/>
  <c r="D32" i="3"/>
  <c r="D141" i="3"/>
  <c r="D23" i="3"/>
  <c r="D102" i="3"/>
  <c r="D74" i="3"/>
  <c r="D89" i="3"/>
  <c r="D98" i="3"/>
  <c r="D107" i="3"/>
  <c r="D131" i="3"/>
  <c r="D189" i="3"/>
  <c r="D195" i="3"/>
  <c r="D201" i="3"/>
  <c r="D221" i="3"/>
  <c r="D227" i="3"/>
  <c r="D233" i="3"/>
  <c r="D242" i="3"/>
  <c r="D151" i="3"/>
  <c r="D9" i="3"/>
  <c r="D36" i="3"/>
  <c r="D39" i="3"/>
  <c r="D42" i="3"/>
  <c r="D65" i="3"/>
  <c r="D80" i="3"/>
  <c r="D112" i="3"/>
  <c r="D135" i="3"/>
  <c r="D149" i="3"/>
  <c r="D158" i="3"/>
  <c r="D176" i="3"/>
  <c r="D245" i="3"/>
  <c r="D249" i="3"/>
  <c r="D253" i="3"/>
  <c r="D90" i="3"/>
  <c r="D160" i="3"/>
  <c r="D12" i="3"/>
  <c r="D29" i="3"/>
  <c r="D122" i="3"/>
  <c r="D133" i="3"/>
  <c r="D192" i="3"/>
  <c r="D212" i="3"/>
  <c r="D218" i="3"/>
  <c r="D224" i="3"/>
  <c r="D120" i="3"/>
  <c r="D186" i="3"/>
  <c r="D197" i="3"/>
  <c r="D203" i="3"/>
  <c r="D64" i="3"/>
  <c r="D145" i="3"/>
  <c r="D11" i="3"/>
  <c r="D91" i="3"/>
  <c r="D128" i="3"/>
  <c r="D204" i="3"/>
  <c r="D208" i="3"/>
  <c r="D210" i="3"/>
  <c r="D216" i="3"/>
  <c r="D178" i="3"/>
  <c r="D194" i="3"/>
  <c r="D205" i="3"/>
  <c r="D211" i="3"/>
  <c r="D217" i="3"/>
  <c r="D219" i="3"/>
  <c r="D225" i="3"/>
  <c r="D130" i="3"/>
  <c r="D47" i="3"/>
  <c r="D170" i="3"/>
  <c r="D177" i="3"/>
  <c r="D193" i="3"/>
  <c r="D202" i="3"/>
  <c r="D175" i="3"/>
  <c r="D88" i="3"/>
  <c r="D209" i="3"/>
  <c r="D148" i="3"/>
  <c r="D180" i="3"/>
  <c r="D183" i="3"/>
  <c r="D87" i="3"/>
  <c r="D144" i="3"/>
  <c r="D200" i="3"/>
  <c r="D229" i="3"/>
  <c r="D235" i="3"/>
  <c r="D237" i="3"/>
  <c r="D182" i="3"/>
  <c r="D213" i="3"/>
  <c r="D241" i="3"/>
  <c r="D250" i="3"/>
  <c r="D252" i="3"/>
  <c r="D254" i="3"/>
  <c r="D67" i="3"/>
  <c r="D123" i="3"/>
  <c r="D166" i="3"/>
  <c r="D56" i="3"/>
  <c r="D142" i="3"/>
  <c r="D196" i="3"/>
  <c r="D243" i="3"/>
  <c r="D114" i="3"/>
  <c r="D161" i="3"/>
  <c r="D63" i="3"/>
  <c r="D226" i="3"/>
  <c r="D234" i="3"/>
  <c r="D167" i="3"/>
  <c r="D51" i="3"/>
  <c r="D121" i="3"/>
  <c r="D172" i="3"/>
  <c r="D188" i="3"/>
  <c r="D156" i="3"/>
  <c r="D15" i="3"/>
  <c r="D17" i="3"/>
  <c r="D73" i="3"/>
  <c r="D119" i="3"/>
  <c r="D53" i="3"/>
  <c r="D232" i="3"/>
  <c r="D159" i="3"/>
  <c r="D116" i="3"/>
  <c r="D152" i="3"/>
  <c r="D181" i="3"/>
  <c r="D248" i="3"/>
  <c r="D81" i="3"/>
  <c r="D169" i="3"/>
  <c r="D96" i="3"/>
  <c r="D136" i="3"/>
  <c r="D220" i="3"/>
  <c r="D164" i="3"/>
  <c r="D228" i="3"/>
  <c r="D97" i="3"/>
  <c r="D236" i="3"/>
  <c r="D125" i="3"/>
  <c r="D165" i="3"/>
  <c r="D244" i="3"/>
  <c r="D41" i="3"/>
  <c r="D240" i="3"/>
  <c r="D106" i="3"/>
  <c r="D84" i="3"/>
  <c r="D251" i="3"/>
  <c r="B3" i="4" a="1"/>
  <c r="B3" i="4" s="1"/>
  <c r="B4" i="4" s="1" a="1"/>
  <c r="B3" i="3" a="1"/>
  <c r="B3" i="3" s="1"/>
  <c r="F8" i="2"/>
  <c r="F3" i="2" s="1" a="1"/>
  <c r="F3" i="2" s="1"/>
  <c r="F4" i="2" s="1"/>
  <c r="P8" i="2"/>
  <c r="P3" i="2" s="1" a="1"/>
  <c r="P3" i="2" s="1"/>
  <c r="P4" i="2" s="1"/>
  <c r="N8" i="2"/>
  <c r="N3" i="2" s="1" a="1"/>
  <c r="N3" i="2" s="1"/>
  <c r="N4" i="2" s="1"/>
  <c r="J8" i="2"/>
  <c r="J3" i="2" s="1" a="1"/>
  <c r="J3" i="2" s="1"/>
  <c r="J4" i="2" s="1"/>
  <c r="H8" i="2"/>
  <c r="H3" i="2" s="1" a="1"/>
  <c r="H3" i="2" s="1"/>
  <c r="H4" i="2" s="1"/>
  <c r="G8" i="2"/>
  <c r="G3" i="2" s="1" a="1"/>
  <c r="G3" i="2" s="1"/>
  <c r="G4" i="2" s="1"/>
  <c r="E8" i="2"/>
  <c r="E3" i="2" s="1" a="1"/>
  <c r="E3" i="2" s="1"/>
  <c r="E4" i="2" s="1"/>
  <c r="K8" i="2"/>
  <c r="K3" i="2" s="1" a="1"/>
  <c r="K3" i="2" s="1"/>
  <c r="K4" i="2" s="1"/>
  <c r="M8" i="2"/>
  <c r="M3" i="2" s="1" a="1"/>
  <c r="M3" i="2" s="1"/>
  <c r="M4" i="2" s="1"/>
  <c r="I8" i="2"/>
  <c r="I3" i="2" s="1" a="1"/>
  <c r="I3" i="2" s="1"/>
  <c r="I4" i="2" s="1"/>
  <c r="O8" i="2"/>
  <c r="O3" i="2" s="1" a="1"/>
  <c r="O3" i="2" s="1"/>
  <c r="O4" i="2" s="1"/>
  <c r="L8" i="2"/>
  <c r="L3" i="2" s="1" a="1"/>
  <c r="L3" i="2" s="1"/>
  <c r="L4" i="2" s="1"/>
  <c r="D8" i="2"/>
  <c r="D5" i="3" s="1"/>
  <c r="C8" i="2"/>
  <c r="C3" i="2" s="1" a="1"/>
  <c r="C3" i="2" s="1"/>
  <c r="C4" i="2" s="1"/>
  <c r="A8" i="2"/>
  <c r="B6" i="2" a="1"/>
  <c r="B6" i="2" s="1"/>
  <c r="J5" i="3" l="1"/>
  <c r="F5" i="3"/>
  <c r="N25" i="5" s="1" a="1"/>
  <c r="N25" i="5" s="1"/>
  <c r="N21" i="5" a="1"/>
  <c r="N21" i="5" s="1"/>
  <c r="P21" i="5" a="1"/>
  <c r="P21" i="5" s="1"/>
  <c r="T25" i="5" a="1"/>
  <c r="T25" i="5" s="1"/>
  <c r="T29" i="5" a="1"/>
  <c r="T29" i="5" s="1"/>
  <c r="P23" i="5" a="1"/>
  <c r="P23" i="5" s="1"/>
  <c r="P29" i="5" a="1"/>
  <c r="P29" i="5" s="1"/>
  <c r="T23" i="5" a="1"/>
  <c r="T23" i="5" s="1"/>
  <c r="N29" i="5" a="1"/>
  <c r="N29" i="5" s="1"/>
  <c r="T21" i="5" a="1"/>
  <c r="T21" i="5" s="1"/>
  <c r="P25" i="5" a="1"/>
  <c r="P25" i="5" s="1"/>
  <c r="N23" i="5" a="1"/>
  <c r="N23" i="5" s="1"/>
  <c r="L2" i="5"/>
  <c r="L3" i="5" s="1" a="1"/>
  <c r="L3" i="5" s="1"/>
  <c r="N5" i="5" a="1"/>
  <c r="N5" i="5" s="1"/>
  <c r="N3" i="5" a="1"/>
  <c r="N3" i="5" s="1"/>
  <c r="N11" i="5" a="1"/>
  <c r="N11" i="5" s="1"/>
  <c r="T11" i="5" a="1"/>
  <c r="T11" i="5" s="1"/>
  <c r="P3" i="5" a="1"/>
  <c r="P3" i="5" s="1"/>
  <c r="P5" i="5" a="1"/>
  <c r="P5" i="5" s="1"/>
  <c r="P11" i="5" a="1"/>
  <c r="P11" i="5" s="1"/>
  <c r="T5" i="5" a="1"/>
  <c r="T5" i="5" s="1"/>
  <c r="P7" i="5" a="1"/>
  <c r="P7" i="5" s="1"/>
  <c r="T7" i="5" a="1"/>
  <c r="T7" i="5" s="1"/>
  <c r="T3" i="5" a="1"/>
  <c r="T3" i="5" s="1"/>
  <c r="N7" i="5" a="1"/>
  <c r="N7" i="5" s="1"/>
  <c r="O5" i="3"/>
  <c r="M5" i="3"/>
  <c r="M5" i="4" s="1"/>
  <c r="M6" i="4" s="1"/>
  <c r="M7" i="4" s="1"/>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M33" i="4" s="1"/>
  <c r="M34" i="4" s="1"/>
  <c r="M35" i="4" s="1"/>
  <c r="M36" i="4" s="1"/>
  <c r="M37" i="4" s="1"/>
  <c r="M38" i="4" s="1"/>
  <c r="M39" i="4" s="1"/>
  <c r="M40" i="4" s="1"/>
  <c r="M41" i="4" s="1"/>
  <c r="M42" i="4" s="1"/>
  <c r="M43" i="4" s="1"/>
  <c r="M44" i="4" s="1"/>
  <c r="M45" i="4" s="1"/>
  <c r="M46" i="4" s="1"/>
  <c r="M47" i="4" s="1"/>
  <c r="M48" i="4" s="1"/>
  <c r="M49" i="4" s="1"/>
  <c r="M50" i="4" s="1"/>
  <c r="M51" i="4" s="1"/>
  <c r="M52" i="4" s="1"/>
  <c r="M53" i="4" s="1"/>
  <c r="M54" i="4" s="1"/>
  <c r="M55" i="4" s="1"/>
  <c r="M56" i="4" s="1"/>
  <c r="M57" i="4" s="1"/>
  <c r="M58" i="4" s="1"/>
  <c r="M59" i="4" s="1"/>
  <c r="M60" i="4" s="1"/>
  <c r="M61" i="4" s="1"/>
  <c r="M62" i="4" s="1"/>
  <c r="M63" i="4" s="1"/>
  <c r="M64" i="4" s="1"/>
  <c r="M65" i="4" s="1"/>
  <c r="M66" i="4" s="1"/>
  <c r="M67" i="4" s="1"/>
  <c r="M68" i="4" s="1"/>
  <c r="M69" i="4" s="1"/>
  <c r="M70" i="4" s="1"/>
  <c r="M71" i="4" s="1"/>
  <c r="M72" i="4" s="1"/>
  <c r="M73" i="4" s="1"/>
  <c r="M74" i="4" s="1"/>
  <c r="M75" i="4" s="1"/>
  <c r="M76" i="4" s="1"/>
  <c r="M77" i="4" s="1"/>
  <c r="M78" i="4" s="1"/>
  <c r="M79" i="4" s="1"/>
  <c r="M80" i="4" s="1"/>
  <c r="M81" i="4" s="1"/>
  <c r="M82" i="4" s="1"/>
  <c r="M83" i="4" s="1"/>
  <c r="M84" i="4" s="1"/>
  <c r="M85" i="4" s="1"/>
  <c r="M86" i="4" s="1"/>
  <c r="M87" i="4" s="1"/>
  <c r="M88" i="4" s="1"/>
  <c r="M89" i="4" s="1"/>
  <c r="M90" i="4" s="1"/>
  <c r="M91" i="4" s="1"/>
  <c r="M92" i="4" s="1"/>
  <c r="M93" i="4" s="1"/>
  <c r="M94" i="4" s="1"/>
  <c r="M95" i="4" s="1"/>
  <c r="M96" i="4" s="1"/>
  <c r="M97" i="4" s="1"/>
  <c r="M98" i="4" s="1"/>
  <c r="M99" i="4" s="1"/>
  <c r="M100" i="4" s="1"/>
  <c r="M101" i="4" s="1"/>
  <c r="M102" i="4" s="1"/>
  <c r="M103" i="4" s="1"/>
  <c r="M104" i="4" s="1"/>
  <c r="M105" i="4" s="1"/>
  <c r="M106" i="4" s="1"/>
  <c r="M107" i="4" s="1"/>
  <c r="M108" i="4" s="1"/>
  <c r="M109" i="4" s="1"/>
  <c r="M110" i="4" s="1"/>
  <c r="M111" i="4" s="1"/>
  <c r="M112" i="4" s="1"/>
  <c r="M113" i="4" s="1"/>
  <c r="M114" i="4" s="1"/>
  <c r="M115" i="4" s="1"/>
  <c r="M116" i="4" s="1"/>
  <c r="M117" i="4" s="1"/>
  <c r="M118" i="4" s="1"/>
  <c r="M119" i="4" s="1"/>
  <c r="M120" i="4" s="1"/>
  <c r="M121" i="4" s="1"/>
  <c r="M122" i="4" s="1"/>
  <c r="M123" i="4" s="1"/>
  <c r="M124" i="4" s="1"/>
  <c r="M125" i="4" s="1"/>
  <c r="M126" i="4" s="1"/>
  <c r="M127" i="4" s="1"/>
  <c r="M128" i="4" s="1"/>
  <c r="M129" i="4" s="1"/>
  <c r="M130" i="4" s="1"/>
  <c r="M131" i="4" s="1"/>
  <c r="M132" i="4" s="1"/>
  <c r="M133" i="4" s="1"/>
  <c r="M134" i="4" s="1"/>
  <c r="M135" i="4" s="1"/>
  <c r="M136" i="4" s="1"/>
  <c r="M137" i="4" s="1"/>
  <c r="M138" i="4" s="1"/>
  <c r="M139" i="4" s="1"/>
  <c r="M140" i="4" s="1"/>
  <c r="M141" i="4" s="1"/>
  <c r="M142" i="4" s="1"/>
  <c r="M143" i="4" s="1"/>
  <c r="M144" i="4" s="1"/>
  <c r="M145" i="4" s="1"/>
  <c r="M146" i="4" s="1"/>
  <c r="M147" i="4" s="1"/>
  <c r="M148" i="4" s="1"/>
  <c r="M149" i="4" s="1"/>
  <c r="M150" i="4" s="1"/>
  <c r="M151" i="4" s="1"/>
  <c r="M152" i="4" s="1"/>
  <c r="M153" i="4" s="1"/>
  <c r="M154" i="4" s="1"/>
  <c r="M155" i="4" s="1"/>
  <c r="M156" i="4" s="1"/>
  <c r="M157" i="4" s="1"/>
  <c r="M158" i="4" s="1"/>
  <c r="M159" i="4" s="1"/>
  <c r="M160" i="4" s="1"/>
  <c r="M161" i="4" s="1"/>
  <c r="M162" i="4" s="1"/>
  <c r="M163" i="4" s="1"/>
  <c r="M164" i="4" s="1"/>
  <c r="M165" i="4" s="1"/>
  <c r="M166" i="4" s="1"/>
  <c r="M167" i="4" s="1"/>
  <c r="M168" i="4" s="1"/>
  <c r="M169" i="4" s="1"/>
  <c r="M170" i="4" s="1"/>
  <c r="M171" i="4" s="1"/>
  <c r="M172" i="4" s="1"/>
  <c r="M173" i="4" s="1"/>
  <c r="M174" i="4" s="1"/>
  <c r="M175" i="4" s="1"/>
  <c r="M176" i="4" s="1"/>
  <c r="M177" i="4" s="1"/>
  <c r="M178" i="4" s="1"/>
  <c r="M179" i="4" s="1"/>
  <c r="M180" i="4" s="1"/>
  <c r="M181" i="4" s="1"/>
  <c r="M182" i="4" s="1"/>
  <c r="M183" i="4" s="1"/>
  <c r="M184" i="4" s="1"/>
  <c r="M185" i="4" s="1"/>
  <c r="M186" i="4" s="1"/>
  <c r="M187" i="4" s="1"/>
  <c r="M188" i="4" s="1"/>
  <c r="M189" i="4" s="1"/>
  <c r="M190" i="4" s="1"/>
  <c r="M191" i="4" s="1"/>
  <c r="M192" i="4" s="1"/>
  <c r="M193" i="4" s="1"/>
  <c r="M194" i="4" s="1"/>
  <c r="M195" i="4" s="1"/>
  <c r="M196" i="4" s="1"/>
  <c r="M197" i="4" s="1"/>
  <c r="M198" i="4" s="1"/>
  <c r="M199" i="4" s="1"/>
  <c r="M200" i="4" s="1"/>
  <c r="M201" i="4" s="1"/>
  <c r="M202" i="4" s="1"/>
  <c r="M203" i="4" s="1"/>
  <c r="M204" i="4" s="1"/>
  <c r="M205" i="4" s="1"/>
  <c r="M206" i="4" s="1"/>
  <c r="M207" i="4" s="1"/>
  <c r="M208" i="4" s="1"/>
  <c r="M209" i="4" s="1"/>
  <c r="M210" i="4" s="1"/>
  <c r="M211" i="4" s="1"/>
  <c r="M212" i="4" s="1"/>
  <c r="M213" i="4" s="1"/>
  <c r="M214" i="4" s="1"/>
  <c r="M215" i="4" s="1"/>
  <c r="M216" i="4" s="1"/>
  <c r="M217" i="4" s="1"/>
  <c r="M218" i="4" s="1"/>
  <c r="M219" i="4" s="1"/>
  <c r="M220" i="4" s="1"/>
  <c r="M221" i="4" s="1"/>
  <c r="M222" i="4" s="1"/>
  <c r="M223" i="4" s="1"/>
  <c r="M224" i="4" s="1"/>
  <c r="M225" i="4" s="1"/>
  <c r="M226" i="4" s="1"/>
  <c r="M227" i="4" s="1"/>
  <c r="M228" i="4" s="1"/>
  <c r="M229" i="4" s="1"/>
  <c r="M230" i="4" s="1"/>
  <c r="M231" i="4" s="1"/>
  <c r="M232" i="4" s="1"/>
  <c r="M233" i="4" s="1"/>
  <c r="M234" i="4" s="1"/>
  <c r="M235" i="4" s="1"/>
  <c r="M236" i="4" s="1"/>
  <c r="M237" i="4" s="1"/>
  <c r="M238" i="4" s="1"/>
  <c r="M239" i="4" s="1"/>
  <c r="M240" i="4" s="1"/>
  <c r="M241" i="4" s="1"/>
  <c r="M242" i="4" s="1"/>
  <c r="M243" i="4" s="1"/>
  <c r="M244" i="4" s="1"/>
  <c r="M245" i="4" s="1"/>
  <c r="M246" i="4" s="1"/>
  <c r="M247" i="4" s="1"/>
  <c r="M248" i="4" s="1"/>
  <c r="M249" i="4" s="1"/>
  <c r="M250" i="4" s="1"/>
  <c r="M251" i="4" s="1"/>
  <c r="M252" i="4" s="1"/>
  <c r="M253" i="4" s="1"/>
  <c r="M254" i="4" s="1"/>
  <c r="D2" i="3"/>
  <c r="C5" i="3"/>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L5" i="3"/>
  <c r="V31" i="5" s="1" a="1"/>
  <c r="V31" i="5" s="1"/>
  <c r="I5" i="3"/>
  <c r="S23" i="5" s="1" a="1"/>
  <c r="S23" i="5" s="1"/>
  <c r="B4" i="4"/>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 r="B48" i="4" s="1"/>
  <c r="B49" i="4" s="1"/>
  <c r="B50" i="4" s="1"/>
  <c r="B51" i="4" s="1"/>
  <c r="B52" i="4" s="1"/>
  <c r="B53" i="4" s="1"/>
  <c r="B54" i="4" s="1"/>
  <c r="B55" i="4" s="1"/>
  <c r="B56" i="4" s="1"/>
  <c r="B57" i="4" s="1"/>
  <c r="B58" i="4" s="1"/>
  <c r="B59" i="4" s="1"/>
  <c r="B60" i="4" s="1"/>
  <c r="B61" i="4" s="1"/>
  <c r="B62" i="4" s="1"/>
  <c r="B63" i="4" s="1"/>
  <c r="B64" i="4" s="1"/>
  <c r="B65" i="4" s="1"/>
  <c r="B66" i="4" s="1"/>
  <c r="B67" i="4" s="1"/>
  <c r="B68" i="4" s="1"/>
  <c r="B69" i="4" s="1"/>
  <c r="B70" i="4" s="1"/>
  <c r="B71" i="4" s="1"/>
  <c r="B72" i="4" s="1"/>
  <c r="B73" i="4" s="1"/>
  <c r="B74" i="4" s="1"/>
  <c r="B75" i="4" s="1"/>
  <c r="B76" i="4" s="1"/>
  <c r="B77" i="4" s="1"/>
  <c r="B78" i="4" s="1"/>
  <c r="B79" i="4" s="1"/>
  <c r="B80" i="4" s="1"/>
  <c r="B81" i="4" s="1"/>
  <c r="B82" i="4" s="1"/>
  <c r="B83" i="4" s="1"/>
  <c r="B84" i="4" s="1"/>
  <c r="B85" i="4" s="1"/>
  <c r="B86" i="4" s="1"/>
  <c r="B87" i="4" s="1"/>
  <c r="B88" i="4" s="1"/>
  <c r="B89" i="4" s="1"/>
  <c r="B90" i="4" s="1"/>
  <c r="B91" i="4" s="1"/>
  <c r="B92" i="4" s="1"/>
  <c r="B93" i="4" s="1"/>
  <c r="B94" i="4" s="1"/>
  <c r="B95" i="4" s="1"/>
  <c r="B96" i="4" s="1"/>
  <c r="B97" i="4" s="1"/>
  <c r="B98" i="4" s="1"/>
  <c r="B99" i="4" s="1"/>
  <c r="B100" i="4" s="1"/>
  <c r="B101" i="4" s="1"/>
  <c r="B102" i="4" s="1"/>
  <c r="B103" i="4" s="1"/>
  <c r="B104" i="4" s="1"/>
  <c r="B105" i="4" s="1"/>
  <c r="B106" i="4" s="1"/>
  <c r="B107" i="4" s="1"/>
  <c r="B108" i="4" s="1"/>
  <c r="B109" i="4" s="1"/>
  <c r="B110" i="4" s="1"/>
  <c r="B111" i="4" s="1"/>
  <c r="B112" i="4" s="1"/>
  <c r="B113" i="4" s="1"/>
  <c r="B114" i="4" s="1"/>
  <c r="B115" i="4" s="1"/>
  <c r="B116" i="4" s="1"/>
  <c r="B117" i="4" s="1"/>
  <c r="B118" i="4" s="1"/>
  <c r="B119" i="4" s="1"/>
  <c r="B120" i="4" s="1"/>
  <c r="B121" i="4" s="1"/>
  <c r="B122" i="4" s="1"/>
  <c r="B123" i="4" s="1"/>
  <c r="B124" i="4" s="1"/>
  <c r="B125" i="4" s="1"/>
  <c r="B126" i="4" s="1"/>
  <c r="B127" i="4" s="1"/>
  <c r="B128" i="4" s="1"/>
  <c r="B129" i="4" s="1"/>
  <c r="B130" i="4" s="1"/>
  <c r="B131" i="4" s="1"/>
  <c r="B132" i="4" s="1"/>
  <c r="B133" i="4" s="1"/>
  <c r="B134" i="4" s="1"/>
  <c r="B135" i="4" s="1"/>
  <c r="B136" i="4" s="1"/>
  <c r="B137" i="4" s="1"/>
  <c r="B138" i="4" s="1"/>
  <c r="B139" i="4" s="1"/>
  <c r="B140" i="4" s="1"/>
  <c r="B141" i="4" s="1"/>
  <c r="B142" i="4" s="1"/>
  <c r="B143" i="4" s="1"/>
  <c r="B144" i="4" s="1"/>
  <c r="B145" i="4" s="1"/>
  <c r="B146" i="4" s="1"/>
  <c r="B147" i="4" s="1"/>
  <c r="B148" i="4" s="1"/>
  <c r="B149" i="4" s="1"/>
  <c r="B150" i="4" s="1"/>
  <c r="B151" i="4" s="1"/>
  <c r="B152" i="4" s="1"/>
  <c r="B153" i="4" s="1"/>
  <c r="B154" i="4" s="1"/>
  <c r="B155" i="4" s="1"/>
  <c r="B156" i="4" s="1"/>
  <c r="B157" i="4" s="1"/>
  <c r="B158" i="4" s="1"/>
  <c r="B159" i="4" s="1"/>
  <c r="B160" i="4" s="1"/>
  <c r="B161" i="4" s="1"/>
  <c r="B162" i="4" s="1"/>
  <c r="B163" i="4" s="1"/>
  <c r="B164" i="4" s="1"/>
  <c r="B165" i="4" s="1"/>
  <c r="B166" i="4" s="1"/>
  <c r="B167" i="4" s="1"/>
  <c r="B168" i="4" s="1"/>
  <c r="B169" i="4" s="1"/>
  <c r="B170" i="4" s="1"/>
  <c r="B171" i="4" s="1"/>
  <c r="B172" i="4" s="1"/>
  <c r="B173" i="4" s="1"/>
  <c r="B174" i="4" s="1"/>
  <c r="B175" i="4" s="1"/>
  <c r="B176" i="4" s="1"/>
  <c r="B177" i="4" s="1"/>
  <c r="B178" i="4" s="1"/>
  <c r="B179" i="4" s="1"/>
  <c r="B180" i="4" s="1"/>
  <c r="B181" i="4" s="1"/>
  <c r="B182" i="4" s="1"/>
  <c r="B183" i="4" s="1"/>
  <c r="B184" i="4" s="1"/>
  <c r="B185" i="4" s="1"/>
  <c r="B186" i="4" s="1"/>
  <c r="B187" i="4" s="1"/>
  <c r="B188" i="4" s="1"/>
  <c r="B189" i="4" s="1"/>
  <c r="B190" i="4" s="1"/>
  <c r="B191" i="4" s="1"/>
  <c r="B192" i="4" s="1"/>
  <c r="B193" i="4" s="1"/>
  <c r="B194" i="4" s="1"/>
  <c r="B195" i="4" s="1"/>
  <c r="B196" i="4" s="1"/>
  <c r="B197" i="4" s="1"/>
  <c r="B198" i="4" s="1"/>
  <c r="B199" i="4" s="1"/>
  <c r="B200" i="4" s="1"/>
  <c r="B201" i="4" s="1"/>
  <c r="B202" i="4" s="1"/>
  <c r="B203" i="4" s="1"/>
  <c r="B204" i="4" s="1"/>
  <c r="B205" i="4" s="1"/>
  <c r="B206" i="4" s="1"/>
  <c r="B207" i="4" s="1"/>
  <c r="B208" i="4" s="1"/>
  <c r="B209" i="4" s="1"/>
  <c r="B210" i="4" s="1"/>
  <c r="B211" i="4" s="1"/>
  <c r="B212" i="4" s="1"/>
  <c r="B213" i="4" s="1"/>
  <c r="B214" i="4" s="1"/>
  <c r="B215" i="4" s="1"/>
  <c r="B216" i="4" s="1"/>
  <c r="B217" i="4" s="1"/>
  <c r="B218" i="4" s="1"/>
  <c r="B219" i="4" s="1"/>
  <c r="B220" i="4" s="1"/>
  <c r="B221" i="4" s="1"/>
  <c r="B222" i="4" s="1"/>
  <c r="B223" i="4" s="1"/>
  <c r="B224" i="4" s="1"/>
  <c r="B225" i="4" s="1"/>
  <c r="B226" i="4" s="1"/>
  <c r="B227" i="4" s="1"/>
  <c r="B228" i="4" s="1"/>
  <c r="B229" i="4" s="1"/>
  <c r="B230" i="4" s="1"/>
  <c r="B231" i="4" s="1"/>
  <c r="B232" i="4" s="1"/>
  <c r="B233" i="4" s="1"/>
  <c r="B234" i="4" s="1"/>
  <c r="B235" i="4" s="1"/>
  <c r="B236" i="4" s="1"/>
  <c r="B237" i="4" s="1"/>
  <c r="B238" i="4" s="1"/>
  <c r="B239" i="4" s="1"/>
  <c r="B240" i="4" s="1"/>
  <c r="B241" i="4" s="1"/>
  <c r="B242" i="4" s="1"/>
  <c r="B243" i="4" s="1"/>
  <c r="B244" i="4" s="1"/>
  <c r="B245" i="4" s="1"/>
  <c r="B246" i="4" s="1"/>
  <c r="B247" i="4" s="1"/>
  <c r="B248" i="4" s="1"/>
  <c r="B249" i="4" s="1"/>
  <c r="B250" i="4" s="1"/>
  <c r="B251" i="4" s="1"/>
  <c r="B252" i="4" s="1"/>
  <c r="B253" i="4" s="1"/>
  <c r="B254" i="4" s="1"/>
  <c r="J5" i="4"/>
  <c r="J6" i="4" s="1"/>
  <c r="J7" i="4" s="1"/>
  <c r="J8" i="4" s="1"/>
  <c r="J9" i="4" s="1"/>
  <c r="J10" i="4" s="1"/>
  <c r="J11" i="4" s="1"/>
  <c r="J12" i="4" s="1"/>
  <c r="J13" i="4" s="1"/>
  <c r="J14" i="4" s="1"/>
  <c r="J15" i="4" s="1"/>
  <c r="J16" i="4" s="1"/>
  <c r="J17" i="4" s="1"/>
  <c r="J18" i="4" s="1"/>
  <c r="J19" i="4" s="1"/>
  <c r="J20" i="4" s="1"/>
  <c r="J21" i="4" s="1"/>
  <c r="J22" i="4" s="1"/>
  <c r="J23" i="4" s="1"/>
  <c r="J24" i="4" s="1"/>
  <c r="J25" i="4" s="1"/>
  <c r="J26" i="4" s="1"/>
  <c r="J27" i="4" s="1"/>
  <c r="J28" i="4" s="1"/>
  <c r="J29" i="4" s="1"/>
  <c r="J30" i="4" s="1"/>
  <c r="J31" i="4" s="1"/>
  <c r="J32" i="4" s="1"/>
  <c r="J33" i="4" s="1"/>
  <c r="J34" i="4" s="1"/>
  <c r="J35" i="4" s="1"/>
  <c r="J36" i="4" s="1"/>
  <c r="J37" i="4" s="1"/>
  <c r="J38" i="4" s="1"/>
  <c r="J39" i="4" s="1"/>
  <c r="J40" i="4" s="1"/>
  <c r="J41" i="4" s="1"/>
  <c r="J42" i="4" s="1"/>
  <c r="J43" i="4" s="1"/>
  <c r="J44" i="4" s="1"/>
  <c r="J45" i="4" s="1"/>
  <c r="J46" i="4" s="1"/>
  <c r="J47" i="4" s="1"/>
  <c r="J48" i="4" s="1"/>
  <c r="J49" i="4" s="1"/>
  <c r="J50" i="4" s="1"/>
  <c r="J51" i="4" s="1"/>
  <c r="J52" i="4" s="1"/>
  <c r="J53" i="4" s="1"/>
  <c r="J54" i="4" s="1"/>
  <c r="J55" i="4" s="1"/>
  <c r="J56" i="4" s="1"/>
  <c r="J57" i="4" s="1"/>
  <c r="J58" i="4" s="1"/>
  <c r="J59" i="4" s="1"/>
  <c r="J60" i="4" s="1"/>
  <c r="J61" i="4" s="1"/>
  <c r="J62" i="4" s="1"/>
  <c r="J63" i="4" s="1"/>
  <c r="J64" i="4" s="1"/>
  <c r="J65" i="4" s="1"/>
  <c r="J66" i="4" s="1"/>
  <c r="J67" i="4" s="1"/>
  <c r="J68" i="4" s="1"/>
  <c r="J69" i="4" s="1"/>
  <c r="J70" i="4" s="1"/>
  <c r="J71" i="4" s="1"/>
  <c r="J72" i="4" s="1"/>
  <c r="J73" i="4" s="1"/>
  <c r="J74" i="4" s="1"/>
  <c r="J75" i="4" s="1"/>
  <c r="J76" i="4" s="1"/>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J105" i="4" s="1"/>
  <c r="J106" i="4" s="1"/>
  <c r="J107" i="4" s="1"/>
  <c r="J108" i="4" s="1"/>
  <c r="J109" i="4" s="1"/>
  <c r="J110" i="4" s="1"/>
  <c r="J111" i="4" s="1"/>
  <c r="J112" i="4" s="1"/>
  <c r="J113" i="4" s="1"/>
  <c r="J114" i="4" s="1"/>
  <c r="J115" i="4" s="1"/>
  <c r="J116" i="4" s="1"/>
  <c r="J117" i="4" s="1"/>
  <c r="J118" i="4" s="1"/>
  <c r="J119" i="4" s="1"/>
  <c r="J120" i="4" s="1"/>
  <c r="J121" i="4" s="1"/>
  <c r="J122" i="4" s="1"/>
  <c r="J123" i="4" s="1"/>
  <c r="J124" i="4" s="1"/>
  <c r="J125" i="4" s="1"/>
  <c r="J126" i="4" s="1"/>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J172" i="4" s="1"/>
  <c r="J173" i="4" s="1"/>
  <c r="J174" i="4" s="1"/>
  <c r="J175" i="4" s="1"/>
  <c r="J176" i="4" s="1"/>
  <c r="J177" i="4" s="1"/>
  <c r="J178" i="4" s="1"/>
  <c r="J179" i="4" s="1"/>
  <c r="J180" i="4" s="1"/>
  <c r="J181" i="4" s="1"/>
  <c r="J182" i="4" s="1"/>
  <c r="J183" i="4" s="1"/>
  <c r="J184" i="4" s="1"/>
  <c r="J185" i="4" s="1"/>
  <c r="J186" i="4" s="1"/>
  <c r="J187" i="4" s="1"/>
  <c r="J188" i="4" s="1"/>
  <c r="J189" i="4" s="1"/>
  <c r="J190" i="4" s="1"/>
  <c r="J191" i="4" s="1"/>
  <c r="J192" i="4" s="1"/>
  <c r="J193" i="4" s="1"/>
  <c r="J194" i="4" s="1"/>
  <c r="J195" i="4" s="1"/>
  <c r="J196" i="4" s="1"/>
  <c r="J197" i="4" s="1"/>
  <c r="J198" i="4" s="1"/>
  <c r="J199" i="4" s="1"/>
  <c r="J200" i="4" s="1"/>
  <c r="J201" i="4" s="1"/>
  <c r="J202" i="4" s="1"/>
  <c r="J203" i="4" s="1"/>
  <c r="J204" i="4" s="1"/>
  <c r="J205" i="4" s="1"/>
  <c r="J206" i="4" s="1"/>
  <c r="J207" i="4" s="1"/>
  <c r="J208" i="4" s="1"/>
  <c r="J209" i="4" s="1"/>
  <c r="J210" i="4" s="1"/>
  <c r="J211" i="4" s="1"/>
  <c r="J212" i="4" s="1"/>
  <c r="J213" i="4" s="1"/>
  <c r="J214" i="4" s="1"/>
  <c r="J215" i="4" s="1"/>
  <c r="J216" i="4" s="1"/>
  <c r="J217" i="4" s="1"/>
  <c r="J218" i="4" s="1"/>
  <c r="J219" i="4" s="1"/>
  <c r="J220" i="4" s="1"/>
  <c r="J221" i="4" s="1"/>
  <c r="J222" i="4" s="1"/>
  <c r="J223" i="4" s="1"/>
  <c r="J224" i="4" s="1"/>
  <c r="J225" i="4" s="1"/>
  <c r="J226" i="4" s="1"/>
  <c r="J227" i="4" s="1"/>
  <c r="J228" i="4" s="1"/>
  <c r="J229" i="4" s="1"/>
  <c r="J230" i="4" s="1"/>
  <c r="J231" i="4" s="1"/>
  <c r="J232" i="4" s="1"/>
  <c r="J233" i="4" s="1"/>
  <c r="J234" i="4" s="1"/>
  <c r="J235" i="4" s="1"/>
  <c r="J236" i="4" s="1"/>
  <c r="J237" i="4" s="1"/>
  <c r="J238" i="4" s="1"/>
  <c r="J239" i="4" s="1"/>
  <c r="J240" i="4" s="1"/>
  <c r="J241" i="4" s="1"/>
  <c r="J242" i="4" s="1"/>
  <c r="J243" i="4" s="1"/>
  <c r="J244" i="4" s="1"/>
  <c r="J245" i="4" s="1"/>
  <c r="J246" i="4" s="1"/>
  <c r="J247" i="4" s="1"/>
  <c r="J248" i="4" s="1"/>
  <c r="J249" i="4" s="1"/>
  <c r="J250" i="4" s="1"/>
  <c r="J251" i="4" s="1"/>
  <c r="J252" i="4" s="1"/>
  <c r="J253" i="4" s="1"/>
  <c r="J254" i="4" s="1"/>
  <c r="D5" i="4"/>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D102" i="4" s="1"/>
  <c r="D103" i="4" s="1"/>
  <c r="D104" i="4" s="1"/>
  <c r="D105" i="4" s="1"/>
  <c r="D106" i="4" s="1"/>
  <c r="D107" i="4" s="1"/>
  <c r="D108" i="4" s="1"/>
  <c r="D109" i="4" s="1"/>
  <c r="D110" i="4" s="1"/>
  <c r="D111" i="4" s="1"/>
  <c r="D112" i="4" s="1"/>
  <c r="D113" i="4" s="1"/>
  <c r="D114" i="4" s="1"/>
  <c r="D115" i="4" s="1"/>
  <c r="D116" i="4" s="1"/>
  <c r="D117" i="4" s="1"/>
  <c r="D118" i="4" s="1"/>
  <c r="D119" i="4" s="1"/>
  <c r="D120" i="4" s="1"/>
  <c r="D121" i="4" s="1"/>
  <c r="D122" i="4" s="1"/>
  <c r="D123" i="4" s="1"/>
  <c r="D124" i="4" s="1"/>
  <c r="D125" i="4" s="1"/>
  <c r="D126" i="4" s="1"/>
  <c r="D127" i="4" s="1"/>
  <c r="D128" i="4" s="1"/>
  <c r="D129" i="4" s="1"/>
  <c r="D130" i="4" s="1"/>
  <c r="D131" i="4" s="1"/>
  <c r="D132" i="4" s="1"/>
  <c r="D133" i="4" s="1"/>
  <c r="D134" i="4" s="1"/>
  <c r="D135" i="4" s="1"/>
  <c r="D136" i="4" s="1"/>
  <c r="D137" i="4" s="1"/>
  <c r="D138" i="4" s="1"/>
  <c r="D139" i="4" s="1"/>
  <c r="D140" i="4" s="1"/>
  <c r="D141" i="4" s="1"/>
  <c r="D142" i="4" s="1"/>
  <c r="D143" i="4" s="1"/>
  <c r="D144" i="4" s="1"/>
  <c r="D145" i="4" s="1"/>
  <c r="D146" i="4" s="1"/>
  <c r="D147" i="4" s="1"/>
  <c r="D148" i="4" s="1"/>
  <c r="D149" i="4" s="1"/>
  <c r="D150" i="4" s="1"/>
  <c r="D151" i="4" s="1"/>
  <c r="D152" i="4" s="1"/>
  <c r="D153" i="4" s="1"/>
  <c r="D154" i="4" s="1"/>
  <c r="D155" i="4" s="1"/>
  <c r="D156" i="4" s="1"/>
  <c r="D157" i="4" s="1"/>
  <c r="D158" i="4" s="1"/>
  <c r="D159" i="4" s="1"/>
  <c r="D160" i="4" s="1"/>
  <c r="D161" i="4" s="1"/>
  <c r="D162" i="4" s="1"/>
  <c r="D163" i="4" s="1"/>
  <c r="D164" i="4" s="1"/>
  <c r="D165" i="4" s="1"/>
  <c r="D166" i="4" s="1"/>
  <c r="D167" i="4" s="1"/>
  <c r="D168" i="4" s="1"/>
  <c r="D169" i="4" s="1"/>
  <c r="D170" i="4" s="1"/>
  <c r="D171" i="4" s="1"/>
  <c r="D172" i="4" s="1"/>
  <c r="D173" i="4" s="1"/>
  <c r="D174" i="4" s="1"/>
  <c r="D175" i="4" s="1"/>
  <c r="D176" i="4" s="1"/>
  <c r="D177" i="4" s="1"/>
  <c r="D178" i="4" s="1"/>
  <c r="D179" i="4" s="1"/>
  <c r="D180" i="4" s="1"/>
  <c r="D181" i="4" s="1"/>
  <c r="D182" i="4" s="1"/>
  <c r="D183" i="4" s="1"/>
  <c r="D184" i="4" s="1"/>
  <c r="D185" i="4" s="1"/>
  <c r="D186" i="4" s="1"/>
  <c r="D187" i="4" s="1"/>
  <c r="D188" i="4" s="1"/>
  <c r="D189" i="4" s="1"/>
  <c r="D190" i="4" s="1"/>
  <c r="D191" i="4" s="1"/>
  <c r="D192" i="4" s="1"/>
  <c r="D193" i="4" s="1"/>
  <c r="D194" i="4" s="1"/>
  <c r="D195" i="4" s="1"/>
  <c r="D196" i="4" s="1"/>
  <c r="D197" i="4" s="1"/>
  <c r="D198" i="4" s="1"/>
  <c r="D199" i="4" s="1"/>
  <c r="D200" i="4" s="1"/>
  <c r="D201" i="4" s="1"/>
  <c r="D202" i="4" s="1"/>
  <c r="D203" i="4" s="1"/>
  <c r="D204" i="4" s="1"/>
  <c r="D205" i="4" s="1"/>
  <c r="D206" i="4" s="1"/>
  <c r="D207" i="4" s="1"/>
  <c r="D208" i="4" s="1"/>
  <c r="D209" i="4" s="1"/>
  <c r="D210" i="4" s="1"/>
  <c r="D211" i="4" s="1"/>
  <c r="D212" i="4" s="1"/>
  <c r="D213" i="4" s="1"/>
  <c r="D214" i="4" s="1"/>
  <c r="D215" i="4" s="1"/>
  <c r="D216" i="4" s="1"/>
  <c r="D217" i="4" s="1"/>
  <c r="D218" i="4" s="1"/>
  <c r="D219" i="4" s="1"/>
  <c r="D220" i="4" s="1"/>
  <c r="D221" i="4" s="1"/>
  <c r="D222" i="4" s="1"/>
  <c r="D223" i="4" s="1"/>
  <c r="D224" i="4" s="1"/>
  <c r="D225" i="4" s="1"/>
  <c r="D226" i="4" s="1"/>
  <c r="D227" i="4" s="1"/>
  <c r="D228" i="4" s="1"/>
  <c r="D229" i="4" s="1"/>
  <c r="D230" i="4" s="1"/>
  <c r="D231" i="4" s="1"/>
  <c r="D232" i="4" s="1"/>
  <c r="D233" i="4" s="1"/>
  <c r="D234" i="4" s="1"/>
  <c r="D235" i="4" s="1"/>
  <c r="D236" i="4" s="1"/>
  <c r="D237" i="4" s="1"/>
  <c r="D238" i="4" s="1"/>
  <c r="D239" i="4" s="1"/>
  <c r="D240" i="4" s="1"/>
  <c r="D241" i="4" s="1"/>
  <c r="D242" i="4" s="1"/>
  <c r="D243" i="4" s="1"/>
  <c r="D244" i="4" s="1"/>
  <c r="D245" i="4" s="1"/>
  <c r="D246" i="4" s="1"/>
  <c r="D247" i="4" s="1"/>
  <c r="D248" i="4" s="1"/>
  <c r="D249" i="4" s="1"/>
  <c r="D250" i="4" s="1"/>
  <c r="D251" i="4" s="1"/>
  <c r="D252" i="4" s="1"/>
  <c r="D253" i="4" s="1"/>
  <c r="D254" i="4" s="1"/>
  <c r="F5" i="4"/>
  <c r="F6" i="4" s="1"/>
  <c r="F7" i="4" s="1"/>
  <c r="F8" i="4" s="1"/>
  <c r="F9" i="4" s="1"/>
  <c r="F10" i="4" s="1"/>
  <c r="F11" i="4" s="1"/>
  <c r="F12" i="4" s="1"/>
  <c r="F13" i="4" s="1"/>
  <c r="F14" i="4" s="1"/>
  <c r="F15" i="4" s="1"/>
  <c r="F16" i="4" s="1"/>
  <c r="F17" i="4" s="1"/>
  <c r="F18" i="4" s="1"/>
  <c r="F19" i="4" s="1"/>
  <c r="F20" i="4" s="1"/>
  <c r="F21" i="4" s="1"/>
  <c r="F22" i="4" s="1"/>
  <c r="F23" i="4" s="1"/>
  <c r="F24" i="4" s="1"/>
  <c r="F25" i="4" s="1"/>
  <c r="F26" i="4" s="1"/>
  <c r="F27" i="4" s="1"/>
  <c r="F28" i="4" s="1"/>
  <c r="F29" i="4" s="1"/>
  <c r="F30" i="4" s="1"/>
  <c r="F31" i="4" s="1"/>
  <c r="F32" i="4" s="1"/>
  <c r="F33" i="4" s="1"/>
  <c r="F34" i="4" s="1"/>
  <c r="F35" i="4" s="1"/>
  <c r="F36" i="4" s="1"/>
  <c r="F37" i="4" s="1"/>
  <c r="F38" i="4" s="1"/>
  <c r="F39" i="4" s="1"/>
  <c r="F40" i="4" s="1"/>
  <c r="F41" i="4" s="1"/>
  <c r="F42" i="4" s="1"/>
  <c r="F43" i="4" s="1"/>
  <c r="F44" i="4" s="1"/>
  <c r="F45" i="4" s="1"/>
  <c r="F46" i="4" s="1"/>
  <c r="F47" i="4" s="1"/>
  <c r="F48" i="4" s="1"/>
  <c r="F49" i="4" s="1"/>
  <c r="F50" i="4" s="1"/>
  <c r="F51" i="4" s="1"/>
  <c r="F52" i="4" s="1"/>
  <c r="F53" i="4" s="1"/>
  <c r="F54" i="4" s="1"/>
  <c r="F55" i="4" s="1"/>
  <c r="F56" i="4" s="1"/>
  <c r="F57" i="4" s="1"/>
  <c r="F58" i="4" s="1"/>
  <c r="F59" i="4" s="1"/>
  <c r="F60" i="4" s="1"/>
  <c r="F61" i="4" s="1"/>
  <c r="F62" i="4" s="1"/>
  <c r="F63" i="4" s="1"/>
  <c r="F64" i="4" s="1"/>
  <c r="F65" i="4" s="1"/>
  <c r="F66" i="4" s="1"/>
  <c r="F67" i="4" s="1"/>
  <c r="F68" i="4" s="1"/>
  <c r="F69" i="4" s="1"/>
  <c r="F70" i="4" s="1"/>
  <c r="F71" i="4" s="1"/>
  <c r="F72" i="4" s="1"/>
  <c r="F73" i="4" s="1"/>
  <c r="F74" i="4" s="1"/>
  <c r="F75" i="4" s="1"/>
  <c r="F76" i="4" s="1"/>
  <c r="F77" i="4" s="1"/>
  <c r="F78" i="4" s="1"/>
  <c r="F79" i="4" s="1"/>
  <c r="F80" i="4" s="1"/>
  <c r="F81" i="4" s="1"/>
  <c r="F82" i="4" s="1"/>
  <c r="F83" i="4" s="1"/>
  <c r="F84" i="4" s="1"/>
  <c r="F85" i="4" s="1"/>
  <c r="F86" i="4" s="1"/>
  <c r="F87" i="4" s="1"/>
  <c r="F88" i="4" s="1"/>
  <c r="F89" i="4" s="1"/>
  <c r="F90" i="4" s="1"/>
  <c r="F91" i="4" s="1"/>
  <c r="F92" i="4" s="1"/>
  <c r="F93" i="4" s="1"/>
  <c r="F94" i="4" s="1"/>
  <c r="F95" i="4" s="1"/>
  <c r="F96" i="4" s="1"/>
  <c r="F97" i="4" s="1"/>
  <c r="F98" i="4" s="1"/>
  <c r="F99" i="4" s="1"/>
  <c r="F100" i="4" s="1"/>
  <c r="F101" i="4" s="1"/>
  <c r="F102" i="4" s="1"/>
  <c r="F103" i="4" s="1"/>
  <c r="F104" i="4" s="1"/>
  <c r="F105" i="4" s="1"/>
  <c r="F106" i="4" s="1"/>
  <c r="F107" i="4" s="1"/>
  <c r="F108" i="4" s="1"/>
  <c r="F109" i="4" s="1"/>
  <c r="F110" i="4" s="1"/>
  <c r="F111" i="4" s="1"/>
  <c r="F112" i="4" s="1"/>
  <c r="F113" i="4" s="1"/>
  <c r="F114" i="4" s="1"/>
  <c r="F115" i="4" s="1"/>
  <c r="F116" i="4" s="1"/>
  <c r="F117" i="4" s="1"/>
  <c r="F118" i="4" s="1"/>
  <c r="F119" i="4" s="1"/>
  <c r="F120" i="4" s="1"/>
  <c r="F121" i="4" s="1"/>
  <c r="F122" i="4" s="1"/>
  <c r="F123" i="4" s="1"/>
  <c r="F124" i="4" s="1"/>
  <c r="F125" i="4" s="1"/>
  <c r="F126" i="4" s="1"/>
  <c r="F127" i="4" s="1"/>
  <c r="F128" i="4" s="1"/>
  <c r="F129" i="4" s="1"/>
  <c r="F130" i="4" s="1"/>
  <c r="F131" i="4" s="1"/>
  <c r="F132" i="4" s="1"/>
  <c r="F133" i="4" s="1"/>
  <c r="F134" i="4" s="1"/>
  <c r="F135" i="4" s="1"/>
  <c r="F136" i="4" s="1"/>
  <c r="F137" i="4" s="1"/>
  <c r="F138" i="4" s="1"/>
  <c r="F139" i="4" s="1"/>
  <c r="F140" i="4" s="1"/>
  <c r="F141" i="4" s="1"/>
  <c r="F142" i="4" s="1"/>
  <c r="F143" i="4" s="1"/>
  <c r="F144" i="4" s="1"/>
  <c r="F145" i="4" s="1"/>
  <c r="F146" i="4" s="1"/>
  <c r="F147" i="4" s="1"/>
  <c r="F148" i="4" s="1"/>
  <c r="F149" i="4" s="1"/>
  <c r="F150" i="4" s="1"/>
  <c r="F151" i="4" s="1"/>
  <c r="F152" i="4" s="1"/>
  <c r="F153" i="4" s="1"/>
  <c r="F154" i="4" s="1"/>
  <c r="F155" i="4" s="1"/>
  <c r="F156" i="4" s="1"/>
  <c r="F157" i="4" s="1"/>
  <c r="F158" i="4" s="1"/>
  <c r="F159" i="4" s="1"/>
  <c r="F160" i="4" s="1"/>
  <c r="F161" i="4" s="1"/>
  <c r="F162" i="4" s="1"/>
  <c r="F163" i="4" s="1"/>
  <c r="F164" i="4" s="1"/>
  <c r="F165" i="4" s="1"/>
  <c r="F166" i="4" s="1"/>
  <c r="F167" i="4" s="1"/>
  <c r="F168" i="4" s="1"/>
  <c r="F169" i="4" s="1"/>
  <c r="F170" i="4" s="1"/>
  <c r="F171" i="4" s="1"/>
  <c r="F172" i="4" s="1"/>
  <c r="F173" i="4" s="1"/>
  <c r="F174" i="4" s="1"/>
  <c r="F175" i="4" s="1"/>
  <c r="F176" i="4" s="1"/>
  <c r="F177" i="4" s="1"/>
  <c r="F178" i="4" s="1"/>
  <c r="F179" i="4" s="1"/>
  <c r="F180" i="4" s="1"/>
  <c r="F181" i="4" s="1"/>
  <c r="F182" i="4" s="1"/>
  <c r="F183" i="4" s="1"/>
  <c r="F184" i="4" s="1"/>
  <c r="F185" i="4" s="1"/>
  <c r="F186" i="4" s="1"/>
  <c r="F187" i="4" s="1"/>
  <c r="F188" i="4" s="1"/>
  <c r="F189" i="4" s="1"/>
  <c r="F190" i="4" s="1"/>
  <c r="F191" i="4" s="1"/>
  <c r="F192" i="4" s="1"/>
  <c r="F193" i="4" s="1"/>
  <c r="F194" i="4" s="1"/>
  <c r="F195" i="4" s="1"/>
  <c r="F196" i="4" s="1"/>
  <c r="F197" i="4" s="1"/>
  <c r="F198" i="4" s="1"/>
  <c r="F199" i="4" s="1"/>
  <c r="F200" i="4" s="1"/>
  <c r="F201" i="4" s="1"/>
  <c r="F202" i="4" s="1"/>
  <c r="F203" i="4" s="1"/>
  <c r="F204" i="4" s="1"/>
  <c r="F205" i="4" s="1"/>
  <c r="F206" i="4" s="1"/>
  <c r="F207" i="4" s="1"/>
  <c r="F208" i="4" s="1"/>
  <c r="F209" i="4" s="1"/>
  <c r="F210" i="4" s="1"/>
  <c r="F211" i="4" s="1"/>
  <c r="F212" i="4" s="1"/>
  <c r="F213" i="4" s="1"/>
  <c r="F214" i="4" s="1"/>
  <c r="F215" i="4" s="1"/>
  <c r="F216" i="4" s="1"/>
  <c r="F217" i="4" s="1"/>
  <c r="F218" i="4" s="1"/>
  <c r="F219" i="4" s="1"/>
  <c r="F220" i="4" s="1"/>
  <c r="F221" i="4" s="1"/>
  <c r="F222" i="4" s="1"/>
  <c r="F223" i="4" s="1"/>
  <c r="F224" i="4" s="1"/>
  <c r="F225" i="4" s="1"/>
  <c r="F226" i="4" s="1"/>
  <c r="F227" i="4" s="1"/>
  <c r="F228" i="4" s="1"/>
  <c r="F229" i="4" s="1"/>
  <c r="F230" i="4" s="1"/>
  <c r="F231" i="4" s="1"/>
  <c r="F232" i="4" s="1"/>
  <c r="F233" i="4" s="1"/>
  <c r="F234" i="4" s="1"/>
  <c r="F235" i="4" s="1"/>
  <c r="F236" i="4" s="1"/>
  <c r="F237" i="4" s="1"/>
  <c r="F238" i="4" s="1"/>
  <c r="F239" i="4" s="1"/>
  <c r="F240" i="4" s="1"/>
  <c r="F241" i="4" s="1"/>
  <c r="F242" i="4" s="1"/>
  <c r="F243" i="4" s="1"/>
  <c r="F244" i="4" s="1"/>
  <c r="F245" i="4" s="1"/>
  <c r="F246" i="4" s="1"/>
  <c r="F247" i="4" s="1"/>
  <c r="F248" i="4" s="1"/>
  <c r="F249" i="4" s="1"/>
  <c r="F250" i="4" s="1"/>
  <c r="F251" i="4" s="1"/>
  <c r="F252" i="4" s="1"/>
  <c r="F253" i="4" s="1"/>
  <c r="F254" i="4" s="1"/>
  <c r="G5" i="3"/>
  <c r="G2" i="3" s="1"/>
  <c r="B2" i="3"/>
  <c r="E5" i="3"/>
  <c r="E2" i="3" s="1"/>
  <c r="H5" i="3"/>
  <c r="H2" i="3" s="1"/>
  <c r="K5" i="3"/>
  <c r="K2" i="3" s="1"/>
  <c r="B3" i="2" a="1"/>
  <c r="B3" i="2" s="1"/>
  <c r="B4" i="2" s="1"/>
  <c r="H3" i="5" s="1" a="1"/>
  <c r="H3" i="5" s="1"/>
  <c r="G20" i="5" s="1"/>
  <c r="A4" i="4" a="1"/>
  <c r="A4" i="4" s="1"/>
  <c r="A4" i="3" a="1"/>
  <c r="A4" i="3" s="1"/>
  <c r="N5" i="3"/>
  <c r="N2" i="3" s="1"/>
  <c r="P5" i="3"/>
  <c r="P2" i="3" s="1"/>
  <c r="J2" i="3"/>
  <c r="F2" i="3"/>
  <c r="M15" i="5" l="1" a="1"/>
  <c r="M15" i="5" s="1"/>
  <c r="Z12" i="5" a="1"/>
  <c r="Z12" i="5" s="1"/>
  <c r="Q3" i="5" a="1"/>
  <c r="Q3" i="5" s="1"/>
  <c r="Q15" i="5" a="1"/>
  <c r="Q15" i="5" s="1"/>
  <c r="P15" i="5" a="1"/>
  <c r="P15" i="5" s="1"/>
  <c r="Q11" i="5" a="1"/>
  <c r="Q11" i="5" s="1"/>
  <c r="Y22" i="5" a="1"/>
  <c r="Y22" i="5" s="1"/>
  <c r="T8" i="5" a="1"/>
  <c r="T8" i="5" s="1"/>
  <c r="C2" i="3"/>
  <c r="N33" i="5" a="1"/>
  <c r="N33" i="5" s="1"/>
  <c r="T15" i="5" a="1"/>
  <c r="T15" i="5" s="1"/>
  <c r="Z5" i="5" a="1"/>
  <c r="Z5" i="5"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N69" i="4" s="1"/>
  <c r="N70" i="4" s="1"/>
  <c r="N71" i="4" s="1"/>
  <c r="N72" i="4" s="1"/>
  <c r="N73" i="4" s="1"/>
  <c r="N74" i="4" s="1"/>
  <c r="N75" i="4" s="1"/>
  <c r="N76" i="4" s="1"/>
  <c r="N77" i="4" s="1"/>
  <c r="N78" i="4" s="1"/>
  <c r="N79" i="4" s="1"/>
  <c r="N80" i="4" s="1"/>
  <c r="N81" i="4" s="1"/>
  <c r="N82" i="4" s="1"/>
  <c r="N83" i="4" s="1"/>
  <c r="N84" i="4" s="1"/>
  <c r="N85" i="4" s="1"/>
  <c r="N86" i="4" s="1"/>
  <c r="N87" i="4" s="1"/>
  <c r="N88" i="4" s="1"/>
  <c r="N89" i="4" s="1"/>
  <c r="N90" i="4" s="1"/>
  <c r="N91" i="4" s="1"/>
  <c r="N92" i="4" s="1"/>
  <c r="N93" i="4" s="1"/>
  <c r="N94" i="4" s="1"/>
  <c r="N95" i="4" s="1"/>
  <c r="N96" i="4" s="1"/>
  <c r="N97" i="4" s="1"/>
  <c r="N98" i="4" s="1"/>
  <c r="N99" i="4" s="1"/>
  <c r="N100" i="4" s="1"/>
  <c r="N101" i="4" s="1"/>
  <c r="N102" i="4" s="1"/>
  <c r="N103" i="4" s="1"/>
  <c r="N104" i="4" s="1"/>
  <c r="N105" i="4" s="1"/>
  <c r="N106" i="4" s="1"/>
  <c r="N107" i="4" s="1"/>
  <c r="N108" i="4" s="1"/>
  <c r="N109" i="4" s="1"/>
  <c r="N110" i="4" s="1"/>
  <c r="N111" i="4" s="1"/>
  <c r="N112" i="4" s="1"/>
  <c r="N113" i="4" s="1"/>
  <c r="N114" i="4" s="1"/>
  <c r="N115" i="4" s="1"/>
  <c r="N116" i="4" s="1"/>
  <c r="N117" i="4" s="1"/>
  <c r="N118" i="4" s="1"/>
  <c r="N119" i="4" s="1"/>
  <c r="N120" i="4" s="1"/>
  <c r="N121" i="4" s="1"/>
  <c r="N122" i="4" s="1"/>
  <c r="N123" i="4" s="1"/>
  <c r="N124" i="4" s="1"/>
  <c r="N125" i="4" s="1"/>
  <c r="N126" i="4" s="1"/>
  <c r="N127" i="4" s="1"/>
  <c r="N128" i="4" s="1"/>
  <c r="N129" i="4" s="1"/>
  <c r="N130" i="4" s="1"/>
  <c r="N131" i="4" s="1"/>
  <c r="N132" i="4" s="1"/>
  <c r="N133" i="4" s="1"/>
  <c r="N134" i="4" s="1"/>
  <c r="N135" i="4" s="1"/>
  <c r="N136" i="4" s="1"/>
  <c r="N137" i="4" s="1"/>
  <c r="N138" i="4" s="1"/>
  <c r="N139" i="4" s="1"/>
  <c r="N140" i="4" s="1"/>
  <c r="N141" i="4" s="1"/>
  <c r="N142" i="4" s="1"/>
  <c r="N143" i="4" s="1"/>
  <c r="N144" i="4" s="1"/>
  <c r="N145" i="4" s="1"/>
  <c r="N146" i="4" s="1"/>
  <c r="N147" i="4" s="1"/>
  <c r="N148" i="4" s="1"/>
  <c r="N149" i="4" s="1"/>
  <c r="N150" i="4" s="1"/>
  <c r="N151" i="4" s="1"/>
  <c r="N152" i="4" s="1"/>
  <c r="N153" i="4" s="1"/>
  <c r="N154" i="4" s="1"/>
  <c r="N155" i="4" s="1"/>
  <c r="N156" i="4" s="1"/>
  <c r="N157" i="4" s="1"/>
  <c r="N158" i="4" s="1"/>
  <c r="N159" i="4" s="1"/>
  <c r="N160" i="4" s="1"/>
  <c r="N161" i="4" s="1"/>
  <c r="N162" i="4" s="1"/>
  <c r="N163" i="4" s="1"/>
  <c r="N164" i="4" s="1"/>
  <c r="N165" i="4" s="1"/>
  <c r="N166" i="4" s="1"/>
  <c r="N167" i="4" s="1"/>
  <c r="N168" i="4" s="1"/>
  <c r="N169" i="4" s="1"/>
  <c r="N170" i="4" s="1"/>
  <c r="N171" i="4" s="1"/>
  <c r="N172" i="4" s="1"/>
  <c r="N173" i="4" s="1"/>
  <c r="N174" i="4" s="1"/>
  <c r="N175" i="4" s="1"/>
  <c r="N176" i="4" s="1"/>
  <c r="N177" i="4" s="1"/>
  <c r="N178" i="4" s="1"/>
  <c r="N179" i="4" s="1"/>
  <c r="N180" i="4" s="1"/>
  <c r="N181" i="4" s="1"/>
  <c r="N182" i="4" s="1"/>
  <c r="N183" i="4" s="1"/>
  <c r="N184" i="4" s="1"/>
  <c r="N185" i="4" s="1"/>
  <c r="N186" i="4" s="1"/>
  <c r="N187" i="4" s="1"/>
  <c r="N188" i="4" s="1"/>
  <c r="N189" i="4" s="1"/>
  <c r="N190" i="4" s="1"/>
  <c r="N191" i="4" s="1"/>
  <c r="N192" i="4" s="1"/>
  <c r="N193" i="4" s="1"/>
  <c r="N194" i="4" s="1"/>
  <c r="N195" i="4" s="1"/>
  <c r="N196" i="4" s="1"/>
  <c r="N197" i="4" s="1"/>
  <c r="N198" i="4" s="1"/>
  <c r="N199" i="4" s="1"/>
  <c r="N200" i="4" s="1"/>
  <c r="N201" i="4" s="1"/>
  <c r="N202" i="4" s="1"/>
  <c r="N203" i="4" s="1"/>
  <c r="N204" i="4" s="1"/>
  <c r="N205" i="4" s="1"/>
  <c r="N206" i="4" s="1"/>
  <c r="N207" i="4" s="1"/>
  <c r="N208" i="4" s="1"/>
  <c r="N209" i="4" s="1"/>
  <c r="N210" i="4" s="1"/>
  <c r="N211" i="4" s="1"/>
  <c r="N212" i="4" s="1"/>
  <c r="N213" i="4" s="1"/>
  <c r="N214" i="4" s="1"/>
  <c r="N215" i="4" s="1"/>
  <c r="N216" i="4" s="1"/>
  <c r="N217" i="4" s="1"/>
  <c r="N218" i="4" s="1"/>
  <c r="N219" i="4" s="1"/>
  <c r="N220" i="4" s="1"/>
  <c r="N221" i="4" s="1"/>
  <c r="N222" i="4" s="1"/>
  <c r="N223" i="4" s="1"/>
  <c r="N224" i="4" s="1"/>
  <c r="N225" i="4" s="1"/>
  <c r="N226" i="4" s="1"/>
  <c r="N227" i="4" s="1"/>
  <c r="N228" i="4" s="1"/>
  <c r="N229" i="4" s="1"/>
  <c r="N230" i="4" s="1"/>
  <c r="N231" i="4" s="1"/>
  <c r="N232" i="4" s="1"/>
  <c r="N233" i="4" s="1"/>
  <c r="N234" i="4" s="1"/>
  <c r="N235" i="4" s="1"/>
  <c r="N236" i="4" s="1"/>
  <c r="N237" i="4" s="1"/>
  <c r="N238" i="4" s="1"/>
  <c r="N239" i="4" s="1"/>
  <c r="N240" i="4" s="1"/>
  <c r="N241" i="4" s="1"/>
  <c r="N242" i="4" s="1"/>
  <c r="N243" i="4" s="1"/>
  <c r="N244" i="4" s="1"/>
  <c r="N245" i="4" s="1"/>
  <c r="N246" i="4" s="1"/>
  <c r="N247" i="4" s="1"/>
  <c r="N248" i="4" s="1"/>
  <c r="N249" i="4" s="1"/>
  <c r="N250" i="4" s="1"/>
  <c r="N251" i="4" s="1"/>
  <c r="N252" i="4" s="1"/>
  <c r="N253" i="4" s="1"/>
  <c r="N254" i="4" s="1"/>
  <c r="O5" i="4"/>
  <c r="O6" i="4" s="1"/>
  <c r="O7" i="4" s="1"/>
  <c r="O8" i="4" s="1"/>
  <c r="O9" i="4" s="1"/>
  <c r="O10" i="4" s="1"/>
  <c r="O11" i="4" s="1"/>
  <c r="O12" i="4" s="1"/>
  <c r="O13" i="4" s="1"/>
  <c r="O14" i="4" s="1"/>
  <c r="O15" i="4" s="1"/>
  <c r="O16" i="4" s="1"/>
  <c r="O17" i="4" s="1"/>
  <c r="O18" i="4" s="1"/>
  <c r="O19" i="4" s="1"/>
  <c r="O20" i="4" s="1"/>
  <c r="O21" i="4" s="1"/>
  <c r="O22" i="4" s="1"/>
  <c r="O23" i="4" s="1"/>
  <c r="O24" i="4" s="1"/>
  <c r="O25" i="4" s="1"/>
  <c r="O26" i="4" s="1"/>
  <c r="O27" i="4" s="1"/>
  <c r="O28" i="4" s="1"/>
  <c r="O29" i="4" s="1"/>
  <c r="O30" i="4" s="1"/>
  <c r="O31" i="4" s="1"/>
  <c r="O32" i="4" s="1"/>
  <c r="O33" i="4" s="1"/>
  <c r="O34" i="4" s="1"/>
  <c r="O35" i="4" s="1"/>
  <c r="O36" i="4" s="1"/>
  <c r="O37" i="4" s="1"/>
  <c r="O38" i="4" s="1"/>
  <c r="O39" i="4" s="1"/>
  <c r="O40" i="4" s="1"/>
  <c r="O41" i="4" s="1"/>
  <c r="O42" i="4" s="1"/>
  <c r="O43" i="4" s="1"/>
  <c r="O44" i="4" s="1"/>
  <c r="O45" i="4" s="1"/>
  <c r="O46" i="4" s="1"/>
  <c r="O47" i="4" s="1"/>
  <c r="O48" i="4" s="1"/>
  <c r="O49" i="4" s="1"/>
  <c r="O50" i="4" s="1"/>
  <c r="O51" i="4" s="1"/>
  <c r="O52" i="4" s="1"/>
  <c r="O53" i="4" s="1"/>
  <c r="O54" i="4" s="1"/>
  <c r="O55" i="4" s="1"/>
  <c r="O56" i="4" s="1"/>
  <c r="O57" i="4" s="1"/>
  <c r="O58" i="4" s="1"/>
  <c r="O59" i="4" s="1"/>
  <c r="O60" i="4" s="1"/>
  <c r="O61" i="4" s="1"/>
  <c r="O62" i="4" s="1"/>
  <c r="O63" i="4" s="1"/>
  <c r="O64" i="4" s="1"/>
  <c r="O65" i="4" s="1"/>
  <c r="O66" i="4" s="1"/>
  <c r="O67" i="4" s="1"/>
  <c r="O68" i="4" s="1"/>
  <c r="O69" i="4" s="1"/>
  <c r="O70" i="4" s="1"/>
  <c r="O71" i="4" s="1"/>
  <c r="O72" i="4" s="1"/>
  <c r="O73" i="4" s="1"/>
  <c r="O74" i="4" s="1"/>
  <c r="O75" i="4" s="1"/>
  <c r="O76" i="4" s="1"/>
  <c r="O77" i="4" s="1"/>
  <c r="O78" i="4" s="1"/>
  <c r="O79" i="4" s="1"/>
  <c r="O80" i="4" s="1"/>
  <c r="O81" i="4" s="1"/>
  <c r="O82" i="4" s="1"/>
  <c r="O83" i="4" s="1"/>
  <c r="O84" i="4" s="1"/>
  <c r="O85" i="4" s="1"/>
  <c r="O86" i="4" s="1"/>
  <c r="O87" i="4" s="1"/>
  <c r="O88" i="4" s="1"/>
  <c r="O89" i="4" s="1"/>
  <c r="O90" i="4" s="1"/>
  <c r="O91" i="4" s="1"/>
  <c r="O92" i="4" s="1"/>
  <c r="O93" i="4" s="1"/>
  <c r="O94" i="4" s="1"/>
  <c r="O95" i="4" s="1"/>
  <c r="O96" i="4" s="1"/>
  <c r="O97" i="4" s="1"/>
  <c r="O98" i="4" s="1"/>
  <c r="O99" i="4" s="1"/>
  <c r="O100" i="4" s="1"/>
  <c r="O101" i="4" s="1"/>
  <c r="O102" i="4" s="1"/>
  <c r="O103" i="4" s="1"/>
  <c r="O104" i="4" s="1"/>
  <c r="O105" i="4" s="1"/>
  <c r="O106" i="4" s="1"/>
  <c r="O107" i="4" s="1"/>
  <c r="O108" i="4" s="1"/>
  <c r="O109" i="4" s="1"/>
  <c r="O110" i="4" s="1"/>
  <c r="O111" i="4" s="1"/>
  <c r="O112" i="4" s="1"/>
  <c r="O113" i="4" s="1"/>
  <c r="O114" i="4" s="1"/>
  <c r="O115" i="4" s="1"/>
  <c r="O116" i="4" s="1"/>
  <c r="O117" i="4" s="1"/>
  <c r="O118" i="4" s="1"/>
  <c r="O119" i="4" s="1"/>
  <c r="O120" i="4" s="1"/>
  <c r="O121" i="4" s="1"/>
  <c r="O122" i="4" s="1"/>
  <c r="O123" i="4" s="1"/>
  <c r="O124" i="4" s="1"/>
  <c r="O125" i="4" s="1"/>
  <c r="O126" i="4" s="1"/>
  <c r="O127" i="4" s="1"/>
  <c r="O128" i="4" s="1"/>
  <c r="O129" i="4" s="1"/>
  <c r="O130" i="4" s="1"/>
  <c r="O131" i="4" s="1"/>
  <c r="O132" i="4" s="1"/>
  <c r="O133" i="4" s="1"/>
  <c r="O134" i="4" s="1"/>
  <c r="O135" i="4" s="1"/>
  <c r="O136" i="4" s="1"/>
  <c r="O137" i="4" s="1"/>
  <c r="O138" i="4" s="1"/>
  <c r="O139" i="4" s="1"/>
  <c r="O140" i="4" s="1"/>
  <c r="O141" i="4" s="1"/>
  <c r="O142" i="4" s="1"/>
  <c r="O143" i="4" s="1"/>
  <c r="O144" i="4" s="1"/>
  <c r="O145" i="4" s="1"/>
  <c r="O146" i="4" s="1"/>
  <c r="O147" i="4" s="1"/>
  <c r="O148" i="4" s="1"/>
  <c r="O149" i="4" s="1"/>
  <c r="O150" i="4" s="1"/>
  <c r="O151" i="4" s="1"/>
  <c r="O152" i="4" s="1"/>
  <c r="O153" i="4" s="1"/>
  <c r="O154" i="4" s="1"/>
  <c r="O155" i="4" s="1"/>
  <c r="O156" i="4" s="1"/>
  <c r="O157" i="4" s="1"/>
  <c r="O158" i="4" s="1"/>
  <c r="O159" i="4" s="1"/>
  <c r="O160" i="4" s="1"/>
  <c r="O161" i="4" s="1"/>
  <c r="O162" i="4" s="1"/>
  <c r="O163" i="4" s="1"/>
  <c r="O164" i="4" s="1"/>
  <c r="O165" i="4" s="1"/>
  <c r="O166" i="4" s="1"/>
  <c r="O167" i="4" s="1"/>
  <c r="O168" i="4" s="1"/>
  <c r="O169" i="4" s="1"/>
  <c r="O170" i="4" s="1"/>
  <c r="O171" i="4" s="1"/>
  <c r="O172" i="4" s="1"/>
  <c r="O173" i="4" s="1"/>
  <c r="O174" i="4" s="1"/>
  <c r="O175" i="4" s="1"/>
  <c r="O176" i="4" s="1"/>
  <c r="O177" i="4" s="1"/>
  <c r="O178" i="4" s="1"/>
  <c r="O179" i="4" s="1"/>
  <c r="O180" i="4" s="1"/>
  <c r="O181" i="4" s="1"/>
  <c r="O182" i="4" s="1"/>
  <c r="O183" i="4" s="1"/>
  <c r="O184" i="4" s="1"/>
  <c r="O185" i="4" s="1"/>
  <c r="O186" i="4" s="1"/>
  <c r="O187" i="4" s="1"/>
  <c r="O188" i="4" s="1"/>
  <c r="O189" i="4" s="1"/>
  <c r="O190" i="4" s="1"/>
  <c r="O191" i="4" s="1"/>
  <c r="O192" i="4" s="1"/>
  <c r="O193" i="4" s="1"/>
  <c r="O194" i="4" s="1"/>
  <c r="O195" i="4" s="1"/>
  <c r="O196" i="4" s="1"/>
  <c r="O197" i="4" s="1"/>
  <c r="O198" i="4" s="1"/>
  <c r="O199" i="4" s="1"/>
  <c r="O200" i="4" s="1"/>
  <c r="O201" i="4" s="1"/>
  <c r="O202" i="4" s="1"/>
  <c r="O203" i="4" s="1"/>
  <c r="O204" i="4" s="1"/>
  <c r="O205" i="4" s="1"/>
  <c r="O206" i="4" s="1"/>
  <c r="O207" i="4" s="1"/>
  <c r="O208" i="4" s="1"/>
  <c r="O209" i="4" s="1"/>
  <c r="O210" i="4" s="1"/>
  <c r="O211" i="4" s="1"/>
  <c r="O212" i="4" s="1"/>
  <c r="O213" i="4" s="1"/>
  <c r="O214" i="4" s="1"/>
  <c r="O215" i="4" s="1"/>
  <c r="O216" i="4" s="1"/>
  <c r="O217" i="4" s="1"/>
  <c r="O218" i="4" s="1"/>
  <c r="O219" i="4" s="1"/>
  <c r="O220" i="4" s="1"/>
  <c r="O221" i="4" s="1"/>
  <c r="O222" i="4" s="1"/>
  <c r="O223" i="4" s="1"/>
  <c r="O224" i="4" s="1"/>
  <c r="O225" i="4" s="1"/>
  <c r="O226" i="4" s="1"/>
  <c r="O227" i="4" s="1"/>
  <c r="O228" i="4" s="1"/>
  <c r="O229" i="4" s="1"/>
  <c r="O230" i="4" s="1"/>
  <c r="O231" i="4" s="1"/>
  <c r="O232" i="4" s="1"/>
  <c r="O233" i="4" s="1"/>
  <c r="O234" i="4" s="1"/>
  <c r="O235" i="4" s="1"/>
  <c r="O236" i="4" s="1"/>
  <c r="O237" i="4" s="1"/>
  <c r="O238" i="4" s="1"/>
  <c r="O239" i="4" s="1"/>
  <c r="O240" i="4" s="1"/>
  <c r="O241" i="4" s="1"/>
  <c r="O242" i="4" s="1"/>
  <c r="O243" i="4" s="1"/>
  <c r="O244" i="4" s="1"/>
  <c r="O245" i="4" s="1"/>
  <c r="O246" i="4" s="1"/>
  <c r="O247" i="4" s="1"/>
  <c r="O248" i="4" s="1"/>
  <c r="O249" i="4" s="1"/>
  <c r="O250" i="4" s="1"/>
  <c r="O251" i="4" s="1"/>
  <c r="O252" i="4" s="1"/>
  <c r="O253" i="4" s="1"/>
  <c r="O254" i="4" s="1"/>
  <c r="N6" i="5" a="1"/>
  <c r="N6" i="5" s="1"/>
  <c r="X11" i="5" a="1"/>
  <c r="X11" i="5" s="1"/>
  <c r="Z3" i="5" a="1"/>
  <c r="Z3" i="5" s="1"/>
  <c r="X7" i="5" a="1"/>
  <c r="X7" i="5" s="1"/>
  <c r="Z15" i="5" a="1"/>
  <c r="Z15" i="5" s="1"/>
  <c r="X29" i="5" a="1"/>
  <c r="X29" i="5" s="1"/>
  <c r="Z11" i="5" a="1"/>
  <c r="Z11" i="5" s="1"/>
  <c r="Z27" i="5" a="1"/>
  <c r="Z27" i="5" s="1"/>
  <c r="N8" i="5" a="1"/>
  <c r="N8" i="5" s="1"/>
  <c r="N15" i="5" a="1"/>
  <c r="N15" i="5" s="1"/>
  <c r="O25" i="5" a="1"/>
  <c r="O25" i="5" s="1"/>
  <c r="L2" i="3"/>
  <c r="W5" i="5" a="1"/>
  <c r="W5" i="5" s="1"/>
  <c r="M5" i="5" a="1"/>
  <c r="M5" i="5" s="1"/>
  <c r="Z25" i="5" a="1"/>
  <c r="Z25" i="5" s="1"/>
  <c r="X14" i="5" a="1"/>
  <c r="X14" i="5" s="1"/>
  <c r="N16" i="5" a="1"/>
  <c r="N16" i="5" s="1"/>
  <c r="R11" i="5" a="1"/>
  <c r="R11" i="5" s="1"/>
  <c r="Q16" i="5" a="1"/>
  <c r="Q16" i="5" s="1"/>
  <c r="Y11" i="5" a="1"/>
  <c r="Y11" i="5" s="1"/>
  <c r="X32" i="5" a="1"/>
  <c r="X32" i="5" s="1"/>
  <c r="W22" i="5" a="1"/>
  <c r="W22" i="5" s="1"/>
  <c r="W21" i="5" a="1"/>
  <c r="W21" i="5" s="1"/>
  <c r="R13" i="5" a="1"/>
  <c r="R13" i="5" s="1"/>
  <c r="W13" i="5" a="1"/>
  <c r="W13" i="5" s="1"/>
  <c r="S21" i="5" a="1"/>
  <c r="S21" i="5" s="1"/>
  <c r="X33" i="5" a="1"/>
  <c r="X33" i="5" s="1"/>
  <c r="Q9" i="5" a="1"/>
  <c r="Q9" i="5" s="1"/>
  <c r="X9" i="5" a="1"/>
  <c r="X9" i="5" s="1"/>
  <c r="P14" i="5" a="1"/>
  <c r="P14" i="5" s="1"/>
  <c r="Q34" i="5" a="1"/>
  <c r="Q34" i="5" s="1"/>
  <c r="P22" i="5" a="1"/>
  <c r="P22" i="5" s="1"/>
  <c r="R33" i="5" a="1"/>
  <c r="R33" i="5" s="1"/>
  <c r="N12" i="5" a="1"/>
  <c r="N12" i="5" s="1"/>
  <c r="V34" i="5" a="1"/>
  <c r="V34" i="5" s="1"/>
  <c r="V10" i="5" a="1"/>
  <c r="V10" i="5" s="1"/>
  <c r="V5" i="5" a="1"/>
  <c r="V5" i="5" s="1"/>
  <c r="M17" i="5" a="1"/>
  <c r="M17" i="5" s="1"/>
  <c r="O11" i="5" a="1"/>
  <c r="O11" i="5" s="1"/>
  <c r="P13" i="5" a="1"/>
  <c r="P13" i="5" s="1"/>
  <c r="S24" i="5" a="1"/>
  <c r="S24" i="5" s="1"/>
  <c r="N22" i="5" a="1"/>
  <c r="N22" i="5" s="1"/>
  <c r="U29" i="5" a="1"/>
  <c r="U29" i="5" s="1"/>
  <c r="R22" i="5" a="1"/>
  <c r="R22" i="5" s="1"/>
  <c r="Y12" i="5" a="1"/>
  <c r="Y12" i="5" s="1"/>
  <c r="Y8" i="5" a="1"/>
  <c r="Y8" i="5" s="1"/>
  <c r="Y29" i="5" a="1"/>
  <c r="Y29" i="5" s="1"/>
  <c r="N34" i="5" a="1"/>
  <c r="N34" i="5" s="1"/>
  <c r="P28" i="5" a="1"/>
  <c r="P28" i="5" s="1"/>
  <c r="M21" i="5" a="1"/>
  <c r="M21" i="5" s="1"/>
  <c r="G47" i="5"/>
  <c r="U17" i="5" a="1"/>
  <c r="U17" i="5" s="1"/>
  <c r="P26" i="5" a="1"/>
  <c r="P26" i="5" s="1"/>
  <c r="N26" i="5" a="1"/>
  <c r="N26" i="5" s="1"/>
  <c r="T34" i="5" a="1"/>
  <c r="T34" i="5" s="1"/>
  <c r="W30" i="5" a="1"/>
  <c r="W30" i="5" s="1"/>
  <c r="Q12" i="5" a="1"/>
  <c r="Q12" i="5" s="1"/>
  <c r="Q8" i="5" a="1"/>
  <c r="Q8" i="5" s="1"/>
  <c r="Y14" i="5" a="1"/>
  <c r="Y14" i="5" s="1"/>
  <c r="W35" i="5" a="1"/>
  <c r="W35" i="5" s="1"/>
  <c r="O34" i="5" a="1"/>
  <c r="O34" i="5" s="1"/>
  <c r="M24" i="5" a="1"/>
  <c r="M24" i="5" s="1"/>
  <c r="Y32" i="5" a="1"/>
  <c r="Y32" i="5" s="1"/>
  <c r="U10" i="5" a="1"/>
  <c r="U10" i="5" s="1"/>
  <c r="W7" i="5" a="1"/>
  <c r="W7" i="5" s="1"/>
  <c r="L5" i="4"/>
  <c r="L6" i="4" s="1"/>
  <c r="L7" i="4" s="1"/>
  <c r="L8" i="4" s="1"/>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L67" i="4" s="1"/>
  <c r="L68" i="4" s="1"/>
  <c r="L69" i="4" s="1"/>
  <c r="L70" i="4" s="1"/>
  <c r="L71" i="4" s="1"/>
  <c r="L72" i="4" s="1"/>
  <c r="L73" i="4" s="1"/>
  <c r="L74" i="4" s="1"/>
  <c r="L75" i="4" s="1"/>
  <c r="L76" i="4" s="1"/>
  <c r="L77" i="4" s="1"/>
  <c r="L78" i="4" s="1"/>
  <c r="L79" i="4" s="1"/>
  <c r="L80" i="4" s="1"/>
  <c r="L81" i="4" s="1"/>
  <c r="L82" i="4" s="1"/>
  <c r="L83" i="4" s="1"/>
  <c r="L84" i="4" s="1"/>
  <c r="L85" i="4" s="1"/>
  <c r="L86" i="4" s="1"/>
  <c r="L87" i="4" s="1"/>
  <c r="L88" i="4" s="1"/>
  <c r="L89" i="4" s="1"/>
  <c r="L90" i="4" s="1"/>
  <c r="L91" i="4" s="1"/>
  <c r="L92" i="4" s="1"/>
  <c r="L93" i="4" s="1"/>
  <c r="L94" i="4" s="1"/>
  <c r="L95" i="4" s="1"/>
  <c r="L96" i="4" s="1"/>
  <c r="L97" i="4" s="1"/>
  <c r="L98" i="4" s="1"/>
  <c r="L99" i="4" s="1"/>
  <c r="L100" i="4" s="1"/>
  <c r="L101" i="4" s="1"/>
  <c r="L102" i="4" s="1"/>
  <c r="L103" i="4" s="1"/>
  <c r="L104" i="4" s="1"/>
  <c r="L105" i="4" s="1"/>
  <c r="L106" i="4" s="1"/>
  <c r="L107" i="4" s="1"/>
  <c r="L108" i="4" s="1"/>
  <c r="L109" i="4" s="1"/>
  <c r="L110" i="4" s="1"/>
  <c r="L111" i="4" s="1"/>
  <c r="L112" i="4" s="1"/>
  <c r="L113" i="4" s="1"/>
  <c r="L114" i="4" s="1"/>
  <c r="L115" i="4" s="1"/>
  <c r="L116" i="4" s="1"/>
  <c r="L117" i="4" s="1"/>
  <c r="L118" i="4" s="1"/>
  <c r="L119" i="4" s="1"/>
  <c r="L120" i="4" s="1"/>
  <c r="L121" i="4" s="1"/>
  <c r="L122" i="4" s="1"/>
  <c r="L123" i="4" s="1"/>
  <c r="L124" i="4" s="1"/>
  <c r="L125" i="4" s="1"/>
  <c r="L126" i="4" s="1"/>
  <c r="L127" i="4" s="1"/>
  <c r="L128" i="4" s="1"/>
  <c r="L129" i="4" s="1"/>
  <c r="L130" i="4" s="1"/>
  <c r="L131" i="4" s="1"/>
  <c r="L132" i="4" s="1"/>
  <c r="L133" i="4" s="1"/>
  <c r="L134" i="4" s="1"/>
  <c r="L135" i="4" s="1"/>
  <c r="L136" i="4" s="1"/>
  <c r="L137" i="4" s="1"/>
  <c r="L138" i="4" s="1"/>
  <c r="L139" i="4" s="1"/>
  <c r="L140" i="4" s="1"/>
  <c r="L141" i="4" s="1"/>
  <c r="L142" i="4" s="1"/>
  <c r="L143" i="4" s="1"/>
  <c r="L144" i="4" s="1"/>
  <c r="L145" i="4" s="1"/>
  <c r="L146" i="4" s="1"/>
  <c r="L147" i="4" s="1"/>
  <c r="L148" i="4" s="1"/>
  <c r="L149" i="4" s="1"/>
  <c r="L150" i="4" s="1"/>
  <c r="L151" i="4" s="1"/>
  <c r="L152" i="4" s="1"/>
  <c r="L153" i="4" s="1"/>
  <c r="L154" i="4" s="1"/>
  <c r="L155" i="4" s="1"/>
  <c r="L156" i="4" s="1"/>
  <c r="L157" i="4" s="1"/>
  <c r="L158" i="4" s="1"/>
  <c r="L159" i="4" s="1"/>
  <c r="L160" i="4" s="1"/>
  <c r="L161" i="4" s="1"/>
  <c r="L162" i="4" s="1"/>
  <c r="L163" i="4" s="1"/>
  <c r="L164" i="4" s="1"/>
  <c r="L165" i="4" s="1"/>
  <c r="L166" i="4" s="1"/>
  <c r="L167" i="4" s="1"/>
  <c r="L168" i="4" s="1"/>
  <c r="L169" i="4" s="1"/>
  <c r="L170" i="4" s="1"/>
  <c r="L171" i="4" s="1"/>
  <c r="L172" i="4" s="1"/>
  <c r="L173" i="4" s="1"/>
  <c r="L174" i="4" s="1"/>
  <c r="L175" i="4" s="1"/>
  <c r="L176" i="4" s="1"/>
  <c r="L177" i="4" s="1"/>
  <c r="L178" i="4" s="1"/>
  <c r="L179" i="4" s="1"/>
  <c r="L180" i="4" s="1"/>
  <c r="L181" i="4" s="1"/>
  <c r="L182" i="4" s="1"/>
  <c r="L183" i="4" s="1"/>
  <c r="L184" i="4" s="1"/>
  <c r="L185" i="4" s="1"/>
  <c r="L186" i="4" s="1"/>
  <c r="L187" i="4" s="1"/>
  <c r="L188" i="4" s="1"/>
  <c r="L189" i="4" s="1"/>
  <c r="L190" i="4" s="1"/>
  <c r="L191" i="4" s="1"/>
  <c r="L192" i="4" s="1"/>
  <c r="L193" i="4" s="1"/>
  <c r="L194" i="4" s="1"/>
  <c r="L195" i="4" s="1"/>
  <c r="L196" i="4" s="1"/>
  <c r="L197" i="4" s="1"/>
  <c r="L198" i="4" s="1"/>
  <c r="L199" i="4" s="1"/>
  <c r="L200" i="4" s="1"/>
  <c r="L201" i="4" s="1"/>
  <c r="L202" i="4" s="1"/>
  <c r="L203" i="4" s="1"/>
  <c r="L204" i="4" s="1"/>
  <c r="L205" i="4" s="1"/>
  <c r="L206" i="4" s="1"/>
  <c r="L207" i="4" s="1"/>
  <c r="L208" i="4" s="1"/>
  <c r="L209" i="4" s="1"/>
  <c r="L210" i="4" s="1"/>
  <c r="L211" i="4" s="1"/>
  <c r="L212" i="4" s="1"/>
  <c r="L213" i="4" s="1"/>
  <c r="L214" i="4" s="1"/>
  <c r="L215" i="4" s="1"/>
  <c r="L216" i="4" s="1"/>
  <c r="L217" i="4" s="1"/>
  <c r="L218" i="4" s="1"/>
  <c r="L219" i="4" s="1"/>
  <c r="L220" i="4" s="1"/>
  <c r="L221" i="4" s="1"/>
  <c r="L222" i="4" s="1"/>
  <c r="L223" i="4" s="1"/>
  <c r="L224" i="4" s="1"/>
  <c r="L225" i="4" s="1"/>
  <c r="L226" i="4" s="1"/>
  <c r="L227" i="4" s="1"/>
  <c r="L228" i="4" s="1"/>
  <c r="L229" i="4" s="1"/>
  <c r="L230" i="4" s="1"/>
  <c r="L231" i="4" s="1"/>
  <c r="L232" i="4" s="1"/>
  <c r="L233" i="4" s="1"/>
  <c r="L234" i="4" s="1"/>
  <c r="L235" i="4" s="1"/>
  <c r="L236" i="4" s="1"/>
  <c r="L237" i="4" s="1"/>
  <c r="L238" i="4" s="1"/>
  <c r="L239" i="4" s="1"/>
  <c r="L240" i="4" s="1"/>
  <c r="L241" i="4" s="1"/>
  <c r="L242" i="4" s="1"/>
  <c r="L243" i="4" s="1"/>
  <c r="L244" i="4" s="1"/>
  <c r="L245" i="4" s="1"/>
  <c r="L246" i="4" s="1"/>
  <c r="L247" i="4" s="1"/>
  <c r="L248" i="4" s="1"/>
  <c r="L249" i="4" s="1"/>
  <c r="L250" i="4" s="1"/>
  <c r="L251" i="4" s="1"/>
  <c r="L252" i="4" s="1"/>
  <c r="L253" i="4" s="1"/>
  <c r="L254" i="4" s="1"/>
  <c r="O4" i="5" a="1"/>
  <c r="O4" i="5" s="1"/>
  <c r="X6" i="5" a="1"/>
  <c r="X6" i="5" s="1"/>
  <c r="V9" i="5" a="1"/>
  <c r="V9" i="5" s="1"/>
  <c r="X15" i="5" a="1"/>
  <c r="X15" i="5" s="1"/>
  <c r="Q17" i="5" a="1"/>
  <c r="Q17" i="5" s="1"/>
  <c r="Q32" i="5" a="1"/>
  <c r="Q32" i="5" s="1"/>
  <c r="Z34" i="5" a="1"/>
  <c r="Z34" i="5" s="1"/>
  <c r="Z35" i="5" a="1"/>
  <c r="Z35" i="5" s="1"/>
  <c r="X25" i="5" a="1"/>
  <c r="X25" i="5" s="1"/>
  <c r="R3" i="5" a="1"/>
  <c r="R3" i="5" s="1"/>
  <c r="V4" i="5" a="1"/>
  <c r="V4" i="5" s="1"/>
  <c r="Z8" i="5" a="1"/>
  <c r="Z8" i="5" s="1"/>
  <c r="U3" i="5" a="1"/>
  <c r="U3" i="5" s="1"/>
  <c r="V14" i="5" a="1"/>
  <c r="V14" i="5" s="1"/>
  <c r="S22" i="5" a="1"/>
  <c r="S22" i="5" s="1"/>
  <c r="W26" i="5" a="1"/>
  <c r="W26" i="5" s="1"/>
  <c r="Z30" i="5" a="1"/>
  <c r="Z30" i="5" s="1"/>
  <c r="Y25" i="5" a="1"/>
  <c r="Y25" i="5" s="1"/>
  <c r="N14" i="5" a="1"/>
  <c r="N14" i="5" s="1"/>
  <c r="V15" i="5" a="1"/>
  <c r="V15" i="5" s="1"/>
  <c r="W16" i="5" a="1"/>
  <c r="W16" i="5" s="1"/>
  <c r="T33" i="5" a="1"/>
  <c r="T33" i="5" s="1"/>
  <c r="O30" i="5" a="1"/>
  <c r="O30" i="5" s="1"/>
  <c r="W11" i="5" a="1"/>
  <c r="W11" i="5" s="1"/>
  <c r="S33" i="5" a="1"/>
  <c r="S33" i="5" s="1"/>
  <c r="P30" i="5" a="1"/>
  <c r="P30" i="5" s="1"/>
  <c r="R27" i="5" a="1"/>
  <c r="R27" i="5" s="1"/>
  <c r="S35" i="5" a="1"/>
  <c r="S35" i="5" s="1"/>
  <c r="O14" i="5" a="1"/>
  <c r="O14" i="5" s="1"/>
  <c r="Q25" i="5" a="1"/>
  <c r="Q25" i="5" s="1"/>
  <c r="N32" i="5" a="1"/>
  <c r="N32" i="5" s="1"/>
  <c r="S16" i="5" a="1"/>
  <c r="S16" i="5" s="1"/>
  <c r="X5" i="5" a="1"/>
  <c r="X5" i="5" s="1"/>
  <c r="X21" i="5" a="1"/>
  <c r="X21" i="5" s="1"/>
  <c r="S27" i="5" a="1"/>
  <c r="S27" i="5" s="1"/>
  <c r="I2" i="3"/>
  <c r="V13" i="5" a="1"/>
  <c r="V13" i="5" s="1"/>
  <c r="W17" i="5" a="1"/>
  <c r="W17" i="5" s="1"/>
  <c r="P9" i="5" a="1"/>
  <c r="P9" i="5" s="1"/>
  <c r="X16" i="5" a="1"/>
  <c r="X16" i="5" s="1"/>
  <c r="Y31" i="5" a="1"/>
  <c r="Y31" i="5" s="1"/>
  <c r="Y23" i="5" a="1"/>
  <c r="Y23" i="5" s="1"/>
  <c r="R29" i="5" a="1"/>
  <c r="R29" i="5" s="1"/>
  <c r="R10" i="5" a="1"/>
  <c r="R10" i="5" s="1"/>
  <c r="R12" i="5" a="1"/>
  <c r="R12" i="5" s="1"/>
  <c r="S13" i="5" a="1"/>
  <c r="S13" i="5" s="1"/>
  <c r="N13" i="5" a="1"/>
  <c r="N13" i="5" s="1"/>
  <c r="O15" i="5" a="1"/>
  <c r="O15" i="5" s="1"/>
  <c r="X17" i="5" a="1"/>
  <c r="X17" i="5" s="1"/>
  <c r="W28" i="5" a="1"/>
  <c r="W28" i="5" s="1"/>
  <c r="W27" i="5" a="1"/>
  <c r="W27" i="5" s="1"/>
  <c r="Q26" i="5" a="1"/>
  <c r="Q26" i="5" s="1"/>
  <c r="M35" i="5" a="1"/>
  <c r="M35" i="5" s="1"/>
  <c r="R30" i="5" a="1"/>
  <c r="R30" i="5" s="1"/>
  <c r="O28" i="5" a="1"/>
  <c r="O28" i="5" s="1"/>
  <c r="N35" i="5" a="1"/>
  <c r="N35" i="5" s="1"/>
  <c r="X26" i="5" a="1"/>
  <c r="X26" i="5" s="1"/>
  <c r="X28" i="5" a="1"/>
  <c r="X28" i="5" s="1"/>
  <c r="P27" i="5" a="1"/>
  <c r="P27" i="5" s="1"/>
  <c r="T35" i="5" a="1"/>
  <c r="T35" i="5" s="1"/>
  <c r="Q29" i="5" a="1"/>
  <c r="Q29" i="5" s="1"/>
  <c r="T12" i="5" a="1"/>
  <c r="T12" i="5" s="1"/>
  <c r="R15" i="5" a="1"/>
  <c r="R15" i="5" s="1"/>
  <c r="Q6" i="5" a="1"/>
  <c r="Q6" i="5" s="1"/>
  <c r="N10" i="5" a="1"/>
  <c r="N10" i="5" s="1"/>
  <c r="U12" i="5" a="1"/>
  <c r="U12" i="5" s="1"/>
  <c r="U16" i="5" a="1"/>
  <c r="U16" i="5" s="1"/>
  <c r="M27" i="5" a="1"/>
  <c r="M27" i="5" s="1"/>
  <c r="R35" i="5" a="1"/>
  <c r="R35" i="5" s="1"/>
  <c r="T32" i="5" a="1"/>
  <c r="T32" i="5" s="1"/>
  <c r="Q30" i="5" a="1"/>
  <c r="Q30" i="5" s="1"/>
  <c r="M26" i="5" a="1"/>
  <c r="M26" i="5" s="1"/>
  <c r="U32" i="5" a="1"/>
  <c r="U32" i="5" s="1"/>
  <c r="W24" i="5" a="1"/>
  <c r="W24" i="5" s="1"/>
  <c r="V26" i="5" a="1"/>
  <c r="V26" i="5" s="1"/>
  <c r="W23" i="5" a="1"/>
  <c r="W23" i="5" s="1"/>
  <c r="W33" i="5" a="1"/>
  <c r="W33" i="5" s="1"/>
  <c r="S34" i="5" a="1"/>
  <c r="S34" i="5" s="1"/>
  <c r="U33" i="5" a="1"/>
  <c r="U33" i="5" s="1"/>
  <c r="O21" i="5" a="1"/>
  <c r="O21" i="5" s="1"/>
  <c r="T4" i="5" a="1"/>
  <c r="T4" i="5" s="1"/>
  <c r="M7" i="5" a="1"/>
  <c r="M7" i="5" s="1"/>
  <c r="Q10" i="5" a="1"/>
  <c r="Q10" i="5" s="1"/>
  <c r="O13" i="5" a="1"/>
  <c r="O13" i="5" s="1"/>
  <c r="M11" i="5" a="1"/>
  <c r="M11" i="5" s="1"/>
  <c r="X22" i="5" a="1"/>
  <c r="X22" i="5" s="1"/>
  <c r="P35" i="5" a="1"/>
  <c r="P35" i="5" s="1"/>
  <c r="M32" i="5" a="1"/>
  <c r="M32" i="5" s="1"/>
  <c r="Z28" i="5" a="1"/>
  <c r="Z28" i="5" s="1"/>
  <c r="R25" i="5" a="1"/>
  <c r="R25" i="5" s="1"/>
  <c r="P34" i="5" a="1"/>
  <c r="P34" i="5" s="1"/>
  <c r="W29" i="5" a="1"/>
  <c r="W29" i="5" s="1"/>
  <c r="M34" i="5" a="1"/>
  <c r="M34" i="5" s="1"/>
  <c r="O23" i="5" a="1"/>
  <c r="O23" i="5" s="1"/>
  <c r="O32" i="5" a="1"/>
  <c r="O32" i="5" s="1"/>
  <c r="V30" i="5" a="1"/>
  <c r="V30" i="5" s="1"/>
  <c r="Q31" i="5" a="1"/>
  <c r="Q31" i="5" s="1"/>
  <c r="X31" i="5" a="1"/>
  <c r="X31" i="5" s="1"/>
  <c r="R7" i="5" a="1"/>
  <c r="R7" i="5" s="1"/>
  <c r="O12" i="5" a="1"/>
  <c r="O12" i="5" s="1"/>
  <c r="M9" i="5" a="1"/>
  <c r="M9" i="5" s="1"/>
  <c r="Y3" i="5" a="1"/>
  <c r="Y3" i="5" s="1"/>
  <c r="O8" i="5" a="1"/>
  <c r="O8" i="5" s="1"/>
  <c r="V16" i="5" a="1"/>
  <c r="V16" i="5" s="1"/>
  <c r="M10" i="5" a="1"/>
  <c r="M10" i="5" s="1"/>
  <c r="U9" i="5" a="1"/>
  <c r="U9" i="5" s="1"/>
  <c r="V11" i="5" a="1"/>
  <c r="V11" i="5" s="1"/>
  <c r="W8" i="5" a="1"/>
  <c r="W8" i="5" s="1"/>
  <c r="N28" i="5" a="1"/>
  <c r="N28" i="5" s="1"/>
  <c r="Z31" i="5" a="1"/>
  <c r="Z31" i="5" s="1"/>
  <c r="W32" i="5" a="1"/>
  <c r="W32" i="5" s="1"/>
  <c r="U30" i="5" a="1"/>
  <c r="U30" i="5" s="1"/>
  <c r="U27" i="5" a="1"/>
  <c r="U27" i="5" s="1"/>
  <c r="V32" i="5" a="1"/>
  <c r="V32" i="5" s="1"/>
  <c r="Q28" i="5" a="1"/>
  <c r="Q28" i="5" s="1"/>
  <c r="M31" i="5" a="1"/>
  <c r="M31" i="5" s="1"/>
  <c r="T22" i="5" a="1"/>
  <c r="T22" i="5" s="1"/>
  <c r="S31" i="5" a="1"/>
  <c r="S31" i="5" s="1"/>
  <c r="U28" i="5" a="1"/>
  <c r="U28" i="5" s="1"/>
  <c r="Z29" i="5" a="1"/>
  <c r="Z29" i="5" s="1"/>
  <c r="V6" i="5" a="1"/>
  <c r="V6" i="5" s="1"/>
  <c r="T9" i="5" a="1"/>
  <c r="T9" i="5" s="1"/>
  <c r="W12" i="5" a="1"/>
  <c r="W12" i="5" s="1"/>
  <c r="Y10" i="5" a="1"/>
  <c r="Y10" i="5" s="1"/>
  <c r="Y33" i="5" a="1"/>
  <c r="Y33" i="5" s="1"/>
  <c r="O29" i="5" a="1"/>
  <c r="O29" i="5" s="1"/>
  <c r="P24" i="5" a="1"/>
  <c r="P24" i="5" s="1"/>
  <c r="Y26" i="5" a="1"/>
  <c r="Y26" i="5" s="1"/>
  <c r="U22" i="5" a="1"/>
  <c r="U22" i="5" s="1"/>
  <c r="O31" i="5" a="1"/>
  <c r="O31" i="5" s="1"/>
  <c r="Z26" i="5" a="1"/>
  <c r="Z26" i="5" s="1"/>
  <c r="T27" i="5" a="1"/>
  <c r="T27" i="5" s="1"/>
  <c r="Y21" i="5" a="1"/>
  <c r="Y21" i="5" s="1"/>
  <c r="M30" i="5" a="1"/>
  <c r="M30" i="5" s="1"/>
  <c r="O27" i="5" a="1"/>
  <c r="O27" i="5" s="1"/>
  <c r="T28" i="5" a="1"/>
  <c r="T28" i="5" s="1"/>
  <c r="V3" i="5" a="1"/>
  <c r="V3" i="5" s="1"/>
  <c r="R28" i="5" a="1"/>
  <c r="R28" i="5" s="1"/>
  <c r="R31" i="5" a="1"/>
  <c r="R31" i="5" s="1"/>
  <c r="R8" i="5" a="1"/>
  <c r="R8" i="5" s="1"/>
  <c r="P12" i="5" a="1"/>
  <c r="P12" i="5" s="1"/>
  <c r="X10" i="5" a="1"/>
  <c r="X10" i="5" s="1"/>
  <c r="R5" i="5" a="1"/>
  <c r="R5" i="5" s="1"/>
  <c r="Y4" i="5" a="1"/>
  <c r="Y4" i="5" s="1"/>
  <c r="O9" i="5" a="1"/>
  <c r="O9" i="5" s="1"/>
  <c r="U7" i="5" a="1"/>
  <c r="U7" i="5" s="1"/>
  <c r="M6" i="5" a="1"/>
  <c r="M6" i="5" s="1"/>
  <c r="M8" i="5" a="1"/>
  <c r="M8" i="5" s="1"/>
  <c r="M28" i="5" a="1"/>
  <c r="M28" i="5" s="1"/>
  <c r="R26" i="5" a="1"/>
  <c r="R26" i="5" s="1"/>
  <c r="V35" i="5" a="1"/>
  <c r="V35" i="5" s="1"/>
  <c r="S28" i="5" a="1"/>
  <c r="S28" i="5" s="1"/>
  <c r="S25" i="5" a="1"/>
  <c r="S25" i="5" s="1"/>
  <c r="Z21" i="5" a="1"/>
  <c r="Z21" i="5" s="1"/>
  <c r="O26" i="5" a="1"/>
  <c r="O26" i="5" s="1"/>
  <c r="Z23" i="5" a="1"/>
  <c r="Z23" i="5" s="1"/>
  <c r="V28" i="5" a="1"/>
  <c r="V28" i="5" s="1"/>
  <c r="X27" i="5" a="1"/>
  <c r="X27" i="5" s="1"/>
  <c r="T17" i="5" a="1"/>
  <c r="T17" i="5" s="1"/>
  <c r="S8" i="5" a="1"/>
  <c r="S8" i="5" s="1"/>
  <c r="Z9" i="5" a="1"/>
  <c r="Z9" i="5" s="1"/>
  <c r="W4" i="5" a="1"/>
  <c r="W4" i="5" s="1"/>
  <c r="Y6" i="5" a="1"/>
  <c r="Y6" i="5" s="1"/>
  <c r="R17" i="5" a="1"/>
  <c r="R17" i="5" s="1"/>
  <c r="Z16" i="5" a="1"/>
  <c r="Z16" i="5" s="1"/>
  <c r="Z14" i="5" a="1"/>
  <c r="Z14" i="5" s="1"/>
  <c r="Q5" i="5" a="1"/>
  <c r="Q5" i="5" s="1"/>
  <c r="Z7" i="5" a="1"/>
  <c r="Z7" i="5" s="1"/>
  <c r="X4" i="5" a="1"/>
  <c r="X4" i="5" s="1"/>
  <c r="Q7" i="5" a="1"/>
  <c r="Q7" i="5" s="1"/>
  <c r="Y7" i="5" a="1"/>
  <c r="Y7" i="5" s="1"/>
  <c r="W3" i="5" a="1"/>
  <c r="W3" i="5" s="1"/>
  <c r="O22" i="5" a="1"/>
  <c r="O22" i="5" s="1"/>
  <c r="R34" i="5" a="1"/>
  <c r="R34" i="5" s="1"/>
  <c r="S29" i="5" a="1"/>
  <c r="S29" i="5" s="1"/>
  <c r="N27" i="5" a="1"/>
  <c r="N27" i="5" s="1"/>
  <c r="N24" i="5" a="1"/>
  <c r="N24" i="5" s="1"/>
  <c r="Y35" i="5" a="1"/>
  <c r="Y35" i="5" s="1"/>
  <c r="M29" i="5" a="1"/>
  <c r="M29" i="5" s="1"/>
  <c r="X24" i="5" a="1"/>
  <c r="X24" i="5" s="1"/>
  <c r="Q21" i="5" a="1"/>
  <c r="Q21" i="5" s="1"/>
  <c r="U35" i="5" a="1"/>
  <c r="U35" i="5" s="1"/>
  <c r="Y27" i="5" a="1"/>
  <c r="Y27" i="5" s="1"/>
  <c r="M25" i="5" a="1"/>
  <c r="M25" i="5" s="1"/>
  <c r="S26" i="5" a="1"/>
  <c r="S26" i="5" s="1"/>
  <c r="O6" i="5" a="1"/>
  <c r="O6" i="5" s="1"/>
  <c r="X8" i="5" a="1"/>
  <c r="X8" i="5" s="1"/>
  <c r="S17" i="5" a="1"/>
  <c r="S17" i="5" s="1"/>
  <c r="R9" i="5" a="1"/>
  <c r="R9" i="5" s="1"/>
  <c r="M4" i="5" a="1"/>
  <c r="M4" i="5" s="1"/>
  <c r="S9" i="5" a="1"/>
  <c r="S9" i="5" s="1"/>
  <c r="V17" i="5" a="1"/>
  <c r="V17" i="5" s="1"/>
  <c r="S14" i="5" a="1"/>
  <c r="S14" i="5" s="1"/>
  <c r="U6" i="5" a="1"/>
  <c r="U6" i="5" s="1"/>
  <c r="R6" i="5" a="1"/>
  <c r="R6" i="5" s="1"/>
  <c r="M3" i="5" a="1"/>
  <c r="M3" i="5" s="1"/>
  <c r="T30" i="5" a="1"/>
  <c r="T30" i="5" s="1"/>
  <c r="P31" i="5" a="1"/>
  <c r="P31" i="5" s="1"/>
  <c r="X23" i="5" a="1"/>
  <c r="X23" i="5" s="1"/>
  <c r="V25" i="5" a="1"/>
  <c r="V25" i="5" s="1"/>
  <c r="Q23" i="5" a="1"/>
  <c r="Q23" i="5" s="1"/>
  <c r="Y34" i="5" a="1"/>
  <c r="Y34" i="5" s="1"/>
  <c r="V27" i="5" a="1"/>
  <c r="V27" i="5" s="1"/>
  <c r="R23" i="5" a="1"/>
  <c r="R23" i="5" s="1"/>
  <c r="X35" i="5" a="1"/>
  <c r="X35" i="5" s="1"/>
  <c r="U34" i="5" a="1"/>
  <c r="U34" i="5" s="1"/>
  <c r="T26" i="5" a="1"/>
  <c r="T26" i="5" s="1"/>
  <c r="V23" i="5" a="1"/>
  <c r="V23" i="5" s="1"/>
  <c r="W25" i="5" a="1"/>
  <c r="W25" i="5" s="1"/>
  <c r="U13" i="5" a="1"/>
  <c r="U13" i="5" s="1"/>
  <c r="Y28" i="5" a="1"/>
  <c r="Y28" i="5" s="1"/>
  <c r="R16" i="5" a="1"/>
  <c r="R16" i="5" s="1"/>
  <c r="O10" i="5" a="1"/>
  <c r="O10" i="5" s="1"/>
  <c r="V8" i="5" a="1"/>
  <c r="V8" i="5" s="1"/>
  <c r="W10" i="5" a="1"/>
  <c r="W10" i="5" s="1"/>
  <c r="Y9" i="5" a="1"/>
  <c r="Y9" i="5" s="1"/>
  <c r="O3" i="5" a="1"/>
  <c r="O3" i="5" s="1"/>
  <c r="Z4" i="5" a="1"/>
  <c r="Z4" i="5" s="1"/>
  <c r="R14" i="5" a="1"/>
  <c r="R14" i="5" s="1"/>
  <c r="P10" i="5" a="1"/>
  <c r="P10" i="5" s="1"/>
  <c r="S4" i="5" a="1"/>
  <c r="S4" i="5" s="1"/>
  <c r="O2" i="3"/>
  <c r="G5" i="4"/>
  <c r="G6" i="4" s="1"/>
  <c r="G7" i="4" s="1"/>
  <c r="G8" i="4" s="1"/>
  <c r="G9" i="4" s="1"/>
  <c r="G10" i="4" s="1"/>
  <c r="G11" i="4" s="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G38" i="4" s="1"/>
  <c r="G39" i="4" s="1"/>
  <c r="G40" i="4" s="1"/>
  <c r="G41" i="4" s="1"/>
  <c r="G42" i="4" s="1"/>
  <c r="G43" i="4" s="1"/>
  <c r="G44" i="4" s="1"/>
  <c r="G45" i="4" s="1"/>
  <c r="G46" i="4" s="1"/>
  <c r="G47" i="4" s="1"/>
  <c r="G48" i="4" s="1"/>
  <c r="G49" i="4" s="1"/>
  <c r="G50" i="4" s="1"/>
  <c r="G51" i="4" s="1"/>
  <c r="G52" i="4" s="1"/>
  <c r="G53" i="4" s="1"/>
  <c r="G54" i="4" s="1"/>
  <c r="G55" i="4" s="1"/>
  <c r="G56" i="4" s="1"/>
  <c r="G57" i="4" s="1"/>
  <c r="G58" i="4" s="1"/>
  <c r="G59" i="4" s="1"/>
  <c r="G60" i="4" s="1"/>
  <c r="G61" i="4" s="1"/>
  <c r="G62" i="4" s="1"/>
  <c r="G63" i="4" s="1"/>
  <c r="G64" i="4" s="1"/>
  <c r="G65" i="4" s="1"/>
  <c r="G66" i="4" s="1"/>
  <c r="G67" i="4" s="1"/>
  <c r="G68" i="4" s="1"/>
  <c r="G69" i="4" s="1"/>
  <c r="G70" i="4" s="1"/>
  <c r="G71" i="4" s="1"/>
  <c r="G72" i="4" s="1"/>
  <c r="G73" i="4" s="1"/>
  <c r="G74" i="4" s="1"/>
  <c r="G75" i="4" s="1"/>
  <c r="G76" i="4" s="1"/>
  <c r="G77" i="4" s="1"/>
  <c r="G78" i="4" s="1"/>
  <c r="G79" i="4" s="1"/>
  <c r="G80" i="4" s="1"/>
  <c r="G81" i="4" s="1"/>
  <c r="G82" i="4" s="1"/>
  <c r="G83" i="4" s="1"/>
  <c r="G84" i="4" s="1"/>
  <c r="G85" i="4" s="1"/>
  <c r="G86" i="4" s="1"/>
  <c r="G87" i="4" s="1"/>
  <c r="G88" i="4" s="1"/>
  <c r="G89" i="4" s="1"/>
  <c r="G90" i="4" s="1"/>
  <c r="G91" i="4" s="1"/>
  <c r="G92" i="4" s="1"/>
  <c r="G93" i="4" s="1"/>
  <c r="G94" i="4" s="1"/>
  <c r="G95" i="4" s="1"/>
  <c r="G96" i="4" s="1"/>
  <c r="G97" i="4" s="1"/>
  <c r="G98" i="4" s="1"/>
  <c r="G99" i="4" s="1"/>
  <c r="G100" i="4" s="1"/>
  <c r="G101" i="4" s="1"/>
  <c r="G102" i="4" s="1"/>
  <c r="G103" i="4" s="1"/>
  <c r="G104" i="4" s="1"/>
  <c r="G105" i="4" s="1"/>
  <c r="G106" i="4" s="1"/>
  <c r="G107" i="4" s="1"/>
  <c r="G108" i="4" s="1"/>
  <c r="G109" i="4" s="1"/>
  <c r="G110" i="4" s="1"/>
  <c r="G111" i="4" s="1"/>
  <c r="G112" i="4" s="1"/>
  <c r="G113" i="4" s="1"/>
  <c r="G114" i="4" s="1"/>
  <c r="G115" i="4" s="1"/>
  <c r="G116" i="4" s="1"/>
  <c r="G117" i="4" s="1"/>
  <c r="G118" i="4" s="1"/>
  <c r="G119" i="4" s="1"/>
  <c r="G120" i="4" s="1"/>
  <c r="G121" i="4" s="1"/>
  <c r="G122" i="4" s="1"/>
  <c r="G123" i="4" s="1"/>
  <c r="G124" i="4" s="1"/>
  <c r="G125" i="4" s="1"/>
  <c r="G126" i="4" s="1"/>
  <c r="G127" i="4" s="1"/>
  <c r="G128" i="4" s="1"/>
  <c r="G129" i="4" s="1"/>
  <c r="G130" i="4" s="1"/>
  <c r="G131" i="4" s="1"/>
  <c r="G132" i="4" s="1"/>
  <c r="G133" i="4" s="1"/>
  <c r="G134" i="4" s="1"/>
  <c r="G135" i="4" s="1"/>
  <c r="G136" i="4" s="1"/>
  <c r="G137" i="4" s="1"/>
  <c r="G138" i="4" s="1"/>
  <c r="G139" i="4" s="1"/>
  <c r="G140" i="4" s="1"/>
  <c r="G141" i="4" s="1"/>
  <c r="G142" i="4" s="1"/>
  <c r="G143" i="4" s="1"/>
  <c r="G144" i="4" s="1"/>
  <c r="G145" i="4" s="1"/>
  <c r="G146" i="4" s="1"/>
  <c r="G147" i="4" s="1"/>
  <c r="G148" i="4" s="1"/>
  <c r="G149" i="4" s="1"/>
  <c r="G150" i="4" s="1"/>
  <c r="G151" i="4" s="1"/>
  <c r="G152" i="4" s="1"/>
  <c r="G153" i="4" s="1"/>
  <c r="G154" i="4" s="1"/>
  <c r="G155" i="4" s="1"/>
  <c r="G156" i="4" s="1"/>
  <c r="G157" i="4" s="1"/>
  <c r="G158" i="4" s="1"/>
  <c r="G159" i="4" s="1"/>
  <c r="G160" i="4" s="1"/>
  <c r="G161" i="4" s="1"/>
  <c r="G162" i="4" s="1"/>
  <c r="G163" i="4" s="1"/>
  <c r="G164" i="4" s="1"/>
  <c r="G165" i="4" s="1"/>
  <c r="G166" i="4" s="1"/>
  <c r="G167" i="4" s="1"/>
  <c r="G168" i="4" s="1"/>
  <c r="G169" i="4" s="1"/>
  <c r="G170" i="4" s="1"/>
  <c r="G171" i="4" s="1"/>
  <c r="G172" i="4" s="1"/>
  <c r="G173" i="4" s="1"/>
  <c r="G174" i="4" s="1"/>
  <c r="G175" i="4" s="1"/>
  <c r="G176" i="4" s="1"/>
  <c r="G177" i="4" s="1"/>
  <c r="G178" i="4" s="1"/>
  <c r="G179" i="4" s="1"/>
  <c r="G180" i="4" s="1"/>
  <c r="G181" i="4" s="1"/>
  <c r="G182" i="4" s="1"/>
  <c r="G183" i="4" s="1"/>
  <c r="G184" i="4" s="1"/>
  <c r="G185" i="4" s="1"/>
  <c r="G186" i="4" s="1"/>
  <c r="G187" i="4" s="1"/>
  <c r="G188" i="4" s="1"/>
  <c r="G189" i="4" s="1"/>
  <c r="G190" i="4" s="1"/>
  <c r="G191" i="4" s="1"/>
  <c r="G192" i="4" s="1"/>
  <c r="G193" i="4" s="1"/>
  <c r="G194" i="4" s="1"/>
  <c r="G195" i="4" s="1"/>
  <c r="G196" i="4" s="1"/>
  <c r="G197" i="4" s="1"/>
  <c r="G198" i="4" s="1"/>
  <c r="G199" i="4" s="1"/>
  <c r="G200" i="4" s="1"/>
  <c r="G201" i="4" s="1"/>
  <c r="G202" i="4" s="1"/>
  <c r="G203" i="4" s="1"/>
  <c r="G204" i="4" s="1"/>
  <c r="G205" i="4" s="1"/>
  <c r="G206" i="4" s="1"/>
  <c r="G207" i="4" s="1"/>
  <c r="G208" i="4" s="1"/>
  <c r="G209" i="4" s="1"/>
  <c r="G210" i="4" s="1"/>
  <c r="G211" i="4" s="1"/>
  <c r="G212" i="4" s="1"/>
  <c r="G213" i="4" s="1"/>
  <c r="G214" i="4" s="1"/>
  <c r="G215" i="4" s="1"/>
  <c r="G216" i="4" s="1"/>
  <c r="G217" i="4" s="1"/>
  <c r="G218" i="4" s="1"/>
  <c r="G219" i="4" s="1"/>
  <c r="G220" i="4" s="1"/>
  <c r="G221" i="4" s="1"/>
  <c r="G222" i="4" s="1"/>
  <c r="G223" i="4" s="1"/>
  <c r="G224" i="4" s="1"/>
  <c r="G225" i="4" s="1"/>
  <c r="G226" i="4" s="1"/>
  <c r="G227" i="4" s="1"/>
  <c r="G228" i="4" s="1"/>
  <c r="G229" i="4" s="1"/>
  <c r="G230" i="4" s="1"/>
  <c r="G231" i="4" s="1"/>
  <c r="G232" i="4" s="1"/>
  <c r="G233" i="4" s="1"/>
  <c r="G234" i="4" s="1"/>
  <c r="G235" i="4" s="1"/>
  <c r="G236" i="4" s="1"/>
  <c r="G237" i="4" s="1"/>
  <c r="G238" i="4" s="1"/>
  <c r="G239" i="4" s="1"/>
  <c r="G240" i="4" s="1"/>
  <c r="G241" i="4" s="1"/>
  <c r="G242" i="4" s="1"/>
  <c r="G243" i="4" s="1"/>
  <c r="G244" i="4" s="1"/>
  <c r="G245" i="4" s="1"/>
  <c r="G246" i="4" s="1"/>
  <c r="G247" i="4" s="1"/>
  <c r="G248" i="4" s="1"/>
  <c r="G249" i="4" s="1"/>
  <c r="G250" i="4" s="1"/>
  <c r="G251" i="4" s="1"/>
  <c r="G252" i="4" s="1"/>
  <c r="G253" i="4" s="1"/>
  <c r="G254" i="4" s="1"/>
  <c r="V7" i="5" a="1"/>
  <c r="V7" i="5" s="1"/>
  <c r="M12" i="5" a="1"/>
  <c r="M12" i="5" s="1"/>
  <c r="M16" i="5" a="1"/>
  <c r="M16" i="5" s="1"/>
  <c r="W15" i="5" a="1"/>
  <c r="W15" i="5" s="1"/>
  <c r="P16" i="5" a="1"/>
  <c r="P16" i="5" s="1"/>
  <c r="W9" i="5" a="1"/>
  <c r="W9" i="5" s="1"/>
  <c r="W14" i="5" a="1"/>
  <c r="W14" i="5" s="1"/>
  <c r="Q14" i="5" a="1"/>
  <c r="Q14" i="5" s="1"/>
  <c r="O7" i="5" a="1"/>
  <c r="O7" i="5" s="1"/>
  <c r="T10" i="5" a="1"/>
  <c r="T10" i="5" s="1"/>
  <c r="Y5" i="5" a="1"/>
  <c r="Y5" i="5" s="1"/>
  <c r="Q4" i="5" a="1"/>
  <c r="Q4" i="5" s="1"/>
  <c r="L27" i="5" a="1"/>
  <c r="L27" i="5" s="1"/>
  <c r="L30" i="5" a="1"/>
  <c r="L30" i="5" s="1"/>
  <c r="L28" i="5" a="1"/>
  <c r="L28" i="5" s="1"/>
  <c r="L29" i="5" a="1"/>
  <c r="L29" i="5" s="1"/>
  <c r="L33" i="5" a="1"/>
  <c r="L33" i="5" s="1"/>
  <c r="L22" i="5" a="1"/>
  <c r="L22" i="5" s="1"/>
  <c r="L21" i="5" a="1"/>
  <c r="L21" i="5" s="1"/>
  <c r="L34" i="5" a="1"/>
  <c r="L34" i="5" s="1"/>
  <c r="L35" i="5" a="1"/>
  <c r="L35" i="5" s="1"/>
  <c r="L23" i="5" a="1"/>
  <c r="L23" i="5" s="1"/>
  <c r="L26" i="5" a="1"/>
  <c r="L26" i="5" s="1"/>
  <c r="L24" i="5" a="1"/>
  <c r="L24" i="5" s="1"/>
  <c r="L31" i="5" a="1"/>
  <c r="L31" i="5" s="1"/>
  <c r="L32" i="5" a="1"/>
  <c r="L32" i="5" s="1"/>
  <c r="L25" i="5" a="1"/>
  <c r="L25" i="5" s="1"/>
  <c r="Y24" i="5" a="1"/>
  <c r="Y24" i="5" s="1"/>
  <c r="U25" i="5" a="1"/>
  <c r="U25" i="5" s="1"/>
  <c r="Q35" i="5" a="1"/>
  <c r="Q35" i="5" s="1"/>
  <c r="Z24" i="5" a="1"/>
  <c r="Z24" i="5" s="1"/>
  <c r="V22" i="5" a="1"/>
  <c r="V22" i="5" s="1"/>
  <c r="P33" i="5" a="1"/>
  <c r="P33" i="5" s="1"/>
  <c r="Q33" i="5" a="1"/>
  <c r="Q33" i="5" s="1"/>
  <c r="X34" i="5" a="1"/>
  <c r="X34" i="5" s="1"/>
  <c r="P32" i="5" a="1"/>
  <c r="P32" i="5" s="1"/>
  <c r="Q22" i="5" a="1"/>
  <c r="Q22" i="5" s="1"/>
  <c r="Q24" i="5" a="1"/>
  <c r="Q24" i="5" s="1"/>
  <c r="U5" i="5" a="1"/>
  <c r="U5" i="5" s="1"/>
  <c r="Z10" i="5" a="1"/>
  <c r="Z10" i="5" s="1"/>
  <c r="N31" i="5" a="1"/>
  <c r="N31" i="5" s="1"/>
  <c r="V24" i="5" a="1"/>
  <c r="V24" i="5" s="1"/>
  <c r="V33" i="5" a="1"/>
  <c r="V33" i="5" s="1"/>
  <c r="N9" i="5" a="1"/>
  <c r="N9" i="5" s="1"/>
  <c r="X12" i="5" a="1"/>
  <c r="X12" i="5" s="1"/>
  <c r="M14" i="5" a="1"/>
  <c r="M14" i="5" s="1"/>
  <c r="M33" i="5" a="1"/>
  <c r="M33" i="5" s="1"/>
  <c r="S30" i="5" a="1"/>
  <c r="S30" i="5" s="1"/>
  <c r="M13" i="5" a="1"/>
  <c r="M13" i="5" s="1"/>
  <c r="T6" i="5" a="1"/>
  <c r="T6" i="5" s="1"/>
  <c r="W6" i="5" a="1"/>
  <c r="W6" i="5" s="1"/>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I73" i="4" s="1"/>
  <c r="I74" i="4" s="1"/>
  <c r="I75" i="4" s="1"/>
  <c r="I76" i="4" s="1"/>
  <c r="I77" i="4" s="1"/>
  <c r="I78" i="4" s="1"/>
  <c r="I79" i="4" s="1"/>
  <c r="I80" i="4" s="1"/>
  <c r="I81" i="4" s="1"/>
  <c r="I82" i="4" s="1"/>
  <c r="I83" i="4" s="1"/>
  <c r="I84" i="4" s="1"/>
  <c r="I85" i="4" s="1"/>
  <c r="I86" i="4" s="1"/>
  <c r="I87" i="4" s="1"/>
  <c r="I88" i="4" s="1"/>
  <c r="I89" i="4" s="1"/>
  <c r="I90" i="4" s="1"/>
  <c r="I91" i="4" s="1"/>
  <c r="I92" i="4" s="1"/>
  <c r="I93" i="4" s="1"/>
  <c r="I94" i="4" s="1"/>
  <c r="I95" i="4" s="1"/>
  <c r="I96" i="4" s="1"/>
  <c r="I97" i="4" s="1"/>
  <c r="I98" i="4" s="1"/>
  <c r="I99" i="4" s="1"/>
  <c r="I100" i="4" s="1"/>
  <c r="I101" i="4" s="1"/>
  <c r="I102" i="4" s="1"/>
  <c r="I103" i="4" s="1"/>
  <c r="I104" i="4" s="1"/>
  <c r="I105" i="4" s="1"/>
  <c r="I106" i="4" s="1"/>
  <c r="I107" i="4" s="1"/>
  <c r="I108" i="4" s="1"/>
  <c r="I109" i="4" s="1"/>
  <c r="I110" i="4" s="1"/>
  <c r="I111" i="4" s="1"/>
  <c r="I112" i="4" s="1"/>
  <c r="I113" i="4" s="1"/>
  <c r="I114" i="4" s="1"/>
  <c r="I115" i="4" s="1"/>
  <c r="I116" i="4" s="1"/>
  <c r="I117" i="4" s="1"/>
  <c r="I118" i="4" s="1"/>
  <c r="I119" i="4" s="1"/>
  <c r="I120" i="4" s="1"/>
  <c r="I121" i="4" s="1"/>
  <c r="I122" i="4" s="1"/>
  <c r="I123" i="4" s="1"/>
  <c r="I124" i="4" s="1"/>
  <c r="I125" i="4" s="1"/>
  <c r="I126" i="4" s="1"/>
  <c r="I127" i="4" s="1"/>
  <c r="I128" i="4" s="1"/>
  <c r="I129" i="4" s="1"/>
  <c r="I130" i="4" s="1"/>
  <c r="I131" i="4" s="1"/>
  <c r="I132" i="4" s="1"/>
  <c r="I133" i="4" s="1"/>
  <c r="I134" i="4" s="1"/>
  <c r="I135" i="4" s="1"/>
  <c r="I136" i="4" s="1"/>
  <c r="I137" i="4" s="1"/>
  <c r="I138" i="4" s="1"/>
  <c r="I139" i="4" s="1"/>
  <c r="I140" i="4" s="1"/>
  <c r="I141" i="4" s="1"/>
  <c r="I142" i="4" s="1"/>
  <c r="I143" i="4" s="1"/>
  <c r="I144" i="4" s="1"/>
  <c r="I145" i="4" s="1"/>
  <c r="I146" i="4" s="1"/>
  <c r="I147" i="4" s="1"/>
  <c r="I148" i="4" s="1"/>
  <c r="I149" i="4" s="1"/>
  <c r="I150" i="4" s="1"/>
  <c r="I151" i="4" s="1"/>
  <c r="I152" i="4" s="1"/>
  <c r="I153" i="4" s="1"/>
  <c r="I154" i="4" s="1"/>
  <c r="I155" i="4" s="1"/>
  <c r="I156" i="4" s="1"/>
  <c r="I157" i="4" s="1"/>
  <c r="I158" i="4" s="1"/>
  <c r="I159" i="4" s="1"/>
  <c r="I160" i="4" s="1"/>
  <c r="I161" i="4" s="1"/>
  <c r="I162" i="4" s="1"/>
  <c r="I163" i="4" s="1"/>
  <c r="I164" i="4" s="1"/>
  <c r="I165" i="4" s="1"/>
  <c r="I166" i="4" s="1"/>
  <c r="I167" i="4" s="1"/>
  <c r="I168" i="4" s="1"/>
  <c r="I169" i="4" s="1"/>
  <c r="I170" i="4" s="1"/>
  <c r="I171" i="4" s="1"/>
  <c r="I172" i="4" s="1"/>
  <c r="I173" i="4" s="1"/>
  <c r="I174" i="4" s="1"/>
  <c r="I175" i="4" s="1"/>
  <c r="I176" i="4" s="1"/>
  <c r="I177" i="4" s="1"/>
  <c r="I178" i="4" s="1"/>
  <c r="I179" i="4" s="1"/>
  <c r="I180" i="4" s="1"/>
  <c r="I181" i="4" s="1"/>
  <c r="I182" i="4" s="1"/>
  <c r="I183" i="4" s="1"/>
  <c r="I184" i="4" s="1"/>
  <c r="I185" i="4" s="1"/>
  <c r="I186" i="4" s="1"/>
  <c r="I187" i="4" s="1"/>
  <c r="I188" i="4" s="1"/>
  <c r="I189" i="4" s="1"/>
  <c r="I190" i="4" s="1"/>
  <c r="I191" i="4" s="1"/>
  <c r="I192" i="4" s="1"/>
  <c r="I193" i="4" s="1"/>
  <c r="I194" i="4" s="1"/>
  <c r="I195" i="4" s="1"/>
  <c r="I196" i="4" s="1"/>
  <c r="I197" i="4" s="1"/>
  <c r="I198" i="4" s="1"/>
  <c r="I199" i="4" s="1"/>
  <c r="I200" i="4" s="1"/>
  <c r="I201" i="4" s="1"/>
  <c r="I202" i="4" s="1"/>
  <c r="I203" i="4" s="1"/>
  <c r="I204" i="4" s="1"/>
  <c r="I205" i="4" s="1"/>
  <c r="I206" i="4" s="1"/>
  <c r="I207" i="4" s="1"/>
  <c r="I208" i="4" s="1"/>
  <c r="I209" i="4" s="1"/>
  <c r="I210" i="4" s="1"/>
  <c r="I211" i="4" s="1"/>
  <c r="I212" i="4" s="1"/>
  <c r="I213" i="4" s="1"/>
  <c r="I214" i="4" s="1"/>
  <c r="I215" i="4" s="1"/>
  <c r="I216" i="4" s="1"/>
  <c r="I217" i="4" s="1"/>
  <c r="I218" i="4" s="1"/>
  <c r="I219" i="4" s="1"/>
  <c r="I220" i="4" s="1"/>
  <c r="I221" i="4" s="1"/>
  <c r="I222" i="4" s="1"/>
  <c r="I223" i="4" s="1"/>
  <c r="I224" i="4" s="1"/>
  <c r="I225" i="4" s="1"/>
  <c r="I226" i="4" s="1"/>
  <c r="I227" i="4" s="1"/>
  <c r="I228" i="4" s="1"/>
  <c r="I229" i="4" s="1"/>
  <c r="I230" i="4" s="1"/>
  <c r="I231" i="4" s="1"/>
  <c r="I232" i="4" s="1"/>
  <c r="I233" i="4" s="1"/>
  <c r="I234" i="4" s="1"/>
  <c r="I235" i="4" s="1"/>
  <c r="I236" i="4" s="1"/>
  <c r="I237" i="4" s="1"/>
  <c r="I238" i="4" s="1"/>
  <c r="I239" i="4" s="1"/>
  <c r="I240" i="4" s="1"/>
  <c r="I241" i="4" s="1"/>
  <c r="I242" i="4" s="1"/>
  <c r="I243" i="4" s="1"/>
  <c r="I244" i="4" s="1"/>
  <c r="I245" i="4" s="1"/>
  <c r="I246" i="4" s="1"/>
  <c r="I247" i="4" s="1"/>
  <c r="I248" i="4" s="1"/>
  <c r="I249" i="4" s="1"/>
  <c r="I250" i="4" s="1"/>
  <c r="I251" i="4" s="1"/>
  <c r="I252" i="4" s="1"/>
  <c r="I253" i="4" s="1"/>
  <c r="I254" i="4" s="1"/>
  <c r="Z13" i="5" a="1"/>
  <c r="Z13" i="5" s="1"/>
  <c r="N4" i="5" a="1"/>
  <c r="N4" i="5" s="1"/>
  <c r="S15" i="5" a="1"/>
  <c r="S15" i="5" s="1"/>
  <c r="O16" i="5" a="1"/>
  <c r="O16" i="5" s="1"/>
  <c r="P8" i="5" a="1"/>
  <c r="P8" i="5" s="1"/>
  <c r="Z6" i="5" a="1"/>
  <c r="Z6" i="5" s="1"/>
  <c r="T13" i="5" a="1"/>
  <c r="T13" i="5" s="1"/>
  <c r="S6" i="5" a="1"/>
  <c r="S6" i="5" s="1"/>
  <c r="Z17" i="5" a="1"/>
  <c r="Z17" i="5" s="1"/>
  <c r="S12" i="5" a="1"/>
  <c r="S12" i="5" s="1"/>
  <c r="S10" i="5" a="1"/>
  <c r="S10" i="5" s="1"/>
  <c r="O5" i="5" a="1"/>
  <c r="O5" i="5" s="1"/>
  <c r="Y13" i="5" a="1"/>
  <c r="Y13" i="5" s="1"/>
  <c r="W34" i="5" a="1"/>
  <c r="W34" i="5" s="1"/>
  <c r="T24" i="5" a="1"/>
  <c r="T24" i="5" s="1"/>
  <c r="Y30" i="5" a="1"/>
  <c r="Y30" i="5" s="1"/>
  <c r="U26" i="5" a="1"/>
  <c r="U26" i="5" s="1"/>
  <c r="U23" i="5" a="1"/>
  <c r="U23" i="5" s="1"/>
  <c r="M22" i="5" a="1"/>
  <c r="M22" i="5" s="1"/>
  <c r="R32" i="5" a="1"/>
  <c r="R32" i="5" s="1"/>
  <c r="O24" i="5" a="1"/>
  <c r="O24" i="5" s="1"/>
  <c r="S32" i="5" a="1"/>
  <c r="S32" i="5" s="1"/>
  <c r="Z33" i="5" a="1"/>
  <c r="Z33" i="5" s="1"/>
  <c r="T31" i="5" a="1"/>
  <c r="T31" i="5" s="1"/>
  <c r="R24" i="5" a="1"/>
  <c r="R24" i="5" s="1"/>
  <c r="V21" i="5" a="1"/>
  <c r="V21" i="5" s="1"/>
  <c r="Z22" i="5" a="1"/>
  <c r="Z22" i="5" s="1"/>
  <c r="Q27" i="5" a="1"/>
  <c r="Q27" i="5" s="1"/>
  <c r="Q13" i="5" a="1"/>
  <c r="Q13" i="5" s="1"/>
  <c r="V29" i="5" a="1"/>
  <c r="V29" i="5" s="1"/>
  <c r="U24" i="5" a="1"/>
  <c r="U24" i="5" s="1"/>
  <c r="S11" i="5" a="1"/>
  <c r="S11" i="5" s="1"/>
  <c r="S5" i="5" a="1"/>
  <c r="S5" i="5" s="1"/>
  <c r="Y15" i="5" a="1"/>
  <c r="Y15" i="5" s="1"/>
  <c r="P17" i="5" a="1"/>
  <c r="P17" i="5" s="1"/>
  <c r="T16" i="5" a="1"/>
  <c r="T16" i="5" s="1"/>
  <c r="O17" i="5" a="1"/>
  <c r="O17" i="5" s="1"/>
  <c r="U15" i="5" a="1"/>
  <c r="U15" i="5" s="1"/>
  <c r="U4" i="5" a="1"/>
  <c r="U4" i="5" s="1"/>
  <c r="M2" i="3"/>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H55" i="4" s="1"/>
  <c r="H56" i="4" s="1"/>
  <c r="H57" i="4" s="1"/>
  <c r="H58" i="4" s="1"/>
  <c r="H59" i="4" s="1"/>
  <c r="H60" i="4" s="1"/>
  <c r="H61" i="4" s="1"/>
  <c r="H62" i="4" s="1"/>
  <c r="H63" i="4" s="1"/>
  <c r="H64" i="4" s="1"/>
  <c r="H65" i="4" s="1"/>
  <c r="H66" i="4" s="1"/>
  <c r="H67" i="4" s="1"/>
  <c r="H68" i="4" s="1"/>
  <c r="H69" i="4" s="1"/>
  <c r="H70" i="4" s="1"/>
  <c r="H71" i="4" s="1"/>
  <c r="H72" i="4" s="1"/>
  <c r="H73" i="4" s="1"/>
  <c r="H74" i="4" s="1"/>
  <c r="H75" i="4" s="1"/>
  <c r="H76" i="4" s="1"/>
  <c r="H77" i="4" s="1"/>
  <c r="H78" i="4" s="1"/>
  <c r="H79" i="4" s="1"/>
  <c r="H80" i="4" s="1"/>
  <c r="H81" i="4" s="1"/>
  <c r="H82" i="4" s="1"/>
  <c r="H83" i="4" s="1"/>
  <c r="H84" i="4" s="1"/>
  <c r="H85" i="4" s="1"/>
  <c r="H86" i="4" s="1"/>
  <c r="H87" i="4" s="1"/>
  <c r="H88" i="4" s="1"/>
  <c r="H89" i="4" s="1"/>
  <c r="H90" i="4" s="1"/>
  <c r="H91" i="4" s="1"/>
  <c r="H92" i="4" s="1"/>
  <c r="H93" i="4" s="1"/>
  <c r="H94" i="4" s="1"/>
  <c r="H95" i="4" s="1"/>
  <c r="H96" i="4" s="1"/>
  <c r="H97" i="4" s="1"/>
  <c r="H98" i="4" s="1"/>
  <c r="H99" i="4" s="1"/>
  <c r="H100" i="4" s="1"/>
  <c r="H101" i="4" s="1"/>
  <c r="H102" i="4" s="1"/>
  <c r="H103" i="4" s="1"/>
  <c r="H104" i="4" s="1"/>
  <c r="H105" i="4" s="1"/>
  <c r="H106" i="4" s="1"/>
  <c r="H107" i="4" s="1"/>
  <c r="H108" i="4" s="1"/>
  <c r="H109" i="4" s="1"/>
  <c r="H110" i="4" s="1"/>
  <c r="H111" i="4" s="1"/>
  <c r="H112" i="4" s="1"/>
  <c r="H113" i="4" s="1"/>
  <c r="H114" i="4" s="1"/>
  <c r="H115" i="4" s="1"/>
  <c r="H116" i="4" s="1"/>
  <c r="H117" i="4" s="1"/>
  <c r="H118" i="4" s="1"/>
  <c r="H119" i="4" s="1"/>
  <c r="H120" i="4" s="1"/>
  <c r="H121" i="4" s="1"/>
  <c r="H122" i="4" s="1"/>
  <c r="H123" i="4" s="1"/>
  <c r="H124" i="4" s="1"/>
  <c r="H125" i="4" s="1"/>
  <c r="H126" i="4" s="1"/>
  <c r="H127" i="4" s="1"/>
  <c r="H128" i="4" s="1"/>
  <c r="H129" i="4" s="1"/>
  <c r="H130" i="4" s="1"/>
  <c r="H131" i="4" s="1"/>
  <c r="H132" i="4" s="1"/>
  <c r="H133" i="4" s="1"/>
  <c r="H134" i="4" s="1"/>
  <c r="H135" i="4" s="1"/>
  <c r="H136" i="4" s="1"/>
  <c r="H137" i="4" s="1"/>
  <c r="H138" i="4" s="1"/>
  <c r="H139" i="4" s="1"/>
  <c r="H140" i="4" s="1"/>
  <c r="H141" i="4" s="1"/>
  <c r="H142" i="4" s="1"/>
  <c r="H143" i="4" s="1"/>
  <c r="H144" i="4" s="1"/>
  <c r="H145" i="4" s="1"/>
  <c r="H146" i="4" s="1"/>
  <c r="H147" i="4" s="1"/>
  <c r="H148" i="4" s="1"/>
  <c r="H149" i="4" s="1"/>
  <c r="H150" i="4" s="1"/>
  <c r="H151" i="4" s="1"/>
  <c r="H152" i="4" s="1"/>
  <c r="H153" i="4" s="1"/>
  <c r="H154" i="4" s="1"/>
  <c r="H155" i="4" s="1"/>
  <c r="H156" i="4" s="1"/>
  <c r="H157" i="4" s="1"/>
  <c r="H158" i="4" s="1"/>
  <c r="H159" i="4" s="1"/>
  <c r="H160" i="4" s="1"/>
  <c r="H161" i="4" s="1"/>
  <c r="H162" i="4" s="1"/>
  <c r="H163" i="4" s="1"/>
  <c r="H164" i="4" s="1"/>
  <c r="H165" i="4" s="1"/>
  <c r="H166" i="4" s="1"/>
  <c r="H167" i="4" s="1"/>
  <c r="H168" i="4" s="1"/>
  <c r="H169" i="4" s="1"/>
  <c r="H170" i="4" s="1"/>
  <c r="H171" i="4" s="1"/>
  <c r="H172" i="4" s="1"/>
  <c r="H173" i="4" s="1"/>
  <c r="H174" i="4" s="1"/>
  <c r="H175" i="4" s="1"/>
  <c r="H176" i="4" s="1"/>
  <c r="H177" i="4" s="1"/>
  <c r="H178" i="4" s="1"/>
  <c r="H179" i="4" s="1"/>
  <c r="H180" i="4" s="1"/>
  <c r="H181" i="4" s="1"/>
  <c r="H182" i="4" s="1"/>
  <c r="H183" i="4" s="1"/>
  <c r="H184" i="4" s="1"/>
  <c r="H185" i="4" s="1"/>
  <c r="H186" i="4" s="1"/>
  <c r="H187" i="4" s="1"/>
  <c r="H188" i="4" s="1"/>
  <c r="H189" i="4" s="1"/>
  <c r="H190" i="4" s="1"/>
  <c r="H191" i="4" s="1"/>
  <c r="H192" i="4" s="1"/>
  <c r="H193" i="4" s="1"/>
  <c r="H194" i="4" s="1"/>
  <c r="H195" i="4" s="1"/>
  <c r="H196" i="4" s="1"/>
  <c r="H197" i="4" s="1"/>
  <c r="H198" i="4" s="1"/>
  <c r="H199" i="4" s="1"/>
  <c r="H200" i="4" s="1"/>
  <c r="H201" i="4" s="1"/>
  <c r="H202" i="4" s="1"/>
  <c r="H203" i="4" s="1"/>
  <c r="H204" i="4" s="1"/>
  <c r="H205" i="4" s="1"/>
  <c r="H206" i="4" s="1"/>
  <c r="H207" i="4" s="1"/>
  <c r="H208" i="4" s="1"/>
  <c r="H209" i="4" s="1"/>
  <c r="H210" i="4" s="1"/>
  <c r="H211" i="4" s="1"/>
  <c r="H212" i="4" s="1"/>
  <c r="H213" i="4" s="1"/>
  <c r="H214" i="4" s="1"/>
  <c r="H215" i="4" s="1"/>
  <c r="H216" i="4" s="1"/>
  <c r="H217" i="4" s="1"/>
  <c r="H218" i="4" s="1"/>
  <c r="H219" i="4" s="1"/>
  <c r="H220" i="4" s="1"/>
  <c r="H221" i="4" s="1"/>
  <c r="H222" i="4" s="1"/>
  <c r="H223" i="4" s="1"/>
  <c r="H224" i="4" s="1"/>
  <c r="H225" i="4" s="1"/>
  <c r="H226" i="4" s="1"/>
  <c r="H227" i="4" s="1"/>
  <c r="H228" i="4" s="1"/>
  <c r="H229" i="4" s="1"/>
  <c r="H230" i="4" s="1"/>
  <c r="H231" i="4" s="1"/>
  <c r="H232" i="4" s="1"/>
  <c r="H233" i="4" s="1"/>
  <c r="H234" i="4" s="1"/>
  <c r="H235" i="4" s="1"/>
  <c r="H236" i="4" s="1"/>
  <c r="H237" i="4" s="1"/>
  <c r="H238" i="4" s="1"/>
  <c r="H239" i="4" s="1"/>
  <c r="H240" i="4" s="1"/>
  <c r="H241" i="4" s="1"/>
  <c r="H242" i="4" s="1"/>
  <c r="H243" i="4" s="1"/>
  <c r="H244" i="4" s="1"/>
  <c r="H245" i="4" s="1"/>
  <c r="H246" i="4" s="1"/>
  <c r="H247" i="4" s="1"/>
  <c r="H248" i="4" s="1"/>
  <c r="H249" i="4" s="1"/>
  <c r="H250" i="4" s="1"/>
  <c r="H251" i="4" s="1"/>
  <c r="H252" i="4" s="1"/>
  <c r="H253" i="4" s="1"/>
  <c r="H254" i="4" s="1"/>
  <c r="P6" i="5" a="1"/>
  <c r="P6" i="5" s="1"/>
  <c r="N17" i="5" a="1"/>
  <c r="N17" i="5" s="1"/>
  <c r="U11" i="5" a="1"/>
  <c r="U11" i="5" s="1"/>
  <c r="X13" i="5" a="1"/>
  <c r="X13" i="5" s="1"/>
  <c r="U14" i="5" a="1"/>
  <c r="U14" i="5" s="1"/>
  <c r="T14" i="5" a="1"/>
  <c r="T14" i="5" s="1"/>
  <c r="S7" i="5" a="1"/>
  <c r="S7" i="5" s="1"/>
  <c r="S3" i="5" a="1"/>
  <c r="S3" i="5" s="1"/>
  <c r="V12" i="5" a="1"/>
  <c r="V12" i="5" s="1"/>
  <c r="R4" i="5" a="1"/>
  <c r="R4" i="5" s="1"/>
  <c r="Y16" i="5" a="1"/>
  <c r="Y16" i="5" s="1"/>
  <c r="U8" i="5" a="1"/>
  <c r="U8" i="5" s="1"/>
  <c r="Y17" i="5" a="1"/>
  <c r="Y17" i="5" s="1"/>
  <c r="X3" i="5" a="1"/>
  <c r="X3" i="5" s="1"/>
  <c r="P4" i="5" a="1"/>
  <c r="P4" i="5" s="1"/>
  <c r="U31" i="5" a="1"/>
  <c r="U31" i="5" s="1"/>
  <c r="N30" i="5" a="1"/>
  <c r="N30" i="5" s="1"/>
  <c r="X30" i="5" a="1"/>
  <c r="X30" i="5" s="1"/>
  <c r="O35" i="5" a="1"/>
  <c r="O35" i="5" s="1"/>
  <c r="R21" i="5" a="1"/>
  <c r="R21" i="5" s="1"/>
  <c r="W31" i="5" a="1"/>
  <c r="W31" i="5" s="1"/>
  <c r="O33" i="5" a="1"/>
  <c r="O33" i="5" s="1"/>
  <c r="M23" i="5" a="1"/>
  <c r="M23" i="5" s="1"/>
  <c r="Z32" i="5" a="1"/>
  <c r="Z32" i="5" s="1"/>
  <c r="U21" i="5" a="1"/>
  <c r="U21" i="5" s="1"/>
  <c r="L15" i="5" a="1"/>
  <c r="L15" i="5" s="1"/>
  <c r="L10" i="5" a="1"/>
  <c r="L10" i="5" s="1"/>
  <c r="L16" i="5" a="1"/>
  <c r="L16" i="5" s="1"/>
  <c r="L11" i="5" a="1"/>
  <c r="L11" i="5" s="1"/>
  <c r="L14" i="5" a="1"/>
  <c r="L14" i="5" s="1"/>
  <c r="L17" i="5" a="1"/>
  <c r="L17" i="5" s="1"/>
  <c r="L5" i="5" a="1"/>
  <c r="L5" i="5" s="1"/>
  <c r="L4" i="5" a="1"/>
  <c r="L4" i="5" s="1"/>
  <c r="L8" i="5" a="1"/>
  <c r="L8" i="5" s="1"/>
  <c r="L9" i="5" a="1"/>
  <c r="L9" i="5" s="1"/>
  <c r="L6" i="5" a="1"/>
  <c r="L6" i="5" s="1"/>
  <c r="L7" i="5" a="1"/>
  <c r="L7" i="5" s="1"/>
  <c r="L13" i="5" a="1"/>
  <c r="L13" i="5" s="1"/>
  <c r="L12" i="5" a="1"/>
  <c r="L12" i="5" s="1"/>
  <c r="K5" i="4"/>
  <c r="K6" i="4" s="1"/>
  <c r="K7" i="4" s="1"/>
  <c r="K8" i="4" s="1"/>
  <c r="K9" i="4" s="1"/>
  <c r="K10" i="4" s="1"/>
  <c r="K11" i="4" s="1"/>
  <c r="K12" i="4" s="1"/>
  <c r="K13" i="4" s="1"/>
  <c r="K14" i="4" s="1"/>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K64" i="4" s="1"/>
  <c r="K65" i="4" s="1"/>
  <c r="K66" i="4" s="1"/>
  <c r="K67" i="4" s="1"/>
  <c r="K68" i="4" s="1"/>
  <c r="K69" i="4" s="1"/>
  <c r="K70" i="4" s="1"/>
  <c r="K71" i="4" s="1"/>
  <c r="K72" i="4" s="1"/>
  <c r="K73" i="4" s="1"/>
  <c r="K74" i="4" s="1"/>
  <c r="K75" i="4" s="1"/>
  <c r="K76" i="4" s="1"/>
  <c r="K77" i="4" s="1"/>
  <c r="K78" i="4" s="1"/>
  <c r="K79" i="4" s="1"/>
  <c r="K80" i="4" s="1"/>
  <c r="K81" i="4" s="1"/>
  <c r="K82" i="4" s="1"/>
  <c r="K83" i="4" s="1"/>
  <c r="K84" i="4" s="1"/>
  <c r="K85" i="4" s="1"/>
  <c r="K86" i="4" s="1"/>
  <c r="K87" i="4" s="1"/>
  <c r="K88" i="4" s="1"/>
  <c r="K89" i="4" s="1"/>
  <c r="K90" i="4" s="1"/>
  <c r="K91" i="4" s="1"/>
  <c r="K92" i="4" s="1"/>
  <c r="K93" i="4" s="1"/>
  <c r="K94" i="4" s="1"/>
  <c r="K95" i="4" s="1"/>
  <c r="K96" i="4" s="1"/>
  <c r="K97" i="4" s="1"/>
  <c r="K98" i="4" s="1"/>
  <c r="K99" i="4" s="1"/>
  <c r="K100" i="4" s="1"/>
  <c r="K101" i="4" s="1"/>
  <c r="K102" i="4" s="1"/>
  <c r="K103" i="4" s="1"/>
  <c r="K104" i="4" s="1"/>
  <c r="K105" i="4" s="1"/>
  <c r="K106" i="4" s="1"/>
  <c r="K107" i="4" s="1"/>
  <c r="K108" i="4" s="1"/>
  <c r="K109" i="4" s="1"/>
  <c r="K110" i="4" s="1"/>
  <c r="K111" i="4" s="1"/>
  <c r="K112" i="4" s="1"/>
  <c r="K113" i="4" s="1"/>
  <c r="K114" i="4" s="1"/>
  <c r="K115" i="4" s="1"/>
  <c r="K116" i="4" s="1"/>
  <c r="K117" i="4" s="1"/>
  <c r="K118" i="4" s="1"/>
  <c r="K119" i="4" s="1"/>
  <c r="K120" i="4" s="1"/>
  <c r="K121" i="4" s="1"/>
  <c r="K122" i="4" s="1"/>
  <c r="K123" i="4" s="1"/>
  <c r="K124" i="4" s="1"/>
  <c r="K125" i="4" s="1"/>
  <c r="K126" i="4" s="1"/>
  <c r="K127" i="4" s="1"/>
  <c r="K128" i="4" s="1"/>
  <c r="K129" i="4" s="1"/>
  <c r="K130" i="4" s="1"/>
  <c r="K131" i="4" s="1"/>
  <c r="K132" i="4" s="1"/>
  <c r="K133" i="4" s="1"/>
  <c r="K134" i="4" s="1"/>
  <c r="K135" i="4" s="1"/>
  <c r="K136" i="4" s="1"/>
  <c r="K137" i="4" s="1"/>
  <c r="K138" i="4" s="1"/>
  <c r="K139" i="4" s="1"/>
  <c r="K140" i="4" s="1"/>
  <c r="K141" i="4" s="1"/>
  <c r="K142" i="4" s="1"/>
  <c r="K143" i="4" s="1"/>
  <c r="K144" i="4" s="1"/>
  <c r="K145" i="4" s="1"/>
  <c r="K146" i="4" s="1"/>
  <c r="K147" i="4" s="1"/>
  <c r="K148" i="4" s="1"/>
  <c r="K149" i="4" s="1"/>
  <c r="K150" i="4" s="1"/>
  <c r="K151" i="4" s="1"/>
  <c r="K152" i="4" s="1"/>
  <c r="K153" i="4" s="1"/>
  <c r="K154" i="4" s="1"/>
  <c r="K155" i="4" s="1"/>
  <c r="K156" i="4" s="1"/>
  <c r="K157" i="4" s="1"/>
  <c r="K158" i="4" s="1"/>
  <c r="K159" i="4" s="1"/>
  <c r="K160" i="4" s="1"/>
  <c r="K161" i="4" s="1"/>
  <c r="K162" i="4" s="1"/>
  <c r="K163" i="4" s="1"/>
  <c r="K164" i="4" s="1"/>
  <c r="K165" i="4" s="1"/>
  <c r="K166" i="4" s="1"/>
  <c r="K167" i="4" s="1"/>
  <c r="K168" i="4" s="1"/>
  <c r="K169" i="4" s="1"/>
  <c r="K170" i="4" s="1"/>
  <c r="K171" i="4" s="1"/>
  <c r="K172" i="4" s="1"/>
  <c r="K173" i="4" s="1"/>
  <c r="K174" i="4" s="1"/>
  <c r="K175" i="4" s="1"/>
  <c r="K176" i="4" s="1"/>
  <c r="K177" i="4" s="1"/>
  <c r="K178" i="4" s="1"/>
  <c r="K179" i="4" s="1"/>
  <c r="K180" i="4" s="1"/>
  <c r="K181" i="4" s="1"/>
  <c r="K182" i="4" s="1"/>
  <c r="K183" i="4" s="1"/>
  <c r="K184" i="4" s="1"/>
  <c r="K185" i="4" s="1"/>
  <c r="K186" i="4" s="1"/>
  <c r="K187" i="4" s="1"/>
  <c r="K188" i="4" s="1"/>
  <c r="K189" i="4" s="1"/>
  <c r="K190" i="4" s="1"/>
  <c r="K191" i="4" s="1"/>
  <c r="K192" i="4" s="1"/>
  <c r="K193" i="4" s="1"/>
  <c r="K194" i="4" s="1"/>
  <c r="K195" i="4" s="1"/>
  <c r="K196" i="4" s="1"/>
  <c r="K197" i="4" s="1"/>
  <c r="K198" i="4" s="1"/>
  <c r="K199" i="4" s="1"/>
  <c r="K200" i="4" s="1"/>
  <c r="K201" i="4" s="1"/>
  <c r="K202" i="4" s="1"/>
  <c r="K203" i="4" s="1"/>
  <c r="K204" i="4" s="1"/>
  <c r="K205" i="4" s="1"/>
  <c r="K206" i="4" s="1"/>
  <c r="K207" i="4" s="1"/>
  <c r="K208" i="4" s="1"/>
  <c r="K209" i="4" s="1"/>
  <c r="K210" i="4" s="1"/>
  <c r="K211" i="4" s="1"/>
  <c r="K212" i="4" s="1"/>
  <c r="K213" i="4" s="1"/>
  <c r="K214" i="4" s="1"/>
  <c r="K215" i="4" s="1"/>
  <c r="K216" i="4" s="1"/>
  <c r="K217" i="4" s="1"/>
  <c r="K218" i="4" s="1"/>
  <c r="K219" i="4" s="1"/>
  <c r="K220" i="4" s="1"/>
  <c r="K221" i="4" s="1"/>
  <c r="K222" i="4" s="1"/>
  <c r="K223" i="4" s="1"/>
  <c r="K224" i="4" s="1"/>
  <c r="K225" i="4" s="1"/>
  <c r="K226" i="4" s="1"/>
  <c r="K227" i="4" s="1"/>
  <c r="K228" i="4" s="1"/>
  <c r="K229" i="4" s="1"/>
  <c r="K230" i="4" s="1"/>
  <c r="K231" i="4" s="1"/>
  <c r="K232" i="4" s="1"/>
  <c r="K233" i="4" s="1"/>
  <c r="K234" i="4" s="1"/>
  <c r="K235" i="4" s="1"/>
  <c r="K236" i="4" s="1"/>
  <c r="K237" i="4" s="1"/>
  <c r="K238" i="4" s="1"/>
  <c r="K239" i="4" s="1"/>
  <c r="K240" i="4" s="1"/>
  <c r="K241" i="4" s="1"/>
  <c r="K242" i="4" s="1"/>
  <c r="K243" i="4" s="1"/>
  <c r="K244" i="4" s="1"/>
  <c r="K245" i="4" s="1"/>
  <c r="K246" i="4" s="1"/>
  <c r="K247" i="4" s="1"/>
  <c r="K248" i="4" s="1"/>
  <c r="K249" i="4" s="1"/>
  <c r="K250" i="4" s="1"/>
  <c r="K251" i="4" s="1"/>
  <c r="K252" i="4" s="1"/>
  <c r="K253" i="4" s="1"/>
  <c r="K254" i="4" s="1"/>
  <c r="P5" i="4"/>
  <c r="P6" i="4" s="1"/>
  <c r="P7" i="4" s="1"/>
  <c r="P8" i="4" s="1"/>
  <c r="P9" i="4" s="1"/>
  <c r="P10" i="4" s="1"/>
  <c r="P11" i="4" s="1"/>
  <c r="P12" i="4" s="1"/>
  <c r="P13" i="4" s="1"/>
  <c r="P14" i="4" s="1"/>
  <c r="P15" i="4" s="1"/>
  <c r="P16" i="4" s="1"/>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P56" i="4" s="1"/>
  <c r="P57" i="4" s="1"/>
  <c r="P58" i="4" s="1"/>
  <c r="P59" i="4" s="1"/>
  <c r="P60" i="4" s="1"/>
  <c r="P61" i="4" s="1"/>
  <c r="P62" i="4" s="1"/>
  <c r="P63" i="4" s="1"/>
  <c r="P64" i="4" s="1"/>
  <c r="P65" i="4" s="1"/>
  <c r="P66" i="4" s="1"/>
  <c r="P67" i="4" s="1"/>
  <c r="P68" i="4" s="1"/>
  <c r="P69" i="4" s="1"/>
  <c r="P70" i="4" s="1"/>
  <c r="P71" i="4" s="1"/>
  <c r="P72" i="4" s="1"/>
  <c r="P73" i="4" s="1"/>
  <c r="P74" i="4" s="1"/>
  <c r="P75" i="4" s="1"/>
  <c r="P76" i="4" s="1"/>
  <c r="P77" i="4" s="1"/>
  <c r="P78" i="4" s="1"/>
  <c r="P79" i="4" s="1"/>
  <c r="P80" i="4" s="1"/>
  <c r="P81" i="4" s="1"/>
  <c r="P82" i="4" s="1"/>
  <c r="P83" i="4" s="1"/>
  <c r="P84" i="4" s="1"/>
  <c r="P85" i="4" s="1"/>
  <c r="P86" i="4" s="1"/>
  <c r="P87" i="4" s="1"/>
  <c r="P88" i="4" s="1"/>
  <c r="P89" i="4" s="1"/>
  <c r="P90" i="4" s="1"/>
  <c r="P91" i="4" s="1"/>
  <c r="P92" i="4" s="1"/>
  <c r="P93" i="4" s="1"/>
  <c r="P94" i="4" s="1"/>
  <c r="P95" i="4" s="1"/>
  <c r="P96" i="4" s="1"/>
  <c r="P97" i="4" s="1"/>
  <c r="P98" i="4" s="1"/>
  <c r="P99" i="4" s="1"/>
  <c r="P100" i="4" s="1"/>
  <c r="P101" i="4" s="1"/>
  <c r="P102" i="4" s="1"/>
  <c r="P103" i="4" s="1"/>
  <c r="P104" i="4" s="1"/>
  <c r="P105" i="4" s="1"/>
  <c r="P106" i="4" s="1"/>
  <c r="P107" i="4" s="1"/>
  <c r="P108" i="4" s="1"/>
  <c r="P109" i="4" s="1"/>
  <c r="P110" i="4" s="1"/>
  <c r="P111" i="4" s="1"/>
  <c r="P112" i="4" s="1"/>
  <c r="P113" i="4" s="1"/>
  <c r="P114" i="4" s="1"/>
  <c r="P115" i="4" s="1"/>
  <c r="P116" i="4" s="1"/>
  <c r="P117" i="4" s="1"/>
  <c r="P118" i="4" s="1"/>
  <c r="P119" i="4" s="1"/>
  <c r="P120" i="4" s="1"/>
  <c r="P121" i="4" s="1"/>
  <c r="P122" i="4" s="1"/>
  <c r="P123" i="4" s="1"/>
  <c r="P124" i="4" s="1"/>
  <c r="P125" i="4" s="1"/>
  <c r="P126" i="4" s="1"/>
  <c r="P127" i="4" s="1"/>
  <c r="P128" i="4" s="1"/>
  <c r="P129" i="4" s="1"/>
  <c r="P130" i="4" s="1"/>
  <c r="P131" i="4" s="1"/>
  <c r="P132" i="4" s="1"/>
  <c r="P133" i="4" s="1"/>
  <c r="P134" i="4" s="1"/>
  <c r="P135" i="4" s="1"/>
  <c r="P136" i="4" s="1"/>
  <c r="P137" i="4" s="1"/>
  <c r="P138" i="4" s="1"/>
  <c r="P139" i="4" s="1"/>
  <c r="P140" i="4" s="1"/>
  <c r="P141" i="4" s="1"/>
  <c r="P142" i="4" s="1"/>
  <c r="P143" i="4" s="1"/>
  <c r="P144" i="4" s="1"/>
  <c r="P145" i="4" s="1"/>
  <c r="P146" i="4" s="1"/>
  <c r="P147" i="4" s="1"/>
  <c r="P148" i="4" s="1"/>
  <c r="P149" i="4" s="1"/>
  <c r="P150" i="4" s="1"/>
  <c r="P151" i="4" s="1"/>
  <c r="P152" i="4" s="1"/>
  <c r="P153" i="4" s="1"/>
  <c r="P154" i="4" s="1"/>
  <c r="P155" i="4" s="1"/>
  <c r="P156" i="4" s="1"/>
  <c r="P157" i="4" s="1"/>
  <c r="P158" i="4" s="1"/>
  <c r="P159" i="4" s="1"/>
  <c r="P160" i="4" s="1"/>
  <c r="P161" i="4" s="1"/>
  <c r="P162" i="4" s="1"/>
  <c r="P163" i="4" s="1"/>
  <c r="P164" i="4" s="1"/>
  <c r="P165" i="4" s="1"/>
  <c r="P166" i="4" s="1"/>
  <c r="P167" i="4" s="1"/>
  <c r="P168" i="4" s="1"/>
  <c r="P169" i="4" s="1"/>
  <c r="P170" i="4" s="1"/>
  <c r="P171" i="4" s="1"/>
  <c r="P172" i="4" s="1"/>
  <c r="P173" i="4" s="1"/>
  <c r="P174" i="4" s="1"/>
  <c r="P175" i="4" s="1"/>
  <c r="P176" i="4" s="1"/>
  <c r="P177" i="4" s="1"/>
  <c r="P178" i="4" s="1"/>
  <c r="P179" i="4" s="1"/>
  <c r="P180" i="4" s="1"/>
  <c r="P181" i="4" s="1"/>
  <c r="P182" i="4" s="1"/>
  <c r="P183" i="4" s="1"/>
  <c r="P184" i="4" s="1"/>
  <c r="P185" i="4" s="1"/>
  <c r="P186" i="4" s="1"/>
  <c r="P187" i="4" s="1"/>
  <c r="P188" i="4" s="1"/>
  <c r="P189" i="4" s="1"/>
  <c r="P190" i="4" s="1"/>
  <c r="P191" i="4" s="1"/>
  <c r="P192" i="4" s="1"/>
  <c r="P193" i="4" s="1"/>
  <c r="P194" i="4" s="1"/>
  <c r="P195" i="4" s="1"/>
  <c r="P196" i="4" s="1"/>
  <c r="P197" i="4" s="1"/>
  <c r="P198" i="4" s="1"/>
  <c r="P199" i="4" s="1"/>
  <c r="P200" i="4" s="1"/>
  <c r="P201" i="4" s="1"/>
  <c r="P202" i="4" s="1"/>
  <c r="P203" i="4" s="1"/>
  <c r="P204" i="4" s="1"/>
  <c r="P205" i="4" s="1"/>
  <c r="P206" i="4" s="1"/>
  <c r="P207" i="4" s="1"/>
  <c r="P208" i="4" s="1"/>
  <c r="P209" i="4" s="1"/>
  <c r="P210" i="4" s="1"/>
  <c r="P211" i="4" s="1"/>
  <c r="P212" i="4" s="1"/>
  <c r="P213" i="4" s="1"/>
  <c r="P214" i="4" s="1"/>
  <c r="P215" i="4" s="1"/>
  <c r="P216" i="4" s="1"/>
  <c r="P217" i="4" s="1"/>
  <c r="P218" i="4" s="1"/>
  <c r="P219" i="4" s="1"/>
  <c r="P220" i="4" s="1"/>
  <c r="P221" i="4" s="1"/>
  <c r="P222" i="4" s="1"/>
  <c r="P223" i="4" s="1"/>
  <c r="P224" i="4" s="1"/>
  <c r="P225" i="4" s="1"/>
  <c r="P226" i="4" s="1"/>
  <c r="P227" i="4" s="1"/>
  <c r="P228" i="4" s="1"/>
  <c r="P229" i="4" s="1"/>
  <c r="P230" i="4" s="1"/>
  <c r="P231" i="4" s="1"/>
  <c r="P232" i="4" s="1"/>
  <c r="P233" i="4" s="1"/>
  <c r="P234" i="4" s="1"/>
  <c r="P235" i="4" s="1"/>
  <c r="P236" i="4" s="1"/>
  <c r="P237" i="4" s="1"/>
  <c r="P238" i="4" s="1"/>
  <c r="P239" i="4" s="1"/>
  <c r="P240" i="4" s="1"/>
  <c r="P241" i="4" s="1"/>
  <c r="P242" i="4" s="1"/>
  <c r="P243" i="4" s="1"/>
  <c r="P244" i="4" s="1"/>
  <c r="P245" i="4" s="1"/>
  <c r="P246" i="4" s="1"/>
  <c r="P247" i="4" s="1"/>
  <c r="P248" i="4" s="1"/>
  <c r="P249" i="4" s="1"/>
  <c r="P250" i="4" s="1"/>
  <c r="P251" i="4" s="1"/>
  <c r="P252" i="4" s="1"/>
  <c r="P253" i="4" s="1"/>
  <c r="P254" i="4" s="1"/>
  <c r="E5" i="4"/>
  <c r="E6" i="4" s="1"/>
  <c r="E7" i="4" s="1"/>
  <c r="E8" i="4" s="1"/>
  <c r="E9" i="4" s="1"/>
  <c r="E10" i="4" s="1"/>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37" i="4" s="1"/>
  <c r="E38" i="4" s="1"/>
  <c r="E39" i="4" s="1"/>
  <c r="E40" i="4" s="1"/>
  <c r="E41" i="4" s="1"/>
  <c r="E42" i="4" s="1"/>
  <c r="E43" i="4" s="1"/>
  <c r="E44" i="4" s="1"/>
  <c r="E45" i="4" s="1"/>
  <c r="E46" i="4" s="1"/>
  <c r="E47" i="4" s="1"/>
  <c r="E48" i="4" s="1"/>
  <c r="E49" i="4" s="1"/>
  <c r="E50" i="4" s="1"/>
  <c r="E51" i="4" s="1"/>
  <c r="E52" i="4" s="1"/>
  <c r="E53" i="4" s="1"/>
  <c r="E54" i="4" s="1"/>
  <c r="E55" i="4" s="1"/>
  <c r="E56" i="4" s="1"/>
  <c r="E57" i="4" s="1"/>
  <c r="E58" i="4" s="1"/>
  <c r="E59" i="4" s="1"/>
  <c r="E60" i="4" s="1"/>
  <c r="E61" i="4" s="1"/>
  <c r="E62" i="4" s="1"/>
  <c r="E63" i="4" s="1"/>
  <c r="E64" i="4" s="1"/>
  <c r="E65" i="4" s="1"/>
  <c r="E66" i="4" s="1"/>
  <c r="E67" i="4" s="1"/>
  <c r="E68" i="4" s="1"/>
  <c r="E69" i="4" s="1"/>
  <c r="E70" i="4" s="1"/>
  <c r="E71" i="4" s="1"/>
  <c r="E72" i="4" s="1"/>
  <c r="E73" i="4" s="1"/>
  <c r="E74" i="4" s="1"/>
  <c r="E75" i="4" s="1"/>
  <c r="E76" i="4" s="1"/>
  <c r="E77" i="4" s="1"/>
  <c r="E78" i="4" s="1"/>
  <c r="E79" i="4" s="1"/>
  <c r="E80" i="4" s="1"/>
  <c r="E81" i="4" s="1"/>
  <c r="E82" i="4" s="1"/>
  <c r="E83" i="4" s="1"/>
  <c r="E84" i="4" s="1"/>
  <c r="E85" i="4" s="1"/>
  <c r="E86" i="4" s="1"/>
  <c r="E87" i="4" s="1"/>
  <c r="E88" i="4" s="1"/>
  <c r="E89" i="4" s="1"/>
  <c r="E90" i="4" s="1"/>
  <c r="E91" i="4" s="1"/>
  <c r="E92" i="4" s="1"/>
  <c r="E93" i="4" s="1"/>
  <c r="E94" i="4" s="1"/>
  <c r="E95" i="4" s="1"/>
  <c r="E96" i="4" s="1"/>
  <c r="E97" i="4" s="1"/>
  <c r="E98" i="4" s="1"/>
  <c r="E99" i="4" s="1"/>
  <c r="E100" i="4" s="1"/>
  <c r="E101" i="4" s="1"/>
  <c r="E102" i="4" s="1"/>
  <c r="E103" i="4" s="1"/>
  <c r="E104" i="4" s="1"/>
  <c r="E105" i="4" s="1"/>
  <c r="E106" i="4" s="1"/>
  <c r="E107" i="4" s="1"/>
  <c r="E108" i="4" s="1"/>
  <c r="E109" i="4" s="1"/>
  <c r="E110" i="4" s="1"/>
  <c r="E111" i="4" s="1"/>
  <c r="E112" i="4" s="1"/>
  <c r="E113" i="4" s="1"/>
  <c r="E114" i="4" s="1"/>
  <c r="E115" i="4" s="1"/>
  <c r="E116" i="4" s="1"/>
  <c r="E117" i="4" s="1"/>
  <c r="E118" i="4" s="1"/>
  <c r="E119" i="4" s="1"/>
  <c r="E120" i="4" s="1"/>
  <c r="E121" i="4" s="1"/>
  <c r="E122" i="4" s="1"/>
  <c r="E123" i="4" s="1"/>
  <c r="E124" i="4" s="1"/>
  <c r="E125" i="4" s="1"/>
  <c r="E126" i="4" s="1"/>
  <c r="E127" i="4" s="1"/>
  <c r="E128" i="4" s="1"/>
  <c r="E129" i="4" s="1"/>
  <c r="E130" i="4" s="1"/>
  <c r="E131" i="4" s="1"/>
  <c r="E132" i="4" s="1"/>
  <c r="E133" i="4" s="1"/>
  <c r="E134" i="4" s="1"/>
  <c r="E135" i="4" s="1"/>
  <c r="E136" i="4" s="1"/>
  <c r="E137" i="4" s="1"/>
  <c r="E138" i="4" s="1"/>
  <c r="E139" i="4" s="1"/>
  <c r="E140" i="4" s="1"/>
  <c r="E141" i="4" s="1"/>
  <c r="E142" i="4" s="1"/>
  <c r="E143" i="4" s="1"/>
  <c r="E144" i="4" s="1"/>
  <c r="E145" i="4" s="1"/>
  <c r="E146" i="4" s="1"/>
  <c r="E147" i="4" s="1"/>
  <c r="E148" i="4" s="1"/>
  <c r="E149" i="4" s="1"/>
  <c r="E150" i="4" s="1"/>
  <c r="E151" i="4" s="1"/>
  <c r="E152" i="4" s="1"/>
  <c r="E153" i="4" s="1"/>
  <c r="E154" i="4" s="1"/>
  <c r="E155" i="4" s="1"/>
  <c r="E156" i="4" s="1"/>
  <c r="E157" i="4" s="1"/>
  <c r="E158" i="4" s="1"/>
  <c r="E159" i="4" s="1"/>
  <c r="E160" i="4" s="1"/>
  <c r="E161" i="4" s="1"/>
  <c r="E162" i="4" s="1"/>
  <c r="E163" i="4" s="1"/>
  <c r="E164" i="4" s="1"/>
  <c r="E165" i="4" s="1"/>
  <c r="E166" i="4" s="1"/>
  <c r="E167" i="4" s="1"/>
  <c r="E168" i="4" s="1"/>
  <c r="E169" i="4" s="1"/>
  <c r="E170" i="4" s="1"/>
  <c r="E171" i="4" s="1"/>
  <c r="E172" i="4" s="1"/>
  <c r="E173" i="4" s="1"/>
  <c r="E174" i="4" s="1"/>
  <c r="E175" i="4" s="1"/>
  <c r="E176" i="4" s="1"/>
  <c r="E177" i="4" s="1"/>
  <c r="E178" i="4" s="1"/>
  <c r="E179" i="4" s="1"/>
  <c r="E180" i="4" s="1"/>
  <c r="E181" i="4" s="1"/>
  <c r="E182" i="4" s="1"/>
  <c r="E183" i="4" s="1"/>
  <c r="E184" i="4" s="1"/>
  <c r="E185" i="4" s="1"/>
  <c r="E186" i="4" s="1"/>
  <c r="E187" i="4" s="1"/>
  <c r="E188" i="4" s="1"/>
  <c r="E189" i="4" s="1"/>
  <c r="E190" i="4" s="1"/>
  <c r="E191" i="4" s="1"/>
  <c r="E192" i="4" s="1"/>
  <c r="E193" i="4" s="1"/>
  <c r="E194" i="4" s="1"/>
  <c r="E195" i="4" s="1"/>
  <c r="E196" i="4" s="1"/>
  <c r="E197" i="4" s="1"/>
  <c r="E198" i="4" s="1"/>
  <c r="E199" i="4" s="1"/>
  <c r="E200" i="4" s="1"/>
  <c r="E201" i="4" s="1"/>
  <c r="E202" i="4" s="1"/>
  <c r="E203" i="4" s="1"/>
  <c r="E204" i="4" s="1"/>
  <c r="E205" i="4" s="1"/>
  <c r="E206" i="4" s="1"/>
  <c r="E207" i="4" s="1"/>
  <c r="E208" i="4" s="1"/>
  <c r="E209" i="4" s="1"/>
  <c r="E210" i="4" s="1"/>
  <c r="E211" i="4" s="1"/>
  <c r="E212" i="4" s="1"/>
  <c r="E213" i="4" s="1"/>
  <c r="E214" i="4" s="1"/>
  <c r="E215" i="4" s="1"/>
  <c r="E216" i="4" s="1"/>
  <c r="E217" i="4" s="1"/>
  <c r="E218" i="4" s="1"/>
  <c r="E219" i="4" s="1"/>
  <c r="E220" i="4" s="1"/>
  <c r="E221" i="4" s="1"/>
  <c r="E222" i="4" s="1"/>
  <c r="E223" i="4" s="1"/>
  <c r="E224" i="4" s="1"/>
  <c r="E225" i="4" s="1"/>
  <c r="E226" i="4" s="1"/>
  <c r="E227" i="4" s="1"/>
  <c r="E228" i="4" s="1"/>
  <c r="E229" i="4" s="1"/>
  <c r="E230" i="4" s="1"/>
  <c r="E231" i="4" s="1"/>
  <c r="E232" i="4" s="1"/>
  <c r="E233" i="4" s="1"/>
  <c r="E234" i="4" s="1"/>
  <c r="E235" i="4" s="1"/>
  <c r="E236" i="4" s="1"/>
  <c r="E237" i="4" s="1"/>
  <c r="E238" i="4" s="1"/>
  <c r="E239" i="4" s="1"/>
  <c r="E240" i="4" s="1"/>
  <c r="E241" i="4" s="1"/>
  <c r="E242" i="4" s="1"/>
  <c r="E243" i="4" s="1"/>
  <c r="E244" i="4" s="1"/>
  <c r="E245" i="4" s="1"/>
  <c r="E246" i="4" s="1"/>
  <c r="E247" i="4" s="1"/>
  <c r="E248" i="4" s="1"/>
  <c r="E249" i="4" s="1"/>
  <c r="E250" i="4" s="1"/>
  <c r="E251" i="4" s="1"/>
  <c r="E252" i="4" s="1"/>
  <c r="E253" i="4" s="1"/>
  <c r="E254" i="4" s="1"/>
  <c r="I3" i="5" l="1" a="1"/>
  <c r="I3" i="5" s="1"/>
  <c r="S38" i="5"/>
  <c r="S39" i="5" s="1"/>
  <c r="M38" i="5"/>
  <c r="M39" i="5" s="1"/>
  <c r="X38" i="5"/>
  <c r="X39" i="5" s="1"/>
  <c r="T38" i="5"/>
  <c r="T39" i="5" s="1"/>
  <c r="N38" i="5"/>
  <c r="N39" i="5" s="1"/>
  <c r="R38" i="5"/>
  <c r="R39" i="5" s="1"/>
  <c r="W38" i="5"/>
  <c r="W39" i="5" s="1"/>
  <c r="P38" i="5"/>
  <c r="P39" i="5" s="1"/>
  <c r="O38" i="5"/>
  <c r="O39" i="5" s="1"/>
  <c r="Z38" i="5"/>
  <c r="Z39" i="5" s="1"/>
  <c r="L38" i="5"/>
  <c r="L39" i="5" s="1"/>
  <c r="V38" i="5"/>
  <c r="V39" i="5" s="1"/>
  <c r="U38" i="5"/>
  <c r="U39" i="5" s="1"/>
  <c r="Q38" i="5"/>
  <c r="Q39" i="5" s="1"/>
  <c r="Y38" i="5"/>
  <c r="Y39" i="5" s="1"/>
  <c r="L40" i="5" l="1"/>
  <c r="L41" i="5" s="1"/>
  <c r="G21" i="5" s="1"/>
  <c r="G46" i="5" l="1"/>
  <c r="G22" i="5"/>
  <c r="E5" i="1" l="1" a="1"/>
  <c r="E5"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79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3"/>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futureMetadata>
  <cellMetadata count="1">
    <bk>
      <rc t="1" v="0"/>
    </bk>
  </cellMetadata>
  <valueMetadata count="379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valueMetadata>
</metadata>
</file>

<file path=xl/sharedStrings.xml><?xml version="1.0" encoding="utf-8"?>
<sst xmlns="http://schemas.openxmlformats.org/spreadsheetml/2006/main" count="42" uniqueCount="31">
  <si>
    <t>Personal Stock Holdings - Markowitz Optimizer</t>
  </si>
  <si>
    <t>Start Date</t>
  </si>
  <si>
    <t>End Date</t>
  </si>
  <si>
    <t>Stocks</t>
  </si>
  <si>
    <t>Ticker</t>
  </si>
  <si>
    <t>The.Stonks</t>
  </si>
  <si>
    <t>Closing Price</t>
  </si>
  <si>
    <t>Stock.Names</t>
  </si>
  <si>
    <t>The Dates</t>
  </si>
  <si>
    <t>Annualized Return</t>
  </si>
  <si>
    <t>Annualized Volatility</t>
  </si>
  <si>
    <t>Weights</t>
  </si>
  <si>
    <t>Returns</t>
  </si>
  <si>
    <t>Risk</t>
  </si>
  <si>
    <t>Portfolio Performance</t>
  </si>
  <si>
    <t>Expected Return</t>
  </si>
  <si>
    <t>Portfolio Risk</t>
  </si>
  <si>
    <t>Sharpe Ratio</t>
  </si>
  <si>
    <t>Risk Free Rate</t>
  </si>
  <si>
    <t>Target Risk</t>
  </si>
  <si>
    <t>Cross Correlation Mix</t>
  </si>
  <si>
    <t>Cross Covariance Table</t>
  </si>
  <si>
    <t>W(a)*Cov(a,b)</t>
  </si>
  <si>
    <t>*W(b)</t>
  </si>
  <si>
    <t>Sum of w(a)w(b)cov(a,b)</t>
  </si>
  <si>
    <t>Square Root of the Sum</t>
  </si>
  <si>
    <t xml:space="preserve">Daily Portfolio Risk </t>
  </si>
  <si>
    <t>Return</t>
  </si>
  <si>
    <t>Optimized</t>
  </si>
  <si>
    <t>Market Portfolio</t>
  </si>
  <si>
    <t>Cash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</si>
</sst>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409]* #,##0.00_);_([$$-409]* \(#,##0.00\);_([$$-409]* &quot;-&quot;??_);_(@_)"/>
    <numFmt numFmtId="165" formatCode="0.0%"/>
  </numFmts>
  <fonts count="6" x14ac:knownFonts="1">
    <font>
      <sz val="11"/>
      <color theme="1"/>
      <name val="Aptos Narrow"/>
      <family val="2"/>
      <scheme val="minor"/>
    </font>
    <font>
      <b/>
      <sz val="14"/>
      <color theme="1"/>
      <name val="Aptos Display"/>
      <family val="2"/>
      <scheme val="major"/>
    </font>
    <font>
      <sz val="11"/>
      <color theme="1"/>
      <name val="Aptos Narrow"/>
      <family val="2"/>
      <scheme val="minor"/>
    </font>
    <font>
      <b/>
      <sz val="11"/>
      <color rgb="FF3F3F3F"/>
      <name val="Aptos Narrow"/>
      <family val="2"/>
      <scheme val="minor"/>
    </font>
    <font>
      <b/>
      <sz val="11"/>
      <color theme="1"/>
      <name val="Aptos Display"/>
      <family val="2"/>
      <scheme val="major"/>
    </font>
    <font>
      <sz val="11"/>
      <color rgb="FF000000"/>
      <name val="Aptos Narrow"/>
      <family val="2"/>
    </font>
  </fonts>
  <fills count="9">
    <fill>
      <patternFill patternType="none"/>
    </fill>
    <fill>
      <patternFill patternType="gray125"/>
    </fill>
    <fill>
      <patternFill patternType="solid">
        <fgColor rgb="FFF2F2F2"/>
      </patternFill>
    </fill>
    <fill>
      <patternFill patternType="solid">
        <fgColor theme="4" tint="0.79998168889431442"/>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8" tint="0.79998168889431442"/>
        <bgColor indexed="64"/>
      </patternFill>
    </fill>
  </fills>
  <borders count="13">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diagonal/>
    </border>
    <border>
      <left style="thin">
        <color rgb="FF3F3F3F"/>
      </left>
      <right/>
      <top style="thin">
        <color rgb="FF3F3F3F"/>
      </top>
      <bottom style="thin">
        <color rgb="FF3F3F3F"/>
      </bottom>
      <diagonal/>
    </border>
    <border>
      <left style="thin">
        <color rgb="FF3F3F3F"/>
      </left>
      <right style="thin">
        <color rgb="FF3F3F3F"/>
      </right>
      <top style="thin">
        <color rgb="FF3F3F3F"/>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xf numFmtId="43" fontId="2" fillId="0" borderId="0" applyFont="0" applyFill="0" applyBorder="0" applyAlignment="0" applyProtection="0"/>
    <xf numFmtId="9" fontId="2" fillId="0" borderId="0" applyFont="0" applyFill="0" applyBorder="0" applyAlignment="0" applyProtection="0"/>
    <xf numFmtId="0" fontId="3" fillId="2" borderId="1" applyNumberFormat="0" applyAlignment="0" applyProtection="0"/>
  </cellStyleXfs>
  <cellXfs count="35">
    <xf numFmtId="0" fontId="0" fillId="0" borderId="0" xfId="0"/>
    <xf numFmtId="0" fontId="1" fillId="0" borderId="0" xfId="1"/>
    <xf numFmtId="14" fontId="0" fillId="0" borderId="0" xfId="0" applyNumberFormat="1"/>
    <xf numFmtId="164" fontId="0" fillId="0" borderId="0" xfId="0" applyNumberFormat="1"/>
    <xf numFmtId="0" fontId="0" fillId="0" borderId="0" xfId="0" applyAlignment="1">
      <alignment horizontal="center"/>
    </xf>
    <xf numFmtId="0" fontId="0" fillId="0" borderId="0" xfId="0" applyAlignment="1">
      <alignment horizontal="right"/>
    </xf>
    <xf numFmtId="9" fontId="0" fillId="0" borderId="0" xfId="3" applyFont="1"/>
    <xf numFmtId="165" fontId="0" fillId="0" borderId="0" xfId="3" applyNumberFormat="1" applyFont="1"/>
    <xf numFmtId="1" fontId="0" fillId="0" borderId="0" xfId="0" applyNumberFormat="1"/>
    <xf numFmtId="10" fontId="0" fillId="0" borderId="0" xfId="3" applyNumberFormat="1" applyFont="1"/>
    <xf numFmtId="10" fontId="0" fillId="0" borderId="2" xfId="0" applyNumberFormat="1" applyBorder="1"/>
    <xf numFmtId="0" fontId="3" fillId="2" borderId="1" xfId="4"/>
    <xf numFmtId="0" fontId="3" fillId="2" borderId="1" xfId="4" applyAlignment="1">
      <alignment horizontal="right"/>
    </xf>
    <xf numFmtId="0" fontId="3" fillId="2" borderId="3" xfId="4" applyBorder="1" applyAlignment="1">
      <alignment horizontal="right" indent="1"/>
    </xf>
    <xf numFmtId="0" fontId="3" fillId="2" borderId="4" xfId="4" applyBorder="1" applyAlignment="1">
      <alignment horizontal="right"/>
    </xf>
    <xf numFmtId="9" fontId="0" fillId="0" borderId="5" xfId="3" applyFont="1" applyBorder="1"/>
    <xf numFmtId="9" fontId="0" fillId="0" borderId="2" xfId="3" applyFont="1" applyBorder="1"/>
    <xf numFmtId="9" fontId="0" fillId="0" borderId="6" xfId="3" applyFont="1" applyBorder="1"/>
    <xf numFmtId="9" fontId="0" fillId="0" borderId="7" xfId="3" applyFont="1" applyBorder="1"/>
    <xf numFmtId="9" fontId="0" fillId="0" borderId="0" xfId="3" applyFont="1" applyBorder="1"/>
    <xf numFmtId="9" fontId="0" fillId="0" borderId="8" xfId="3" applyFont="1" applyBorder="1"/>
    <xf numFmtId="9" fontId="0" fillId="0" borderId="9" xfId="3" applyFont="1" applyBorder="1"/>
    <xf numFmtId="9" fontId="0" fillId="0" borderId="10" xfId="3" applyFont="1" applyBorder="1"/>
    <xf numFmtId="9" fontId="0" fillId="0" borderId="11" xfId="3" applyFont="1" applyBorder="1"/>
    <xf numFmtId="0" fontId="4" fillId="0" borderId="0" xfId="1" applyFont="1"/>
    <xf numFmtId="9" fontId="0" fillId="0" borderId="0" xfId="3" applyFont="1" applyFill="1" applyBorder="1"/>
    <xf numFmtId="165" fontId="0" fillId="0" borderId="0" xfId="3" applyNumberFormat="1" applyFont="1" applyFill="1" applyBorder="1"/>
    <xf numFmtId="43" fontId="0" fillId="0" borderId="0" xfId="2" applyFont="1"/>
    <xf numFmtId="9" fontId="0" fillId="0" borderId="0" xfId="0" applyNumberFormat="1"/>
    <xf numFmtId="9" fontId="0" fillId="3" borderId="0" xfId="3" applyFont="1" applyFill="1"/>
    <xf numFmtId="9" fontId="0" fillId="4" borderId="0" xfId="3" applyFont="1" applyFill="1"/>
    <xf numFmtId="9" fontId="0" fillId="5" borderId="12" xfId="0" applyNumberFormat="1" applyFill="1" applyBorder="1"/>
    <xf numFmtId="9" fontId="0" fillId="6" borderId="0" xfId="3" applyFont="1" applyFill="1"/>
    <xf numFmtId="9" fontId="0" fillId="7" borderId="0" xfId="3" applyFont="1" applyFill="1"/>
    <xf numFmtId="9" fontId="0" fillId="8" borderId="0" xfId="3" applyFont="1" applyFill="1"/>
  </cellXfs>
  <cellStyles count="5">
    <cellStyle name="Comma" xfId="2" builtinId="3"/>
    <cellStyle name="Normal" xfId="0" builtinId="0"/>
    <cellStyle name="Output" xfId="4" builtinId="21"/>
    <cellStyle name="Percent" xfId="3" builtinId="5"/>
    <cellStyle name="title cell" xfId="1" xr:uid="{83650723-8F86-483B-BEFA-CFDE7FCD731D}"/>
  </cellStyles>
  <dxfs count="0"/>
  <tableStyles count="0" defaultTableStyle="TableStyleMedium2" defaultPivotStyle="PivotStyleLight16"/>
  <colors>
    <mruColors>
      <color rgb="FFEDB9E8"/>
      <color rgb="FFE8A880"/>
      <color rgb="FFFFD581"/>
      <color rgb="FFFFFF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externalLink" Target="externalLinks/externalLink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aredStrings" Target="sharedString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Array" Target="richData/rdarray.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'CAPM Graph'!$B$2</c:f>
              <c:strCache>
                <c:ptCount val="1"/>
                <c:pt idx="0">
                  <c:v>Return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13"/>
            <c:marker>
              <c:symbol val="circle"/>
              <c:size val="5"/>
              <c:spPr>
                <a:solidFill>
                  <a:srgbClr val="EDB9E8"/>
                </a:solidFill>
                <a:ln w="9525">
                  <a:solidFill>
                    <a:schemeClr val="accent1"/>
                  </a:solidFill>
                </a:ln>
                <a:effectLst/>
              </c:spPr>
            </c:marker>
            <c:bubble3D val="0"/>
            <c:extLst>
              <c:ext xmlns:c16="http://schemas.microsoft.com/office/drawing/2014/chart" uri="{C3380CC4-5D6E-409C-BE32-E72D297353CC}">
                <c16:uniqueId val="{00000001-9DC5-4484-AC0B-9DC2A7257580}"/>
              </c:ext>
            </c:extLst>
          </c:dPt>
          <c:xVal>
            <c:numRef>
              <c:f>'CAPM Graph'!$A$3:$A$24</c:f>
              <c:numCache>
                <c:formatCode>0%</c:formatCode>
                <c:ptCount val="22"/>
                <c:pt idx="0">
                  <c:v>0.30500025931047625</c:v>
                </c:pt>
                <c:pt idx="1">
                  <c:v>0.3000002335114107</c:v>
                </c:pt>
                <c:pt idx="2">
                  <c:v>0.27499997502970186</c:v>
                </c:pt>
                <c:pt idx="3">
                  <c:v>0.24999990338549408</c:v>
                </c:pt>
                <c:pt idx="4">
                  <c:v>0.22500012513017817</c:v>
                </c:pt>
                <c:pt idx="5">
                  <c:v>0.20000000696891687</c:v>
                </c:pt>
                <c:pt idx="6">
                  <c:v>0.17499999795252799</c:v>
                </c:pt>
                <c:pt idx="7">
                  <c:v>0.1499999389827846</c:v>
                </c:pt>
                <c:pt idx="8">
                  <c:v>0.12499999784202441</c:v>
                </c:pt>
                <c:pt idx="9">
                  <c:v>0.10000009492219404</c:v>
                </c:pt>
                <c:pt idx="10">
                  <c:v>9.5000290810991456E-2</c:v>
                </c:pt>
                <c:pt idx="11">
                  <c:v>9.5000094616300823E-2</c:v>
                </c:pt>
                <c:pt idx="12">
                  <c:v>0.10000009437061858</c:v>
                </c:pt>
                <c:pt idx="13">
                  <c:v>0.12499999974014189</c:v>
                </c:pt>
                <c:pt idx="14">
                  <c:v>0.14999999915372497</c:v>
                </c:pt>
                <c:pt idx="15">
                  <c:v>0.17499989953562084</c:v>
                </c:pt>
                <c:pt idx="16">
                  <c:v>0.1999999968835752</c:v>
                </c:pt>
                <c:pt idx="17">
                  <c:v>0.22499981977307101</c:v>
                </c:pt>
                <c:pt idx="18">
                  <c:v>0.25000004273535426</c:v>
                </c:pt>
                <c:pt idx="19">
                  <c:v>0.27499984583978665</c:v>
                </c:pt>
                <c:pt idx="20">
                  <c:v>0.29999989186204057</c:v>
                </c:pt>
                <c:pt idx="21">
                  <c:v>0.30499988719013499</c:v>
                </c:pt>
              </c:numCache>
            </c:numRef>
          </c:xVal>
          <c:yVal>
            <c:numRef>
              <c:f>'CAPM Graph'!$B$3:$B$24</c:f>
              <c:numCache>
                <c:formatCode>0%</c:formatCode>
                <c:ptCount val="22"/>
                <c:pt idx="0">
                  <c:v>0.41571691166539559</c:v>
                </c:pt>
                <c:pt idx="1">
                  <c:v>0.39067142864544602</c:v>
                </c:pt>
                <c:pt idx="2">
                  <c:v>0.33965977998992586</c:v>
                </c:pt>
                <c:pt idx="3">
                  <c:v>0.27930730521329827</c:v>
                </c:pt>
                <c:pt idx="4">
                  <c:v>0.23560137395604036</c:v>
                </c:pt>
                <c:pt idx="5">
                  <c:v>0.18136787385571435</c:v>
                </c:pt>
                <c:pt idx="6">
                  <c:v>0.13972777162904301</c:v>
                </c:pt>
                <c:pt idx="7">
                  <c:v>0.11795888722628137</c:v>
                </c:pt>
                <c:pt idx="8">
                  <c:v>8.1740382537998965E-2</c:v>
                </c:pt>
                <c:pt idx="9">
                  <c:v>9.6881482362222576E-2</c:v>
                </c:pt>
                <c:pt idx="10">
                  <c:v>0.10818550602420474</c:v>
                </c:pt>
                <c:pt idx="11">
                  <c:v>0.17977016547117544</c:v>
                </c:pt>
                <c:pt idx="12">
                  <c:v>0.23320817744211525</c:v>
                </c:pt>
                <c:pt idx="13">
                  <c:v>0.3332650266516447</c:v>
                </c:pt>
                <c:pt idx="14">
                  <c:v>0.38623376783717661</c:v>
                </c:pt>
                <c:pt idx="15">
                  <c:v>0.42300830241049325</c:v>
                </c:pt>
                <c:pt idx="16">
                  <c:v>0.44734013608757273</c:v>
                </c:pt>
                <c:pt idx="17">
                  <c:v>0.46849870325669163</c:v>
                </c:pt>
                <c:pt idx="18">
                  <c:v>0.48082941311843985</c:v>
                </c:pt>
                <c:pt idx="19">
                  <c:v>0.48112205898943017</c:v>
                </c:pt>
                <c:pt idx="20">
                  <c:v>0.48012054460657894</c:v>
                </c:pt>
                <c:pt idx="21">
                  <c:v>0.45162936354520988</c:v>
                </c:pt>
              </c:numCache>
            </c:numRef>
          </c:yVal>
          <c:smooth val="1"/>
          <c:extLst>
            <c:ext xmlns:c16="http://schemas.microsoft.com/office/drawing/2014/chart" uri="{C3380CC4-5D6E-409C-BE32-E72D297353CC}">
              <c16:uniqueId val="{00000000-9DC5-4484-AC0B-9DC2A7257580}"/>
            </c:ext>
          </c:extLst>
        </c:ser>
        <c:dLbls>
          <c:showLegendKey val="0"/>
          <c:showVal val="0"/>
          <c:showCatName val="0"/>
          <c:showSerName val="0"/>
          <c:showPercent val="0"/>
          <c:showBubbleSize val="0"/>
        </c:dLbls>
        <c:axId val="1431014480"/>
        <c:axId val="1431012080"/>
      </c:scatterChart>
      <c:valAx>
        <c:axId val="143101448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012080"/>
        <c:crosses val="autoZero"/>
        <c:crossBetween val="midCat"/>
      </c:valAx>
      <c:valAx>
        <c:axId val="1431012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01448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285750</xdr:colOff>
          <xdr:row>41</xdr:row>
          <xdr:rowOff>85725</xdr:rowOff>
        </xdr:from>
        <xdr:to>
          <xdr:col>10</xdr:col>
          <xdr:colOff>247650</xdr:colOff>
          <xdr:row>43</xdr:row>
          <xdr:rowOff>142875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Copy 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9524</xdr:colOff>
      <xdr:row>1</xdr:row>
      <xdr:rowOff>14287</xdr:rowOff>
    </xdr:from>
    <xdr:to>
      <xdr:col>14</xdr:col>
      <xdr:colOff>590549</xdr:colOff>
      <xdr:row>17</xdr:row>
      <xdr:rowOff>9525</xdr:rowOff>
    </xdr:to>
    <xdr:graphicFrame macro="">
      <xdr:nvGraphicFramePr>
        <xdr:cNvPr id="2" name="Chart 1">
          <a:extLst>
            <a:ext uri="{FF2B5EF4-FFF2-40B4-BE49-F238E27FC236}">
              <a16:creationId xmlns:a16="http://schemas.microsoft.com/office/drawing/2014/main" id="{2366C9B4-2EDF-61F1-2CE8-C0FACEFF4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ksuprod-my.sharepoint.com/personal/cgartne2_kent_edu/Documents/Markowitz%20Optimizer%20FINAL.xlsm" TargetMode="External"/><Relationship Id="rId1" Type="http://schemas.openxmlformats.org/officeDocument/2006/relationships/externalLinkPath" Target="https://ksuprod-my.sharepoint.com/personal/cgartne2_kent_edu/Documents/Markowitz%20Optimizer%20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rms"/>
      <sheetName val="Optimized Portfolio"/>
      <sheetName val="CAPM Graph"/>
      <sheetName val="Historical Data"/>
      <sheetName val="Deltas"/>
      <sheetName val="Index"/>
      <sheetName val="Markowitz Optimizer FINAL"/>
    </sheetNames>
    <definedNames>
      <definedName name="copyV5"/>
    </definedNames>
    <sheetDataSet>
      <sheetData sheetId="0"/>
      <sheetData sheetId="1"/>
      <sheetData sheetId="2"/>
      <sheetData sheetId="3"/>
      <sheetData sheetId="4"/>
      <sheetData sheetId="5"/>
      <sheetData sheetId="6"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6">
  <a r="1" c="253">
    <v t="i">0</v>
    <v t="i">1</v>
    <v t="i">2</v>
    <v t="i">3</v>
    <v t="i">6</v>
    <v t="i">7</v>
    <v t="i">8</v>
    <v t="i">9</v>
    <v t="i">10</v>
    <v t="i">13</v>
    <v t="i">14</v>
    <v t="i">15</v>
    <v t="i">16</v>
    <v t="i">17</v>
    <v t="i">20</v>
    <v t="i">21</v>
    <v t="i">22</v>
    <v t="i">23</v>
    <v t="i">24</v>
    <v t="i">27</v>
    <v t="i">28</v>
    <v t="i">29</v>
    <v t="i">30</v>
    <v t="i">34</v>
    <v t="i">35</v>
    <v t="i">36</v>
    <v t="i">37</v>
    <v t="i">38</v>
    <v t="i">41</v>
    <v t="i">42</v>
    <v t="i">43</v>
    <v t="i">44</v>
    <v t="i">45</v>
    <v t="i">48</v>
    <v t="i">49</v>
    <v t="i">50</v>
    <v t="i">51</v>
    <v t="i">52</v>
    <v t="i">55</v>
    <v t="i">56</v>
    <v t="i">57</v>
    <v t="i">58</v>
    <v t="i">59</v>
    <v t="i">62</v>
    <v t="i">63</v>
    <v t="i">64</v>
    <v t="i">65</v>
    <v t="i">66</v>
    <v t="i">69</v>
    <v t="i">70</v>
    <v t="i">71</v>
    <v t="i">72</v>
    <v t="i">73</v>
    <v t="i">76</v>
    <v t="i">77</v>
    <v t="i">78</v>
    <v t="i">79</v>
    <v t="i">80</v>
    <v t="i">83</v>
    <v t="i">84</v>
    <v t="i">85</v>
    <v t="i">86</v>
    <v t="i">87</v>
    <v t="i">91</v>
    <v t="i">92</v>
    <v t="i">93</v>
    <v t="i">94</v>
    <v t="i">97</v>
    <v t="i">98</v>
    <v t="i">99</v>
    <v t="i">100</v>
    <v t="i">101</v>
    <v t="i">104</v>
    <v t="i">105</v>
    <v t="i">106</v>
    <v t="i">107</v>
    <v t="i">108</v>
    <v t="i">111</v>
    <v t="i">112</v>
    <v t="i">114</v>
    <v t="i">115</v>
    <v t="i">118</v>
    <v t="i">119</v>
    <v t="i">120</v>
    <v t="i">121</v>
    <v t="i">122</v>
    <v t="i">125</v>
    <v t="i">126</v>
    <v t="i">127</v>
    <v t="i">129</v>
    <v t="i">132</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189</v>
    <v t="i">190</v>
    <v t="i">191</v>
    <v t="i">192</v>
    <v t="i">195</v>
    <v t="i">196</v>
    <v t="i">197</v>
    <v t="i">198</v>
    <v t="i">199</v>
    <v t="i">202</v>
    <v t="i">203</v>
    <v t="i">204</v>
    <v t="i">205</v>
    <v t="i">206</v>
    <v t="i">209</v>
    <v t="i">210</v>
    <v t="i">211</v>
    <v t="i">212</v>
    <v t="i">213</v>
    <v t="i">216</v>
    <v t="i">217</v>
    <v t="i">218</v>
    <v t="i">219</v>
    <v t="i">220</v>
    <v t="i">223</v>
    <v t="i">224</v>
    <v t="i">225</v>
    <v t="i">226</v>
    <v t="i">227</v>
    <v t="i">230</v>
    <v t="i">231</v>
    <v t="i">232</v>
    <v t="i">233</v>
    <v t="i">234</v>
    <v t="i">237</v>
    <v t="i">238</v>
    <v t="i">239</v>
    <v t="i">240</v>
    <v t="i">241</v>
    <v t="i">244</v>
    <v t="i">245</v>
    <v t="i">246</v>
    <v t="i">247</v>
    <v t="i">248</v>
    <v t="i">251</v>
    <v t="i">252</v>
    <v t="i">253</v>
    <v t="i">254</v>
    <v t="i">255</v>
    <v t="i">258</v>
    <v t="i">259</v>
    <v t="i">260</v>
    <v t="i">261</v>
    <v t="i">262</v>
    <v t="i">265</v>
    <v t="i">266</v>
    <v t="i">267</v>
    <v t="i">268</v>
    <v t="i">269</v>
    <v t="i">272</v>
    <v t="i">273</v>
    <v t="i">274</v>
    <v t="i">276</v>
    <v t="i">279</v>
    <v t="i">280</v>
    <v t="i">281</v>
    <v t="i">282</v>
    <v t="i">283</v>
    <v t="i">286</v>
    <v t="i">287</v>
    <v t="i">288</v>
    <v t="i">289</v>
    <v t="i">290</v>
    <v t="i">293</v>
    <v t="i">294</v>
    <v t="i">295</v>
    <v t="i">296</v>
    <v t="i">297</v>
    <v t="i">300</v>
    <v t="i">301</v>
    <v t="i">303</v>
    <v t="i">304</v>
    <v t="i">307</v>
    <v t="i">308</v>
    <v t="i">310</v>
    <v t="i">311</v>
    <v t="i">314</v>
    <v t="i">315</v>
    <v t="i">316</v>
    <v t="i">318</v>
    <v t="i">321</v>
    <v t="i">322</v>
    <v t="i">323</v>
    <v t="i">324</v>
    <v t="i">325</v>
    <v t="i">329</v>
    <v t="i">330</v>
    <v t="i">331</v>
    <v t="i">332</v>
    <v t="i">335</v>
    <v t="i">336</v>
    <v t="i">337</v>
    <v t="i">338</v>
    <v t="i">339</v>
    <v t="i">342</v>
    <v t="i">343</v>
    <v t="i">344</v>
    <v t="i">345</v>
    <v t="i">346</v>
    <v t="i">349</v>
    <v t="i">350</v>
    <v t="i">351</v>
    <v t="i">352</v>
    <v t="i">353</v>
    <v t="i">357</v>
    <v t="i">358</v>
    <v t="i">359</v>
    <v t="i">360</v>
    <v t="i">363</v>
    <v t="i">364</v>
    <v t="i">365</v>
    <v t="i">366</v>
    <v t="i">367</v>
  </a>
  <a r="1" c="253">
    <v>199.73</v>
    <v>202.04</v>
    <v>201.88</v>
    <v>202.64</v>
    <v>188.14</v>
    <v>180.74</v>
    <v>176.54</v>
    <v>178.65</v>
    <v>175.34</v>
    <v>177.77</v>
    <v>177.54</v>
    <v>169.48</v>
    <v>162.5</v>
    <v>163.57</v>
    <v>173.8</v>
    <v>171.32</v>
    <v>175.66</v>
    <v>172.82</v>
    <v>170.83</v>
    <v>172.63</v>
    <v>177.67</v>
    <v>179.83</v>
    <v>175.79</v>
    <v>175.22</v>
    <v>166.63</v>
    <v>168.38</v>
    <v>171.11</v>
    <v>164.9</v>
    <v>172.98</v>
    <v>176.88</v>
    <v>171.76</v>
    <v>174.6</v>
    <v>171.05</v>
    <v>161.47999999999999</v>
    <v>157.11000000000001</v>
    <v>155.44999999999999</v>
    <v>149.93</v>
    <v>147.05000000000001</v>
    <v>142.05000000000001</v>
    <v>144.68</v>
    <v>162.13</v>
    <v>170.18</v>
    <v>168.29</v>
    <v>194.05</v>
    <v>183.28</v>
    <v>179.99</v>
    <v>180.01</v>
    <v>181.19</v>
    <v>184.76</v>
    <v>177.81</v>
    <v>174.72</v>
    <v>171.97</v>
    <v>168.47</v>
    <v>171.89</v>
    <v>177.55</v>
    <v>173.99</v>
    <v>174.84</v>
    <v>177.46</v>
    <v>174.95</v>
    <v>186.6</v>
    <v>180.11</v>
    <v>173.74</v>
    <v>179.24</v>
    <v>176.75</v>
    <v>176.19</v>
    <v>178.79</v>
    <v>178.08</v>
    <v>176.29</v>
    <v>174.77</v>
    <v>175</v>
    <v>177.94</v>
    <v>177.48</v>
    <v>173.79</v>
    <v>170.66</v>
    <v>177.29</v>
    <v>182.47</v>
    <v>178.01</v>
    <v>187.44</v>
    <v>184.86</v>
    <v>181.57</v>
    <v>183.01</v>
    <v>182.58</v>
    <v>187.35</v>
    <v>196.37</v>
    <v>197.42</v>
    <v>197.88</v>
    <v>209.86</v>
    <v>231.26</v>
    <v>246.39</v>
    <v>251.52</v>
    <v>252.94</v>
    <v>262.33</v>
    <v>263.26</v>
    <v>241.03</v>
    <v>248.23</v>
    <v>252.64</v>
    <v>256.56</v>
    <v>248.5</v>
    <v>249.23</v>
    <v>239.2</v>
    <v>251.51</v>
    <v>246.38</v>
    <v>215.99</v>
    <v>220.25</v>
    <v>219.8</v>
    <v>232.1</v>
    <v>222.62</v>
    <v>232.07</v>
    <v>216.86</v>
    <v>207.67</v>
    <v>198.88</v>
    <v>200.64</v>
    <v>191.76</v>
    <v>198.84</v>
    <v>200</v>
    <v>197.49</v>
    <v>207.83</v>
    <v>201.38</v>
    <v>214.14</v>
    <v>216.12</v>
    <v>222.72</v>
    <v>221.1</v>
    <v>223.27</v>
    <v>210.66</v>
    <v>220.32</v>
    <v>213.21</v>
    <v>209.21</v>
    <v>205.75</v>
    <v>206.28</v>
    <v>214.11</v>
    <v>210.6</v>
    <v>219.41</v>
    <v>230.17</v>
    <v>210.73</v>
    <v>216.27</v>
    <v>226.17</v>
    <v>228.13</v>
    <v>229.81</v>
    <v>230.29</v>
    <v>226.78</v>
    <v>227.87</v>
    <v>227.2</v>
    <v>243.92</v>
    <v>238.25</v>
    <v>250</v>
    <v>254.27</v>
    <v>257.02</v>
    <v>254.22</v>
    <v>260.45999999999998</v>
    <v>261.63</v>
    <v>258.02</v>
    <v>249.02</v>
    <v>240.66</v>
    <v>250.08</v>
    <v>240.83</v>
    <v>244.5</v>
    <v>241.05</v>
    <v>238.77</v>
    <v>217.8</v>
    <v>219.16</v>
    <v>219.57</v>
    <v>221.33</v>
    <v>220.89</v>
    <v>220.7</v>
    <v>218.85</v>
    <v>217.97</v>
    <v>213.65</v>
    <v>260.48</v>
    <v>269.19</v>
    <v>262.51</v>
    <v>259.52</v>
    <v>257.55</v>
    <v>249.85</v>
    <v>248.98</v>
    <v>242.84</v>
    <v>251.44</v>
    <v>288.52999999999997</v>
    <v>296.91000000000003</v>
    <v>321.22000000000003</v>
    <v>350</v>
    <v>328.49</v>
    <v>330.24</v>
    <v>311.18</v>
    <v>320.72000000000003</v>
    <v>338.74</v>
    <v>346</v>
    <v>342.03</v>
    <v>339.64</v>
    <v>352.56</v>
    <v>338.59</v>
    <v>338.23</v>
    <v>332.89</v>
    <v>345.16</v>
    <v>357.09</v>
    <v>351.42</v>
    <v>357.93</v>
    <v>369.49</v>
    <v>389.22</v>
    <v>389.79</v>
    <v>400.99</v>
    <v>424.77</v>
    <v>418.1</v>
    <v>436.23</v>
    <v>463.02</v>
    <v>479.86</v>
    <v>440.13</v>
    <v>436.17</v>
    <v>421.06</v>
    <v>430.6</v>
    <v>462.28</v>
    <v>454.13</v>
    <v>431.66</v>
    <v>417.41</v>
    <v>403.84</v>
    <v>379.28</v>
    <v>410.44</v>
    <v>411.05</v>
    <v>394.36</v>
    <v>394.94</v>
    <v>394.74</v>
    <v>403.31</v>
    <v>396.36</v>
    <v>428.22</v>
    <v>413.82</v>
    <v>426.5</v>
    <v>424.07</v>
    <v>415.11</v>
    <v>412.38</v>
    <v>406.58</v>
    <v>397.15</v>
    <v>398.09</v>
    <v>389.1</v>
    <v>400.28</v>
    <v>404.6</v>
    <v>383.68</v>
    <v>392.21</v>
    <v>378.17</v>
    <v>374.32</v>
    <v>361.62</v>
    <v>350.73</v>
    <v>328.5</v>
    <v>336.51</v>
    <v>355.94</v>
    <v>355.84</v>
    <v>354.11</v>
    <v>360.56</v>
    <v>354.4</v>
    <v>337.8</v>
    <v>330.53</v>
    <v>302.8</v>
    <v>290.8</v>
    <v>281.95</v>
    <v>292.98</v>
  </a>
  <a r="1" c="253">
    <v>173.54</v>
    <v>173.16</v>
    <v>176.76</v>
    <v>178.22</v>
    <v>177.58</v>
    <v>174.12</v>
    <v>173.51</v>
    <v>176.82</v>
    <v>175.35</v>
    <v>171.96</v>
    <v>175.39</v>
    <v>176.55500000000001</v>
    <v>178.75</v>
    <v>174.42</v>
    <v>174.48</v>
    <v>175.9</v>
    <v>178.15</v>
    <v>178.15</v>
    <v>178.87</v>
    <v>179.71</v>
    <v>178.3</v>
    <v>179.83</v>
    <v>180.38</v>
    <v>180.97</v>
    <v>180.69</v>
    <v>182.41</v>
    <v>180</v>
    <v>185.07</v>
    <v>185.19</v>
    <v>185.67</v>
    <v>185.95</v>
    <v>189.05</v>
    <v>186.13</v>
    <v>183.62</v>
    <v>183.32</v>
    <v>181.28</v>
    <v>179.22</v>
    <v>174.63</v>
    <v>177.23</v>
    <v>179.54</v>
    <v>176.59</v>
    <v>173.67</v>
    <v>179.62</v>
    <v>180.96</v>
    <v>175</v>
    <v>179</v>
    <v>184.72</v>
    <v>186.21</v>
    <v>188.7</v>
    <v>188.76</v>
    <v>188</v>
    <v>189.5</v>
    <v>187.48</v>
    <v>186.57</v>
    <v>187.07</v>
    <v>185.99</v>
    <v>183.63</v>
    <v>184.7</v>
    <v>183.54</v>
    <v>183.15</v>
    <v>183.13</v>
    <v>181.05</v>
    <v>180.75</v>
    <v>182.15</v>
    <v>182.02</v>
    <v>179.32</v>
    <v>176.44</v>
    <v>178.34</v>
    <v>179.34</v>
    <v>181.28</v>
    <v>185</v>
    <v>184.3</v>
    <v>187.06</v>
    <v>187.23</v>
    <v>186.89</v>
    <v>183.83</v>
    <v>183.66</v>
    <v>184.06</v>
    <v>182.81</v>
    <v>186.1</v>
    <v>189.08</v>
    <v>185.57</v>
    <v>186.34</v>
    <v>193.61</v>
    <v>197.85</v>
    <v>193.25</v>
    <v>197.2</v>
    <v>200</v>
    <v>197.59</v>
    <v>200</v>
    <v>199.29</v>
    <v>199.34</v>
    <v>199.79</v>
    <v>195.05</v>
    <v>194.49</v>
    <v>192.72</v>
    <v>193.02</v>
    <v>187.93</v>
    <v>183.75</v>
    <v>183.13</v>
    <v>182.55</v>
    <v>186.41</v>
    <v>180.83</v>
    <v>179.85</v>
    <v>182.5</v>
    <v>183.2</v>
    <v>181.71</v>
    <v>186.98</v>
    <v>184.07</v>
    <v>167.9</v>
    <v>161.02000000000001</v>
    <v>161.93</v>
    <v>162.77000000000001</v>
    <v>165.8</v>
    <v>166.94</v>
    <v>166.8</v>
    <v>170.23</v>
    <v>170.1</v>
    <v>177.59</v>
    <v>177.06</v>
    <v>178.22</v>
    <v>178.88</v>
    <v>180.11</v>
    <v>176.13</v>
    <v>177.04</v>
    <v>175.5</v>
    <v>173.12</v>
    <v>170.8</v>
    <v>172.12</v>
    <v>178.5</v>
    <v>176.25</v>
    <v>173.33</v>
    <v>177.89</v>
    <v>171.39</v>
    <v>175.4</v>
    <v>179.55</v>
    <v>184.52</v>
    <v>187</v>
    <v>186.49</v>
    <v>184.89</v>
    <v>186.88</v>
    <v>186.43</v>
    <v>189.87</v>
    <v>191.6</v>
    <v>193.88</v>
    <v>193.96</v>
    <v>192.53</v>
    <v>191.16</v>
    <v>187.97</v>
    <v>186.33</v>
    <v>185.13</v>
    <v>184.76</v>
    <v>181.96</v>
    <v>186.51</v>
    <v>180.8</v>
    <v>182.72</v>
    <v>185.17</v>
    <v>186.65</v>
    <v>188.82</v>
    <v>187.54</v>
    <v>187.69</v>
    <v>186.89</v>
    <v>187.53</v>
    <v>188.99</v>
    <v>189.07</v>
    <v>189.7</v>
    <v>184.71</v>
    <v>186.38</v>
    <v>187.83</v>
    <v>188.39</v>
    <v>190.83</v>
    <v>192.73</v>
    <v>186.4</v>
    <v>197.93</v>
    <v>195.78</v>
    <v>199.5</v>
    <v>207.09</v>
    <v>210.05</v>
    <v>208.18</v>
    <v>206.84</v>
    <v>208.91</v>
    <v>214.1</v>
    <v>211.48</v>
    <v>202.61</v>
    <v>201.7</v>
    <v>204.61</v>
    <v>202.88</v>
    <v>198.38</v>
    <v>197.12</v>
    <v>201.45</v>
    <v>207.86</v>
    <v>205.74</v>
    <v>207.89</v>
    <v>210.71</v>
    <v>213.44</v>
    <v>218.16</v>
    <v>220.55</v>
    <v>227.03</v>
    <v>226.09</v>
    <v>225.04</v>
    <v>230.26</v>
    <v>228.97</v>
    <v>227.46</v>
    <v>232.93</v>
    <v>231.15</v>
    <v>220.52</v>
    <v>223.29</v>
    <v>224.92</v>
    <v>225.06</v>
    <v>229.05</v>
    <v>227.05</v>
    <v>223.75</v>
    <v>221.3</v>
    <v>219.39</v>
    <v>220.22</v>
    <v>224.19</v>
    <v>227.61</v>
    <v>222.11</v>
    <v>222.13</v>
    <v>218.94</v>
    <v>218.46</v>
    <v>217.76</v>
    <v>223.35</v>
    <v>220.66</v>
    <v>225.94</v>
    <v>230.71</v>
    <v>235.01</v>
    <v>235.42</v>
    <v>234.85</v>
    <v>235.42</v>
    <v>238.15</v>
    <v>237.07</v>
    <v>234.64</v>
    <v>237.68</v>
    <v>237.42</v>
    <v>242.06</v>
    <v>236.17</v>
    <v>238.83</v>
    <v>229.15</v>
    <v>233.14</v>
    <v>232.76</v>
    <v>228.93</v>
    <v>230.37</v>
    <v>228.68</v>
    <v>226.65</v>
    <v>226.63</v>
    <v>222.88</v>
    <v>216.58</v>
    <v>212.71</v>
    <v>212.8</v>
    <v>214.35</v>
    <v>208.74</v>
    <v>212.28</v>
  </a>
  <a r="1" c="253">
    <v>407.48</v>
    <v>407.72</v>
    <v>413.64</v>
    <v>415.5</v>
    <v>414.92</v>
    <v>402.65</v>
    <v>402.09</v>
    <v>409.14</v>
    <v>406.22</v>
    <v>404.52</v>
    <v>415.28</v>
    <v>415.1</v>
    <v>425.22</v>
    <v>416.42</v>
    <v>417.32</v>
    <v>421.41</v>
    <v>425.23</v>
    <v>429.37</v>
    <v>428.74</v>
    <v>422.86</v>
    <v>421.65</v>
    <v>421.43</v>
    <v>420.72</v>
    <v>424.57</v>
    <v>421.44</v>
    <v>420.45</v>
    <v>417.88</v>
    <v>425.52</v>
    <v>424.59</v>
    <v>426.28</v>
    <v>423.26</v>
    <v>427.93</v>
    <v>421.9</v>
    <v>413.64</v>
    <v>414.58</v>
    <v>411.84</v>
    <v>404.27</v>
    <v>399.12</v>
    <v>400.96</v>
    <v>407.57</v>
    <v>409.06</v>
    <v>399.04</v>
    <v>406.32</v>
    <v>402.25</v>
    <v>389.33</v>
    <v>394.94</v>
    <v>397.84</v>
    <v>406.66</v>
    <v>413.54</v>
    <v>409.34</v>
    <v>410.54</v>
    <v>412.32</v>
    <v>414.74</v>
    <v>413.72</v>
    <v>416.56</v>
    <v>423.08</v>
    <v>420.99</v>
    <v>420.21</v>
    <v>425.34</v>
    <v>429.04</v>
    <v>430.52</v>
    <v>427</v>
    <v>430.16</v>
    <v>430.32</v>
    <v>429.17</v>
    <v>414.67</v>
    <v>415.13</v>
    <v>413.52</v>
    <v>416.07</v>
    <v>424.01</v>
    <v>424.52</v>
    <v>423.85</v>
    <v>427.87</v>
    <v>432.68</v>
    <v>441.06</v>
    <v>441.58</v>
    <v>442.57</v>
    <v>448.37</v>
    <v>446.34</v>
    <v>445.7</v>
    <v>449.78</v>
    <v>447.67</v>
    <v>450.95</v>
    <v>452.16</v>
    <v>452.85</v>
    <v>446.95</v>
    <v>456.73</v>
    <v>459.28</v>
    <v>460.77</v>
    <v>467.56</v>
    <v>466.24</v>
    <v>459.54</v>
    <v>466.25</v>
    <v>454.7</v>
    <v>453.55</v>
    <v>453.96</v>
    <v>449.52</v>
    <v>443.52</v>
    <v>440.37</v>
    <v>437.11</v>
    <v>442.94</v>
    <v>444.85</v>
    <v>428.9</v>
    <v>418.4</v>
    <v>425.27</v>
    <v>426.73</v>
    <v>422.92</v>
    <v>418.35</v>
    <v>417.11</v>
    <v>408.49</v>
    <v>395.15</v>
    <v>399.61</v>
    <v>398.43</v>
    <v>402.69</v>
    <v>406.02</v>
    <v>406.81</v>
    <v>414.01</v>
    <v>416.86</v>
    <v>421.03</v>
    <v>418.47</v>
    <v>421.53</v>
    <v>424.8</v>
    <v>424.14</v>
    <v>415.55</v>
    <v>416.79</v>
    <v>413.49</v>
    <v>413.84</v>
    <v>410.6</v>
    <v>413.12</v>
    <v>417.14</v>
    <v>409.44</v>
    <v>408.9</v>
    <v>408.39</v>
    <v>401.7</v>
    <v>405.72</v>
    <v>414.2</v>
    <v>423.04</v>
    <v>427</v>
    <v>430.59</v>
    <v>431.34</v>
    <v>435.15</v>
    <v>430.81</v>
    <v>438.69</v>
    <v>435.27</v>
    <v>433.51</v>
    <v>429.17</v>
    <v>432.11</v>
    <v>431.31</v>
    <v>428.02</v>
    <v>430.3</v>
    <v>420.69</v>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a>
  <a r="1" c="253">
    <v>48.31</v>
    <v>48.06</v>
    <v>48.37</v>
    <v>48.4</v>
    <v>49.13</v>
    <v>48.95</v>
    <v>49.17</v>
    <v>48.9</v>
    <v>49.5</v>
    <v>50.22</v>
    <v>50.07</v>
    <v>50.11</v>
    <v>49.79</v>
    <v>48.93</v>
    <v>49.27</v>
    <v>49.14</v>
    <v>49.55</v>
    <v>49.88</v>
    <v>49.78</v>
    <v>49.68</v>
    <v>49.55</v>
    <v>49.77</v>
    <v>49.91</v>
    <v>50.04</v>
    <v>49.36</v>
    <v>48.74</v>
    <v>48.11</v>
    <v>48.55</v>
    <v>48.24</v>
    <v>50.01</v>
    <v>49.21</v>
    <v>49.53</v>
    <v>48.49</v>
    <v>48.24</v>
    <v>47.92</v>
    <v>47.79</v>
    <v>48.11</v>
    <v>48.32</v>
    <v>48.14</v>
    <v>48.32</v>
    <v>48.35</v>
    <v>48.1</v>
    <v>47.86</v>
    <v>47.78</v>
    <v>46.98</v>
    <v>46.84</v>
    <v>46.79</v>
    <v>47.12</v>
    <v>47.11</v>
    <v>47.28</v>
    <v>48</v>
    <v>47.79</v>
    <v>48.06</v>
    <v>48.68</v>
    <v>48.95</v>
    <v>49.67</v>
    <v>48.34</v>
    <v>48.17</v>
    <v>47.13</v>
    <v>46.94</v>
    <v>47.43</v>
    <v>46.6</v>
    <v>46.42</v>
    <v>46.28</v>
    <v>46.08</v>
    <v>46.12</v>
    <v>46.5</v>
    <v>46.65</v>
    <v>47.42</v>
    <v>46.02</v>
    <v>46.23</v>
    <v>45.84</v>
    <v>45.85</v>
    <v>45.77</v>
    <v>45.62</v>
    <v>45.52</v>
    <v>45.68</v>
    <v>45.69</v>
    <v>45.97</v>
    <v>46.72</v>
    <v>47.29</v>
    <v>47.28</v>
    <v>47.38</v>
    <v>46.86</v>
    <v>47.45</v>
    <v>47.51</v>
    <v>47.52</v>
    <v>47.28</v>
    <v>47.09</v>
    <v>46.65</v>
    <v>46.06</v>
    <v>45.8</v>
    <v>46.27</v>
    <v>46.76</v>
    <v>47.38</v>
    <v>47.4</v>
    <v>47.42</v>
    <v>48.52</v>
    <v>48.04</v>
    <v>47.32</v>
    <v>46.82</v>
    <v>46.36</v>
    <v>46.85</v>
    <v>47.24</v>
    <v>47.88</v>
    <v>47.99</v>
    <v>48.14</v>
    <v>48.45</v>
    <v>47.39</v>
    <v>46.66</v>
    <v>44.74</v>
    <v>45.16</v>
    <v>45.12</v>
    <v>45.83</v>
    <v>45.47</v>
    <v>44.86</v>
    <v>45.37</v>
    <v>45.44</v>
    <v>48.53</v>
    <v>49.46</v>
    <v>49.98</v>
    <v>50.24</v>
    <v>50.45</v>
    <v>50.22</v>
    <v>50.74</v>
    <v>50.79</v>
    <v>50.71</v>
    <v>49.85</v>
    <v>50.39</v>
    <v>50.54</v>
    <v>50.06</v>
    <v>49.7</v>
    <v>49.13</v>
    <v>48.5</v>
    <v>48.7</v>
    <v>48.79</v>
    <v>49.11</v>
    <v>49.61</v>
    <v>49.8</v>
    <v>51.03</v>
    <v>50.61</v>
    <v>50.57</v>
    <v>51.44</v>
    <v>51.97</v>
    <v>52.19</v>
    <v>52.52</v>
    <v>52.65</v>
    <v>52.85</v>
    <v>53.02</v>
    <v>53.22</v>
    <v>52.74</v>
    <v>52.62</v>
    <v>52.43</v>
    <v>52.75</v>
    <v>52.51</v>
    <v>52.73</v>
    <v>53.56</v>
    <v>53.54</v>
    <v>54.25</v>
    <v>54.27</v>
    <v>54.08</v>
    <v>56.38</v>
    <v>56.4</v>
    <v>56.76</v>
    <v>56.59</v>
    <v>56.6</v>
    <v>56.28</v>
    <v>55.96</v>
    <v>55.74</v>
    <v>55.28</v>
    <v>55.68</v>
    <v>55.59</v>
    <v>54.77</v>
    <v>55.5</v>
    <v>55.83</v>
    <v>56.16</v>
    <v>57.87</v>
    <v>58.08</v>
    <v>58.06</v>
    <v>58.63</v>
    <v>58.71</v>
    <v>59.18</v>
    <v>57.92</v>
    <v>57.46</v>
    <v>57.31</v>
    <v>57.01</v>
    <v>57.5</v>
    <v>57.56</v>
    <v>58.55</v>
    <v>58.74</v>
    <v>59.59</v>
    <v>59.29</v>
    <v>59.21</v>
    <v>59.43</v>
    <v>59.48</v>
    <v>59.62</v>
    <v>60.02</v>
    <v>59.89</v>
    <v>58.95</v>
    <v>58.72</v>
    <v>58.59</v>
    <v>58.85</v>
    <v>58.62</v>
    <v>58.35</v>
    <v>58.52</v>
    <v>57.53</v>
    <v>57.63</v>
    <v>58.52</v>
    <v>58.98</v>
    <v>59.85</v>
    <v>59.98</v>
    <v>59.61</v>
    <v>59.19</v>
    <v>59.2</v>
    <v>59.1</v>
    <v>58.86</v>
    <v>58.77</v>
    <v>58.93</v>
    <v>59.2</v>
    <v>58.74</v>
    <v>58.76</v>
    <v>59.33</v>
    <v>59.98</v>
    <v>59.82</v>
    <v>60.23</v>
    <v>61.03</v>
    <v>61.63</v>
    <v>62.23</v>
    <v>62.23</v>
    <v>59.08</v>
    <v>59.43</v>
    <v>59.55</v>
    <v>60.47</v>
    <v>60.6</v>
    <v>61.04</v>
    <v>61.34</v>
    <v>62.57</v>
    <v>62.27</v>
    <v>62.27</v>
    <v>62.81</v>
    <v>62.43</v>
    <v>62.53</v>
    <v>63.84</v>
    <v>64.87</v>
    <v>64.59</v>
    <v>64.84</v>
    <v>64.67</v>
    <v>63.98</v>
    <v>63.24</v>
    <v>64.27</v>
    <v>64.08</v>
    <v>63.81</v>
    <v>64.11</v>
  </a>
  <a r="1" c="253">
    <v>104.03</v>
    <v>104.32</v>
    <v>104.52</v>
    <v>105.84</v>
    <v>104.36</v>
    <v>105.64</v>
    <v>106.77</v>
    <v>107.37</v>
    <v>108.38</v>
    <v>109.02</v>
    <v>108.32</v>
    <v>109.53</v>
    <v>111.47</v>
    <v>111.27</v>
    <v>112.3</v>
    <v>113.09</v>
    <v>112.99</v>
    <v>113.49</v>
    <v>113.49</v>
    <v>114.65</v>
    <v>113.79</v>
    <v>114.97</v>
    <v>116.24</v>
    <v>116.99</v>
    <v>119.28</v>
    <v>119.3</v>
    <v>119.72</v>
    <v>121.37</v>
    <v>120.55</v>
    <v>121.18</v>
    <v>122.2</v>
    <v>121.79</v>
    <v>120.37</v>
    <v>119.68</v>
    <v>118.69</v>
    <v>118.63</v>
    <v>118.52</v>
    <v>119.88</v>
    <v>120.56</v>
    <v>121.03</v>
    <v>121.05</v>
    <v>121.33</v>
    <v>117.96</v>
    <v>119.64</v>
    <v>118.27</v>
    <v>116.03</v>
    <v>116.24</v>
    <v>116</v>
    <v>116.75</v>
    <v>116.17</v>
    <v>116.15</v>
    <v>118.44</v>
    <v>117.96</v>
    <v>117.91</v>
    <v>117.67</v>
    <v>118.58</v>
    <v>117.87</v>
    <v>119.64</v>
    <v>118.67</v>
    <v>117.85</v>
    <v>115.48</v>
    <v>113.51</v>
    <v>113.42</v>
    <v>114.86</v>
    <v>113.63</v>
    <v>113.99</v>
    <v>117.26</v>
    <v>114.45</v>
    <v>112.67</v>
    <v>113.12</v>
    <v>113.97</v>
    <v>112.75</v>
    <v>113.08</v>
    <v>112.17</v>
    <v>110.93</v>
    <v>110.04</v>
    <v>109.11</v>
    <v>108.36</v>
    <v>109.38</v>
    <v>111.74</v>
    <v>110.76</v>
    <v>114.05</v>
    <v>114.37</v>
    <v>114.41</v>
    <v>114.9</v>
    <v>115.12</v>
    <v>114.96</v>
    <v>114.18</v>
    <v>114.76</v>
    <v>113.37</v>
    <v>112.18</v>
    <v>110.94</v>
    <v>111.92</v>
    <v>113.25</v>
    <v>113.27</v>
    <v>115.21</v>
    <v>116.04</v>
    <v>117.64</v>
    <v>118.8</v>
    <v>116.07</v>
    <v>115.27</v>
    <v>113.41</v>
    <v>115.01</v>
    <v>117.43</v>
    <v>117.33</v>
    <v>116.1</v>
    <v>118.17</v>
    <v>118.59</v>
    <v>116.95</v>
    <v>116.88</v>
    <v>114.77</v>
    <v>114.16</v>
    <v>115.68</v>
    <v>117.89</v>
    <v>118.85</v>
    <v>119</v>
    <v>117.86</v>
    <v>118.95</v>
    <v>118.73</v>
    <v>118.17</v>
    <v>118.53</v>
    <v>114.58</v>
    <v>113.85</v>
    <v>114.73</v>
    <v>116.32</v>
    <v>118.81</v>
    <v>117.68</v>
    <v>116.52</v>
    <v>118.13</v>
    <v>117.94</v>
    <v>115.47</v>
    <v>114.06</v>
    <v>113.17</v>
    <v>112.64</v>
    <v>115.01</v>
    <v>110.82</v>
    <v>109.72</v>
    <v>111.23</v>
    <v>111.15</v>
    <v>112.71</v>
    <v>114.18</v>
    <v>114.58</v>
    <v>116</v>
    <v>115.27</v>
    <v>117.36</v>
    <v>117.05</v>
    <v>114.77</v>
    <v>112.8</v>
    <v>115.82</v>
    <v>117.22</v>
    <v>119.93</v>
    <v>121.52</v>
    <v>122.58</v>
    <v>124.83</v>
    <v>125.37</v>
    <v>122.04</v>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a>
  <a r="1" c="253">
    <v>159.54</v>
    <v>160.59</v>
    <v>159.52000000000001</v>
    <v>155.15</v>
    <v>156.38</v>
    <v>156.77000000000001</v>
    <v>157.04</v>
    <v>156.63999999999999</v>
    <v>156.91999999999999</v>
    <v>159.94</v>
    <v>159.6</v>
    <v>160.08000000000001</v>
    <v>159.38</v>
    <v>162.19999999999999</v>
    <v>163.01</v>
    <v>162.36000000000001</v>
    <v>161.16999999999999</v>
    <v>162.16999999999999</v>
    <v>165.25</v>
    <v>168.97</v>
    <v>170.81</v>
    <v>169.84</v>
    <v>173.01</v>
    <v>172.57</v>
    <v>172.54</v>
    <v>173.42</v>
    <v>171.23</v>
    <v>172.82</v>
    <v>172.36</v>
    <v>168.33</v>
    <v>169.75</v>
    <v>165.61</v>
    <v>166.81</v>
    <v>165.76</v>
    <v>164.21</v>
    <v>162.91999999999999</v>
    <v>169.11</v>
    <v>172.96</v>
    <v>175.41</v>
    <v>175.28</v>
    <v>172.27</v>
    <v>172.34</v>
    <v>170.07</v>
    <v>169.58</v>
    <v>170.06</v>
    <v>171.56</v>
    <v>169.18</v>
    <v>168.18</v>
    <v>170.08</v>
    <v>168.19</v>
    <v>170.28</v>
    <v>171.46</v>
    <v>172.71</v>
    <v>169.88</v>
    <v>169.08</v>
    <v>166.27</v>
    <v>169.08</v>
    <v>169.51</v>
    <v>167.86</v>
    <v>168.19</v>
    <v>166.17</v>
    <v>164</v>
    <v>164.84</v>
    <v>164.67</v>
    <v>163.5</v>
    <v>164.98</v>
    <v>167.52</v>
    <v>164.12</v>
    <v>163.41999999999999</v>
    <v>163.30000000000001</v>
    <v>163.12</v>
    <v>165.06</v>
    <v>163.81</v>
    <v>161.6</v>
    <v>160.63</v>
    <v>160.83000000000001</v>
    <v>157.07</v>
    <v>158.74</v>
    <v>160.06</v>
    <v>162.59</v>
    <v>160.51</v>
    <v>162.41</v>
    <v>161.34</v>
    <v>158.36000000000001</v>
    <v>160.01</v>
    <v>159.66</v>
    <v>160.54</v>
    <v>160.18</v>
    <v>159.44</v>
    <v>158.43</v>
    <v>159.54</v>
    <v>158.72</v>
    <v>159.97</v>
    <v>162.04</v>
    <v>163.69</v>
    <v>166.91</v>
    <v>167.81</v>
    <v>170.7</v>
    <v>176.69</v>
    <v>174.38</v>
    <v>174.83</v>
    <v>173.6</v>
    <v>172.34</v>
    <v>165.4</v>
    <v>169.17</v>
    <v>169.23</v>
    <v>173.59</v>
    <v>171.12</v>
    <v>177.38</v>
    <v>176.82</v>
    <v>169.02</v>
    <v>169.79</v>
    <v>170.67</v>
    <v>170.52</v>
    <v>171.03</v>
    <v>171.36</v>
    <v>171.96</v>
    <v>180.95</v>
    <v>178.11</v>
    <v>179.64</v>
    <v>180.62</v>
    <v>180.41</v>
    <v>178.84</v>
    <v>181.23</v>
    <v>180.51</v>
    <v>183.09</v>
    <v>185.14</v>
    <v>187.06</v>
    <v>188.35</v>
    <v>188.94</v>
    <v>189.2</v>
    <v>189.87</v>
    <v>185.76</v>
    <v>185.36</v>
    <v>187.2</v>
    <v>184.87</v>
    <v>184.39</v>
    <v>186.1</v>
    <v>188.3</v>
    <v>190.56</v>
    <v>190.26</v>
    <v>191.01</v>
    <v>190.68</v>
    <v>191</v>
    <v>192.89</v>
    <v>191.82</v>
    <v>190</v>
    <v>188.69</v>
    <v>188.36</v>
    <v>189.65</v>
    <v>189.88</v>
    <v>190.22</v>
    <v>187.84</v>
    <v>190.57</v>
    <v>181.25</v>
    <v>182.87</v>
    <v>184.91</v>
    <v>185.79</v>
    <v>188.28</v>
    <v>190.53</v>
    <v>193.01</v>
    <v>195.65</v>
    <v>195.51</v>
    <v>195.37</v>
    <v>192.64</v>
    <v>192.78</v>
    <v>192.78</v>
    <v>192</v>
    <v>188.12</v>
    <v>189.21</v>
    <v>186.57</v>
    <v>189.44</v>
    <v>186.52</v>
    <v>184.15</v>
    <v>182.37</v>
    <v>185.06</v>
    <v>188.79</v>
    <v>190.55</v>
    <v>196.9</v>
    <v>197.52</v>
    <v>198.1</v>
    <v>197.3</v>
    <v>195.78</v>
    <v>196.88</v>
    <v>199.97</v>
    <v>196.6</v>
    <v>197.29</v>
    <v>203.48</v>
    <v>203.8</v>
    <v>202.03</v>
    <v>207.87</v>
    <v>208.2</v>
    <v>207.39</v>
    <v>204.39</v>
    <v>203.4</v>
    <v>204.95</v>
    <v>204.23</v>
    <v>203.64</v>
    <v>199.04</v>
    <v>195.06</v>
    <v>193.3</v>
    <v>192.3</v>
    <v>196.26</v>
    <v>195.02</v>
    <v>193.4</v>
    <v>189.25</v>
    <v>189.79</v>
    <v>193.56</v>
    <v>193.63</v>
    <v>195.52</v>
    <v>195.62</v>
    <v>193.8</v>
    <v>192.55</v>
    <v>192.79</v>
    <v>191.95</v>
    <v>191.45</v>
    <v>185.91</v>
    <v>186.04</v>
    <v>191.8</v>
    <v>180.99</v>
    <v>182.54</v>
    <v>186.81</v>
    <v>188.03</v>
    <v>191.1</v>
    <v>188.9</v>
    <v>189.75</v>
    <v>185.25</v>
    <v>184.66</v>
    <v>186.07</v>
    <v>193.19</v>
    <v>190.96</v>
    <v>190.81</v>
    <v>193.83</v>
    <v>192.33</v>
    <v>191.98</v>
    <v>190.87</v>
    <v>193.01</v>
    <v>191.88</v>
    <v>190.24</v>
    <v>186.58</v>
    <v>189.43</v>
    <v>189.33</v>
    <v>192.77</v>
    <v>187.63</v>
    <v>188.95</v>
    <v>191.6</v>
    <v>189.18</v>
    <v>185.66</v>
    <v>188.75</v>
    <v>190.48</v>
    <v>188.43</v>
    <v>195.06</v>
    <v>199.15</v>
  </a>
  <a r="1" c="253">
    <v>17.158000000000001</v>
    <v>17.032</v>
    <v>17.161999999999999</v>
    <v>17.603999999999999</v>
    <v>17.295999999999999</v>
    <v>17.132000000000001</v>
    <v>17.353999999999999</v>
    <v>17.38</v>
    <v>17.442</v>
    <v>17.352</v>
    <v>17.55</v>
    <v>17.568000000000001</v>
    <v>17.420000000000002</v>
    <v>17.475999999999999</v>
    <v>17.806000000000001</v>
    <v>17.8</v>
    <v>17.923999999999999</v>
    <v>17.744</v>
    <v>17.724</v>
    <v>17.192</v>
    <v>17.344000000000001</v>
    <v>17.308</v>
    <v>17.148</v>
    <v>17.234000000000002</v>
    <v>17.065999999999999</v>
    <v>17.154</v>
    <v>16.91</v>
    <v>16.963999999999999</v>
    <v>16.864000000000001</v>
    <v>16.928000000000001</v>
    <v>16.826000000000001</v>
    <v>16.812000000000001</v>
    <v>16.797999999999998</v>
    <v>16.46</v>
    <v>16.594000000000001</v>
    <v>16.315999999999999</v>
    <v>16.376000000000001</v>
    <v>16.260000000000002</v>
    <v>16.312000000000001</v>
    <v>16.361999999999998</v>
    <v>16.542000000000002</v>
    <v>16.488</v>
    <v>16.466000000000001</v>
    <v>16.597999999999999</v>
    <v>16.513999999999999</v>
    <v>16.577999999999999</v>
    <v>16.815999999999999</v>
    <v>16.908000000000001</v>
    <v>16.968</v>
    <v>16.329999999999998</v>
    <v>15.67</v>
    <v>15.494</v>
    <v>15.074</v>
    <v>15.23</v>
    <v>16.245999999999999</v>
    <v>16.696000000000002</v>
    <v>16.678000000000001</v>
    <v>16.75</v>
    <v>16.718</v>
    <v>16.399999999999999</v>
    <v>16.251999999999999</v>
    <v>16.16</v>
    <v>16.058</v>
    <v>15.974</v>
    <v>15.69</v>
    <v>16.158000000000001</v>
    <v>16.468</v>
    <v>16.72</v>
    <v>17.206</v>
    <v>17.327999999999999</v>
    <v>17.446000000000002</v>
    <v>17.09</v>
    <v>17.128</v>
    <v>17</v>
    <v>16.792000000000002</v>
    <v>16.82</v>
    <v>16.443999999999999</v>
    <v>16.224</v>
    <v>15.926</v>
    <v>16.166</v>
    <v>16.106000000000002</v>
    <v>16.224</v>
    <v>16.416</v>
    <v>16.571999999999999</v>
    <v>16.856000000000002</v>
    <v>16.989999999999998</v>
    <v>17.062000000000001</v>
    <v>17.332000000000001</v>
    <v>17.13</v>
    <v>17.364000000000001</v>
    <v>17.32</v>
    <v>18.088000000000001</v>
    <v>18.545999999999999</v>
    <v>19.126000000000001</v>
    <v>19.213999999999999</v>
    <v>19.126000000000001</v>
    <v>19.225999999999999</v>
    <v>19.192</v>
    <v>18.64</v>
    <v>18.565999999999999</v>
    <v>18.562000000000001</v>
    <v>18.334</v>
    <v>17.838000000000001</v>
    <v>17.206</v>
    <v>17.463999999999999</v>
    <v>17.28</v>
    <v>17.675999999999998</v>
    <v>17.718</v>
    <v>16.986000000000001</v>
    <v>16.321999999999999</v>
    <v>16.475999999999999</v>
    <v>16.61</v>
    <v>16.911999999999999</v>
    <v>16.885999999999999</v>
    <v>16.88</v>
    <v>16.943999999999999</v>
    <v>17.812000000000001</v>
    <v>17.797999999999998</v>
    <v>17.692</v>
    <v>18.047999999999998</v>
    <v>18.29</v>
    <v>18.158000000000001</v>
    <v>18.558</v>
    <v>18.257999999999999</v>
    <v>18.478000000000002</v>
    <v>18.562000000000001</v>
    <v>19.213999999999999</v>
    <v>19.350000000000001</v>
    <v>19.361999999999998</v>
    <v>19.512</v>
    <v>19.096</v>
    <v>18.891999999999999</v>
    <v>18.872</v>
    <v>18.010000000000002</v>
    <v>18.21</v>
    <v>18.596</v>
    <v>18.754000000000001</v>
    <v>18.724</v>
    <v>18.687999999999999</v>
    <v>18.622</v>
    <v>18.11</v>
    <v>18.097999999999999</v>
    <v>18.646000000000001</v>
    <v>18.617999999999999</v>
    <v>18.841999999999999</v>
    <v>19.111999999999998</v>
    <v>19.202000000000002</v>
    <v>19.73</v>
    <v>19.231999999999999</v>
    <v>19.314</v>
    <v>19.36</v>
    <v>18.989999999999998</v>
    <v>18.8</v>
    <v>18.97</v>
    <v>19.132000000000001</v>
    <v>19.027999999999999</v>
    <v>19.05</v>
    <v>18.86</v>
    <v>18.98</v>
    <v>19.09</v>
    <v>18.66</v>
    <v>18.68</v>
    <v>18.510000000000002</v>
    <v>18.22</v>
    <v>18.100000000000001</v>
    <v>17.89</v>
    <v>17.53</v>
    <v>17.690000000000001</v>
    <v>17.62</v>
    <v>17.75</v>
    <v>17.850000000000001</v>
    <v>17.98</v>
    <v>17.600000000000001</v>
    <v>17.73</v>
    <v>17.739999999999998</v>
    <v>18.05</v>
    <v>17.989999999999998</v>
    <v>18.27</v>
    <v>19.91</v>
    <v>19.12</v>
    <v>18.670000000000002</v>
    <v>18.5</v>
    <v>18.489999999999998</v>
    <v>18.46</v>
    <v>18.97</v>
    <v>18.920000000000002</v>
    <v>19.18</v>
    <v>19.07</v>
    <v>19.059999999999999</v>
    <v>19.420000000000002</v>
    <v>19.37</v>
    <v>19.760000000000002</v>
    <v>20.05</v>
    <v>20.010000000000002</v>
    <v>20.47</v>
    <v>20.99</v>
    <v>20.9</v>
    <v>20.94</v>
    <v>21.1</v>
    <v>21.77</v>
    <v>22.17</v>
    <v>22.38</v>
    <v>21.69</v>
    <v>21.49</v>
    <v>21.73</v>
    <v>20.91</v>
    <v>20.66</v>
    <v>21.02</v>
    <v>21.16</v>
    <v>21.14</v>
    <v>21.18</v>
    <v>21.46</v>
    <v>21.21</v>
    <v>21.16</v>
    <v>21.09</v>
    <v>21.32</v>
    <v>20.9</v>
    <v>20.91</v>
    <v>20.77</v>
    <v>20.350000000000001</v>
    <v>20.21</v>
    <v>19.88</v>
    <v>20.5</v>
    <v>20.329999999999998</v>
    <v>20.64</v>
    <v>20.9</v>
    <v>20.92</v>
    <v>21.37</v>
    <v>20.83</v>
    <v>21</v>
    <v>21.81</v>
    <v>22.13</v>
    <v>22.3</v>
    <v>22.01</v>
    <v>21.89</v>
    <v>22.52</v>
    <v>22.92</v>
    <v>23.01</v>
    <v>22.57</v>
    <v>22.42</v>
    <v>22.36</v>
    <v>21.97</v>
    <v>23.19</v>
    <v>24.14</v>
    <v>24.52</v>
    <v>24.72</v>
    <v>24.92</v>
    <v>24.78</v>
    <v>24.8</v>
    <v>25.07</v>
    <v>25.46</v>
    <v>25.03</v>
    <v>24.2224</v>
  </a>
  <a r="1" c="253">
    <v>40.08</v>
    <v>41.63</v>
    <v>41.33</v>
    <v>41.31</v>
    <v>42.16</v>
    <v>42.59</v>
    <v>43.04</v>
    <v>43.28</v>
    <v>43.07</v>
    <v>42.93</v>
    <v>43.21</v>
    <v>43.7</v>
    <v>43.68</v>
    <v>44.38</v>
    <v>44.33</v>
    <v>45.23</v>
    <v>46.35</v>
    <v>45.87</v>
    <v>45.95</v>
    <v>45.98</v>
    <v>46.03</v>
    <v>46.56</v>
    <v>46.16</v>
    <v>45.92</v>
    <v>45.07</v>
    <v>45.43</v>
    <v>44.97</v>
    <v>45.55</v>
    <v>46.04</v>
    <v>44.65</v>
    <v>44.07</v>
    <v>43.63</v>
    <v>43</v>
    <v>43.13</v>
    <v>42.23</v>
    <v>42.64</v>
    <v>42.52</v>
    <v>42.52</v>
    <v>43.01</v>
    <v>43.58</v>
    <v>43.29</v>
    <v>41.55</v>
    <v>41.92</v>
    <v>41.63</v>
    <v>41.04</v>
    <v>41.2</v>
    <v>41.1</v>
    <v>41.59</v>
    <v>42.29</v>
    <v>42.71</v>
    <v>43.34</v>
    <v>43.9</v>
    <v>43</v>
    <v>42.557499999999997</v>
    <v>42.95</v>
    <v>43.47</v>
    <v>42.97</v>
    <v>43.22</v>
    <v>43.67</v>
    <v>43.89</v>
    <v>43.24</v>
    <v>43.25</v>
    <v>43.1</v>
    <v>42.86</v>
    <v>42.36</v>
    <v>42.91</v>
    <v>42.49</v>
    <v>42.4</v>
    <v>41.69</v>
    <v>41.7</v>
    <v>41.74</v>
    <v>40.51</v>
    <v>40.200000000000003</v>
    <v>39.799999999999997</v>
    <v>40.17</v>
    <v>39.24</v>
    <v>38.39</v>
    <v>39.24</v>
    <v>39.72</v>
    <v>39.64</v>
    <v>39.57</v>
    <v>37.14</v>
    <v>36.49</v>
    <v>35</v>
    <v>34.89</v>
    <v>34.24</v>
    <v>35.25</v>
    <v>35.4</v>
    <v>36.67</v>
    <v>36.86</v>
    <v>36.74</v>
    <v>35.659999999999997</v>
    <v>36.15</v>
    <v>35.880000000000003</v>
    <v>36.31</v>
    <v>36.31</v>
    <v>36.44</v>
    <v>36.04</v>
    <v>35.9</v>
    <v>35.74</v>
    <v>36.19</v>
    <v>35.67</v>
    <v>35.06</v>
    <v>34.950000000000003</v>
    <v>35.46</v>
    <v>35.26</v>
    <v>36.75</v>
    <v>37.799999999999997</v>
    <v>35.94</v>
    <v>36.07</v>
    <v>35.659999999999997</v>
    <v>36.35</v>
    <v>36.49</v>
    <v>36.630000000000003</v>
    <v>36.82</v>
    <v>36.549999999999997</v>
    <v>36.982500000000002</v>
    <v>37.090000000000003</v>
    <v>37.57</v>
    <v>37.909999999999997</v>
    <v>38.340000000000003</v>
    <v>38.46</v>
    <v>38.72</v>
    <v>38.4</v>
    <v>39.39</v>
    <v>39.36</v>
    <v>39.28</v>
    <v>39.07</v>
    <v>38.79</v>
    <v>38.39</v>
    <v>36.99</v>
    <v>36.92</v>
    <v>36.619999999999997</v>
    <v>35.450000000000003</v>
    <v>35.79</v>
    <v>35.979999999999997</v>
    <v>36.22</v>
    <v>36.07</v>
    <v>36.049999999999997</v>
    <v>36.119999999999997</v>
    <v>35.880000000000003</v>
    <v>35.814999999999998</v>
    <v>37.29</v>
    <v>36.5</v>
    <v>37.03</v>
    <v>37.619999999999997</v>
    <v>37.020000000000003</v>
    <v>37.6</v>
    <v>37.229999999999997</v>
    <v>36.53</v>
    <v>35.74</v>
    <v>35.11</v>
    <v>34.78</v>
    <v>34.979999999999997</v>
    <v>34.74</v>
    <v>34.68</v>
    <v>34.86</v>
    <v>35</v>
    <v>36.35</v>
    <v>36.840000000000003</v>
    <v>36.85</v>
    <v>37.03</v>
    <v>38.130000000000003</v>
    <v>38.07</v>
    <v>37.590000000000003</v>
    <v>38.229999999999997</v>
    <v>37.93</v>
    <v>38.1</v>
    <v>37.9</v>
    <v>37.85</v>
    <v>38.01</v>
    <v>39.340000000000003</v>
    <v>38.049999999999997</v>
    <v>38.409999999999997</v>
    <v>38.049999999999997</v>
    <v>38.826999999999998</v>
    <v>38.21</v>
    <v>39.1</v>
    <v>38.19</v>
    <v>38.6325</v>
    <v>37.409999999999997</v>
    <v>36.65</v>
    <v>36.340000000000003</v>
    <v>36.270000000000003</v>
    <v>36.450000000000003</v>
    <v>36.33</v>
    <v>36.39</v>
    <v>36.590000000000003</v>
    <v>35.92</v>
    <v>36.07</v>
    <v>35.65</v>
    <v>36.86</v>
    <v>39</v>
    <v>39.43</v>
    <v>39.840000000000003</v>
    <v>40.31</v>
    <v>40.42</v>
    <v>40.880000000000003</v>
    <v>41.31</v>
    <v>41</v>
    <v>40.880000000000003</v>
    <v>41.56</v>
    <v>42.02</v>
    <v>41.44</v>
    <v>41.46</v>
    <v>40.69</v>
    <v>40.46</v>
    <v>40.42</v>
    <v>40.06</v>
    <v>40.15</v>
    <v>40.4</v>
    <v>40.340000000000003</v>
    <v>40.1</v>
    <v>39.835000000000001</v>
    <v>40.869999999999997</v>
    <v>40.86</v>
    <v>41.26</v>
    <v>40.83</v>
    <v>40.869999999999997</v>
    <v>40.450000000000003</v>
    <v>39.79</v>
    <v>40.229999999999997</v>
    <v>39.72</v>
    <v>40.36</v>
    <v>41.3</v>
    <v>42.59</v>
    <v>42.85</v>
    <v>43.4</v>
    <v>43.65</v>
    <v>43.47</v>
    <v>43.51</v>
    <v>43.18</v>
    <v>43.14</v>
    <v>43.15</v>
    <v>42.78</v>
    <v>43.01</v>
    <v>43.48</v>
    <v>43.5</v>
    <v>42.82</v>
    <v>43.09</v>
    <v>43.42</v>
    <v>44.36</v>
    <v>44.01</v>
    <v>44.09</v>
    <v>45.17</v>
    <v>43.975000000000001</v>
    <v>43.24</v>
    <v>41.72</v>
    <v>42.8</v>
    <v>43.35</v>
    <v>43.53</v>
    <v>42.77</v>
    <v>43.071199999999997</v>
  </a>
  <a r="1" c="253">
    <v>26.89</v>
    <v>27.04</v>
    <v>26.56</v>
    <v>26.59</v>
    <v>25.89</v>
    <v>26.08</v>
    <v>27.19</v>
    <v>26.79</v>
    <v>27.22</v>
    <v>28.37</v>
    <v>28.01</v>
    <v>28.22</v>
    <v>28.13</v>
    <v>27.94</v>
    <v>27.72</v>
    <v>27.63</v>
    <v>27.7</v>
    <v>27.66</v>
    <v>27.36</v>
    <v>27.43</v>
    <v>27.59</v>
    <v>27.78</v>
    <v>27.75</v>
    <v>27.72</v>
    <v>27.55</v>
    <v>27.22</v>
    <v>26.65</v>
    <v>26.66</v>
    <v>26.58</v>
    <v>26.78</v>
    <v>26.32</v>
    <v>26.34</v>
    <v>25.86</v>
    <v>25.91</v>
    <v>25.69</v>
    <v>25.42</v>
    <v>25.39</v>
    <v>26</v>
    <v>26.26</v>
    <v>26.32</v>
    <v>26.27</v>
    <v>25.26</v>
    <v>25.4</v>
    <v>25.64</v>
    <v>25.62</v>
    <v>27.18</v>
    <v>27.7</v>
    <v>27.81</v>
    <v>28.16</v>
    <v>27.77</v>
    <v>28.27</v>
    <v>28.18</v>
    <v>28.01</v>
    <v>28.44</v>
    <v>28.38</v>
    <v>28.82</v>
    <v>28.92</v>
    <v>28.64</v>
    <v>28.53</v>
    <v>28.56</v>
    <v>29.6</v>
    <v>28.69</v>
    <v>28.88</v>
    <v>28.3</v>
    <v>27.82</v>
    <v>28.2</v>
    <v>28.66</v>
    <v>29.31</v>
    <v>29.49</v>
    <v>29.55</v>
    <v>28.8</v>
    <v>28.58</v>
    <v>28.07</v>
    <v>28.03</v>
    <v>27.66</v>
    <v>27.65</v>
    <v>27.53</v>
    <v>26.98</v>
    <v>27.41</v>
    <v>27.74</v>
    <v>27.74</v>
    <v>28.36</v>
    <v>27.99</v>
    <v>27.42</v>
    <v>27.8</v>
    <v>27.98</v>
    <v>28.22</v>
    <v>27.83</v>
    <v>27.7</v>
    <v>28.05</v>
    <v>27.93</v>
    <v>27.72</v>
    <v>28.35</v>
    <v>28.66</v>
    <v>28.92</v>
    <v>29.1</v>
    <v>29.5</v>
    <v>30.03</v>
    <v>29.71</v>
    <v>29.97</v>
    <v>29.6</v>
    <v>29.5</v>
    <v>29.98</v>
    <v>30.18</v>
    <v>30.77</v>
    <v>30.72</v>
    <v>31.39</v>
    <v>30.54</v>
    <v>30.65</v>
    <v>30.43</v>
    <v>29.74</v>
    <v>29.32</v>
    <v>28.85</v>
    <v>28.76</v>
    <v>28.55</v>
    <v>28.45</v>
    <v>28.85</v>
    <v>28.88</v>
    <v>28.71</v>
    <v>28.3</v>
    <v>28.8</v>
    <v>28.9</v>
    <v>29.03</v>
    <v>28.78</v>
    <v>28.9</v>
    <v>28.92</v>
    <v>28.82</v>
    <v>28.75</v>
    <v>28.72</v>
    <v>29.01</v>
    <v>28.3</v>
    <v>28.39</v>
    <v>28.51</v>
    <v>28.56</v>
    <v>29.41</v>
    <v>29.74</v>
    <v>29.66</v>
    <v>29.16</v>
    <v>29.27</v>
    <v>30.07</v>
    <v>29.83</v>
    <v>29.75</v>
    <v>29.66</v>
    <v>29.42</v>
    <v>29.31</v>
    <v>29.5</v>
    <v>28.93</v>
    <v>28.97</v>
    <v>29.09</v>
    <v>28.94</v>
    <v>28.67</v>
    <v>28.61</v>
    <v>28.34</v>
    <v>28.58</v>
    <v>29.2</v>
    <v>29.18</v>
    <v>30.19</v>
    <v>29.34</v>
    <v>29.16</v>
    <v>29.08</v>
    <v>29.44</v>
    <v>29.67</v>
    <v>29.27</v>
    <v>29.22</v>
    <v>28.93</v>
    <v>28.84</v>
    <v>28.86</v>
    <v>28.64</v>
    <v>28.45</v>
    <v>28.86</v>
    <v>28.46</v>
    <v>28.52</v>
    <v>28.3</v>
    <v>28.09</v>
    <v>27.76</v>
    <v>27.99</v>
    <v>27.36</v>
    <v>27.46</v>
    <v>26.72</v>
    <v>26.24</v>
    <v>26.19</v>
    <v>26.72</v>
    <v>26.02</v>
    <v>24.8</v>
    <v>24.86</v>
    <v>25.1</v>
    <v>24.94</v>
    <v>25.13</v>
    <v>25.65</v>
    <v>26.17</v>
    <v>25.77</v>
    <v>25.83</v>
    <v>26.21</v>
    <v>25.82</v>
    <v>25.56</v>
    <v>25.23</v>
    <v>25.7</v>
    <v>25.73</v>
    <v>26.1</v>
    <v>25.57</v>
    <v>25.23</v>
    <v>25.37</v>
    <v>25.58</v>
    <v>25.25</v>
    <v>26.43</v>
    <v>25.89</v>
    <v>25.77</v>
    <v>26.36</v>
    <v>26.71</v>
    <v>26.74</v>
    <v>26.56</v>
    <v>26.62</v>
    <v>26.42</v>
    <v>26.53</v>
    <v>26.61</v>
    <v>26.59</v>
    <v>26.89</v>
    <v>27.13</v>
    <v>26.86</v>
    <v>26.72</v>
    <v>26.8</v>
    <v>26.41</v>
    <v>26.22</v>
    <v>26.49</v>
    <v>26.3</v>
    <v>26.64</v>
    <v>26.01</v>
    <v>26.44</v>
    <v>26.09</v>
    <v>26.86</v>
    <v>26.75</v>
    <v>26.62</v>
    <v>26.91</v>
    <v>26.52</v>
    <v>26.2</v>
    <v>25.87</v>
    <v>26.44</v>
    <v>25.83</v>
    <v>25.74</v>
    <v>25.87</v>
    <v>25.53</v>
    <v>25.47</v>
    <v>25.64</v>
    <v>25.53</v>
    <v>25.56</v>
    <v>25.89</v>
    <v>25.9</v>
    <v>26.3</v>
    <v>26.65</v>
    <v>26.74</v>
    <v>26.42</v>
    <v>26.1</v>
    <v>26.43</v>
  </a>
  <a r="1" c="253">
    <v>327.72</v>
    <v>329.68</v>
    <v>332.03</v>
    <v>335.23</v>
    <v>337.1</v>
    <v>333.28</v>
    <v>336.49</v>
    <v>344.66</v>
    <v>340.69</v>
    <v>340.39</v>
    <v>342.7</v>
    <v>336.81</v>
    <v>334.92</v>
    <v>334.66</v>
    <v>335.27</v>
    <v>336.58</v>
    <v>341.05</v>
    <v>347.23</v>
    <v>342.87</v>
    <v>342</v>
    <v>342</v>
    <v>346.89</v>
    <v>347.33</v>
    <v>338.16</v>
    <v>333.96</v>
    <v>334.29</v>
    <v>329.86</v>
    <v>331.85</v>
    <v>332.3</v>
    <v>334.55</v>
    <v>321.16000000000003</v>
    <v>319.92</v>
    <v>318.25</v>
    <v>313.97000000000003</v>
    <v>308.38</v>
    <v>310.16000000000003</v>
    <v>309.38</v>
    <v>305.95999999999998</v>
    <v>309.26</v>
    <v>302.36</v>
    <v>303.73</v>
    <v>304.81</v>
    <v>306.45</v>
    <v>306.08999999999997</v>
    <v>299.61</v>
    <v>303.33999999999997</v>
    <v>304.45999999999998</v>
    <v>311.3</v>
    <v>314.99</v>
    <v>318.75</v>
    <v>319</v>
    <v>320.45</v>
    <v>320.86</v>
    <v>315.87</v>
    <v>314.05</v>
    <v>316.37</v>
    <v>314.02</v>
    <v>312.39999999999998</v>
    <v>309.42</v>
    <v>309.95999999999998</v>
    <v>307.22000000000003</v>
    <v>303.08999999999997</v>
    <v>304.83999999999997</v>
    <v>301.73</v>
    <v>297.43</v>
    <v>302.05</v>
    <v>303.8</v>
    <v>302.02999999999997</v>
    <v>305.83999999999997</v>
    <v>308.23</v>
    <v>304.06</v>
    <v>291.95</v>
    <v>293.11</v>
    <v>296</v>
    <v>299.29000000000002</v>
    <v>300.45</v>
    <v>296.99</v>
    <v>302.85000000000002</v>
    <v>300.19</v>
    <v>301.35000000000002</v>
    <v>301.26</v>
    <v>300.55</v>
    <v>294.68</v>
    <v>296.86</v>
    <v>297</v>
    <v>298.43</v>
    <v>295.79000000000002</v>
    <v>294.64999999999998</v>
    <v>297.22000000000003</v>
    <v>295.7</v>
    <v>300.25</v>
    <v>298.91000000000003</v>
    <v>305.37</v>
    <v>313.97000000000003</v>
    <v>318.37</v>
    <v>318.47000000000003</v>
    <v>326.39999999999998</v>
    <v>325.8</v>
    <v>325.45999999999998</v>
    <v>321.85000000000002</v>
    <v>322.35000000000002</v>
    <v>344.5</v>
    <v>332.02</v>
    <v>342.74</v>
    <v>349.22</v>
    <v>352.55</v>
    <v>351.84</v>
    <v>350.8</v>
    <v>350.38</v>
    <v>347.25</v>
    <v>339.09</v>
    <v>344.12</v>
    <v>339.71</v>
    <v>342.71</v>
    <v>345.64</v>
    <v>343.24</v>
    <v>349.08</v>
    <v>352.15</v>
    <v>356.47</v>
    <v>354.4</v>
    <v>356</v>
    <v>355.34</v>
    <v>357.97</v>
    <v>357.91</v>
    <v>358.73</v>
    <v>360.69</v>
    <v>359.98</v>
    <v>361.7</v>
    <v>360.61</v>
    <v>369.37</v>
    <v>363.75</v>
    <v>362.7</v>
    <v>360.08</v>
    <v>360.83</v>
    <v>363.9</v>
    <v>371.85</v>
    <v>371.6</v>
    <v>373.97</v>
    <v>375.4</v>
    <v>379.06</v>
    <v>378</v>
    <v>375.31</v>
    <v>379.75</v>
    <v>378.52</v>
    <v>381.87</v>
    <v>381.56</v>
    <v>381.18</v>
    <v>383.93</v>
    <v>382.73</v>
    <v>381.67</v>
    <v>380.58</v>
    <v>378.16</v>
    <v>373.1</v>
    <v>371.3</v>
    <v>367.78</v>
    <v>373.4</v>
    <v>378.96</v>
    <v>376.45</v>
    <v>378.99</v>
    <v>384.16</v>
    <v>388.55</v>
    <v>389.39</v>
    <v>389.08</v>
    <v>388.36</v>
    <v>381.75</v>
    <v>361.38</v>
    <v>362.72</v>
    <v>361.59</v>
    <v>359.04</v>
    <v>363.27</v>
    <v>361.62</v>
    <v>361.89</v>
    <v>358.77</v>
    <v>357.97</v>
    <v>374.4</v>
    <v>378.21</v>
    <v>380.73</v>
    <v>384</v>
    <v>386.67</v>
    <v>389.25</v>
    <v>383.67</v>
    <v>387.29</v>
    <v>388.46</v>
    <v>378.99</v>
    <v>375.35</v>
    <v>373.5</v>
    <v>371.66</v>
    <v>383.32</v>
    <v>388.3</v>
    <v>399.71</v>
    <v>396.14</v>
    <v>393.96</v>
    <v>397.4</v>
    <v>395.58</v>
    <v>395.32</v>
    <v>392.07</v>
    <v>385.24</v>
    <v>384.96</v>
    <v>376.45</v>
    <v>371.6</v>
    <v>371.94</v>
    <v>366.85</v>
    <v>364.5</v>
    <v>365.03</v>
    <v>362.79</v>
    <v>348.66</v>
    <v>342.38</v>
    <v>345.47</v>
    <v>344.84</v>
    <v>346.52</v>
    <v>345.51</v>
    <v>343.29</v>
    <v>338.75</v>
    <v>339.93</v>
    <v>333.16</v>
    <v>336.54</v>
    <v>337.82</v>
    <v>334.4</v>
    <v>337.54</v>
    <v>330.16</v>
    <v>336.12</v>
    <v>341.64</v>
    <v>346.93</v>
    <v>354.17</v>
    <v>353.98</v>
    <v>361.52</v>
    <v>357.74</v>
    <v>361.11</v>
    <v>360.15</v>
    <v>364.17</v>
    <v>364.17</v>
    <v>360.41</v>
    <v>365.55</v>
    <v>358.16</v>
    <v>357.64</v>
    <v>357.59</v>
    <v>364.48</v>
    <v>365.22</v>
    <v>360.57</v>
    <v>359.16</v>
    <v>361.37</v>
    <v>355.5</v>
    <v>361.13</v>
    <v>356.86</v>
    <v>352.99</v>
    <v>351.85</v>
    <v>350.02</v>
    <v>344.57</v>
    <v>343.87</v>
    <v>353.03</v>
    <v>359.59</v>
    <v>355.51</v>
    <v>362.27</v>
  </a>
  <a r="1" c="253">
    <v>183.45</v>
    <v>184.38</v>
    <v>186.06</v>
    <v>185.29</v>
    <v>186.68</v>
    <v>188.55</v>
    <v>189.53</v>
    <v>187.87</v>
    <v>188.22</v>
    <v>188.29</v>
    <v>189.84</v>
    <v>191.38</v>
    <v>187.97</v>
    <v>190.3</v>
    <v>192.66</v>
    <v>193.79</v>
    <v>196.33</v>
    <v>199.06</v>
    <v>196.62</v>
    <v>194.82</v>
    <v>195.73</v>
    <v>199.52</v>
    <v>200.3</v>
    <v>198.94</v>
    <v>198.86</v>
    <v>198.3</v>
    <v>195.65</v>
    <v>197.45</v>
    <v>198.48</v>
    <v>197.15</v>
    <v>195.47</v>
    <v>195.43</v>
    <v>182.79</v>
    <v>182.89</v>
    <v>180.8</v>
    <v>180.08</v>
    <v>181.25</v>
    <v>185.8</v>
    <v>189.41</v>
    <v>192.14</v>
    <v>193.08</v>
    <v>193.37</v>
    <v>193.49</v>
    <v>193.28</v>
    <v>191.74</v>
    <v>191.86</v>
    <v>191.66</v>
    <v>190.51</v>
    <v>192</v>
    <v>191.75</v>
    <v>195.65</v>
    <v>197.5</v>
    <v>198.77</v>
    <v>198.73</v>
    <v>201.51</v>
    <v>202.11</v>
    <v>202.47</v>
    <v>204.79</v>
    <v>195.58</v>
    <v>199.52</v>
    <v>198.31</v>
    <v>196.92</v>
    <v>200.71</v>
    <v>199.5</v>
    <v>198.11</v>
    <v>199.33</v>
    <v>202.63</v>
    <v>201.82</v>
    <v>199.16</v>
    <v>197.26</v>
    <v>196.91</v>
    <v>199.95</v>
    <v>199.61</v>
    <v>194.36</v>
    <v>191.53</v>
    <v>193.66</v>
    <v>193.78</v>
    <v>194.98</v>
    <v>197</v>
    <v>198.67</v>
    <v>196.3</v>
    <v>198.88</v>
    <v>198.07</v>
    <v>197.43</v>
    <v>199.17</v>
    <v>202.26</v>
    <v>205.45</v>
    <v>208.83</v>
    <v>208.69</v>
    <v>204.79</v>
    <v>205.17</v>
    <v>207.63</v>
    <v>207.8</v>
    <v>207.45</v>
    <v>204.94</v>
    <v>210.05</v>
    <v>213.62</v>
    <v>216.87</v>
    <v>209.98</v>
    <v>209.78</v>
    <v>210.28</v>
    <v>210.33</v>
    <v>208.59</v>
    <v>208.67</v>
    <v>212.24</v>
    <v>210.85</v>
    <v>215.19</v>
    <v>212.8</v>
    <v>207.96</v>
    <v>199.14</v>
    <v>194.9</v>
    <v>200.34</v>
    <v>200.4</v>
    <v>204.06</v>
    <v>205.8</v>
    <v>206.19</v>
    <v>207.94</v>
    <v>210.24</v>
    <v>211.55</v>
    <v>213.97</v>
    <v>215.45</v>
    <v>214.52</v>
    <v>214.6</v>
    <v>216.63</v>
    <v>218.31</v>
    <v>219.17</v>
    <v>220.18</v>
    <v>221.29</v>
    <v>222.21</v>
    <v>224.8</v>
    <v>220.3</v>
    <v>219.33</v>
    <v>217.63</v>
    <v>212.46</v>
    <v>216.81</v>
    <v>205.56</v>
    <v>207.23</v>
    <v>206.6</v>
    <v>204.32</v>
    <v>207.86</v>
    <v>209.25</v>
    <v>207.53</v>
    <v>210.48</v>
    <v>211.09</v>
    <v>211.44</v>
    <v>211.59</v>
    <v>210.19</v>
    <v>209.78</v>
    <v>210.5</v>
    <v>210.86</v>
    <v>207.04</v>
    <v>207.29</v>
    <v>205.23</v>
    <v>211.22</v>
    <v>210.93</v>
    <v>210.75</v>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a>
  <a r="1" c="253">
    <v>513.41999999999996</v>
    <v>498.28</v>
    <v>493.6</v>
    <v>489.53</v>
    <v>481.87</v>
    <v>473.15</v>
    <v>472.6</v>
    <v>478.78</v>
    <v>476.57</v>
    <v>489.15</v>
    <v>489.35</v>
    <v>488</v>
    <v>489</v>
    <v>490.82</v>
    <v>487.05</v>
    <v>493.32</v>
    <v>494.23</v>
    <v>491.69</v>
    <v>490.07</v>
    <v>485.88</v>
    <v>492.31</v>
    <v>493.1</v>
    <v>494.7</v>
    <v>489.7</v>
    <v>458.14</v>
    <v>459.74</v>
    <v>455.38</v>
    <v>455.74</v>
    <v>456</v>
    <v>459.72</v>
    <v>450.05</v>
    <v>441.72</v>
    <v>439.2</v>
    <v>445.63</v>
    <v>468.89</v>
    <v>478.99</v>
    <v>493.18</v>
    <v>501.13</v>
    <v>491.23</v>
    <v>486.18</v>
    <v>487.3</v>
    <v>493.86</v>
    <v>495.35</v>
    <v>489.03</v>
    <v>483.7</v>
    <v>484.11</v>
    <v>492.97</v>
    <v>492.45</v>
    <v>494.38</v>
    <v>500.96</v>
    <v>503.21</v>
    <v>507.03</v>
    <v>512.80999999999995</v>
    <v>511.74</v>
    <v>513.88</v>
    <v>517.54999999999995</v>
    <v>521.27</v>
    <v>524.63</v>
    <v>517.23</v>
    <v>523.54999999999995</v>
    <v>521.35</v>
    <v>516.83000000000004</v>
    <v>508.17</v>
    <v>503.68</v>
    <v>484.72</v>
    <v>481.65</v>
    <v>495.37</v>
    <v>497.44</v>
    <v>505.49</v>
    <v>503.12</v>
    <v>501.92</v>
    <v>490.69</v>
    <v>495</v>
    <v>496.22</v>
    <v>493.07</v>
    <v>497.3</v>
    <v>497.12</v>
    <v>489.23</v>
    <v>481.05</v>
    <v>484.52</v>
    <v>482.59</v>
    <v>489.98</v>
    <v>484.5</v>
    <v>484.04</v>
    <v>486.44</v>
    <v>509.26</v>
    <v>494.65</v>
    <v>498.24</v>
    <v>489.89</v>
    <v>488.01</v>
    <v>489.34</v>
    <v>492.11</v>
    <v>500.93</v>
    <v>504.36</v>
    <v>511.53</v>
    <v>515.37</v>
    <v>548.87</v>
    <v>573.28</v>
    <v>564.34</v>
    <v>565.33000000000004</v>
    <v>558.53</v>
    <v>554.70000000000005</v>
    <v>559.75</v>
    <v>559.67999999999995</v>
    <v>569.72</v>
    <v>566.75</v>
    <v>576.33000000000004</v>
    <v>576.16</v>
    <v>572.77</v>
    <v>589.83000000000004</v>
    <v>569.96</v>
    <v>568.35</v>
    <v>566.08000000000004</v>
    <v>566.24</v>
    <v>558.76</v>
    <v>565.29</v>
    <v>574.24</v>
    <v>579.66999999999996</v>
    <v>579.61</v>
    <v>577.67999999999995</v>
    <v>578.78</v>
    <v>580.65</v>
    <v>578.07000000000005</v>
    <v>578.72</v>
    <v>584.51</v>
    <v>587.13</v>
    <v>587.35</v>
    <v>588.54</v>
    <v>591.57000000000005</v>
    <v>590.20000000000005</v>
    <v>598.67999999999995</v>
    <v>604.17999999999995</v>
    <v>595.49</v>
    <v>596.88</v>
    <v>594.1</v>
    <v>599.03</v>
    <v>589.75</v>
    <v>588.41999999999996</v>
    <v>594.32000000000005</v>
    <v>589.14</v>
    <v>577.96</v>
    <v>580.65</v>
    <v>577.07000000000005</v>
    <v>575</v>
    <v>573.41</v>
    <v>575.19000000000005</v>
    <v>576.30999999999995</v>
    <v>574.80999999999995</v>
    <v>581.85</v>
    <v>584.67999999999995</v>
    <v>583.29999999999995</v>
    <v>592.30999999999995</v>
    <v>592.75</v>
    <v>591.20000000000005</v>
    <v>583.55999999999995</v>
    <v>581.58000000000004</v>
    <v>591.22</v>
    <v>597.70000000000005</v>
    <v>598.04999999999995</v>
    <v>605.4</v>
    <v>556.29</v>
    <v>571.34</v>
    <v>566.03</v>
    <v>569.61</v>
    <v>571.47</v>
    <v>569.86</v>
    <v>564.64</v>
    <v>560.80999999999995</v>
    <v>564.55999999999995</v>
    <v>565.24</v>
    <v>562.13</v>
    <v>562.96</v>
    <v>564.5</v>
    <v>567.55999999999995</v>
    <v>557.77</v>
    <v>567.03</v>
    <v>596.69000000000005</v>
    <v>605.45000000000005</v>
    <v>615.80999999999995</v>
    <v>625.25</v>
    <v>614.66999999999996</v>
    <v>605.87</v>
    <v>593.15</v>
    <v>592.23</v>
    <v>589.65</v>
    <v>577</v>
    <v>600.5</v>
    <v>597.49</v>
    <v>590.87</v>
    <v>605.83000000000004</v>
    <v>606.79</v>
    <v>608.38</v>
    <v>610.20000000000005</v>
    <v>608.52</v>
    <v>605.23</v>
    <v>610.79</v>
    <v>578.97</v>
    <v>549.62</v>
    <v>560.62</v>
    <v>565.19000000000005</v>
    <v>533.53</v>
    <v>515.76</v>
    <v>520.48</v>
    <v>498.5</v>
    <v>485.52</v>
    <v>499.72</v>
    <v>489.25</v>
    <v>500.13</v>
    <v>506.34</v>
    <v>506.1</v>
    <v>511.15</v>
    <v>509.99</v>
    <v>507.8</v>
    <v>505.86</v>
    <v>504.51</v>
    <v>513</v>
    <v>513.66999999999996</v>
    <v>514.25</v>
    <v>524.52</v>
    <v>520.69000000000005</v>
    <v>541.14</v>
    <v>543.74</v>
    <v>543.41999999999996</v>
    <v>510.59</v>
    <v>509.76</v>
    <v>524.99</v>
    <v>519.72</v>
    <v>529.77</v>
    <v>532.51</v>
    <v>543.52</v>
    <v>542.48</v>
    <v>538.1</v>
    <v>545.57000000000005</v>
    <v>542.49</v>
    <v>548.17999999999995</v>
    <v>545.45000000000005</v>
    <v>539.80999999999995</v>
    <v>530.04</v>
    <v>527.03</v>
    <v>533.37</v>
    <v>533.91999999999996</v>
    <v>527.4</v>
    <v>531.17999999999995</v>
    <v>523.51</v>
    <v>500.73</v>
    <v>511.04</v>
    <v>502.42</v>
    <v>466.42</v>
    <v>461.52</v>
    <v>470.38</v>
    <v>463.59</v>
    <v>468.56</v>
    <v>474.96</v>
  </a>
  <a r="1" c="253">
    <v>78.700999999999993</v>
    <v>77.662999999999997</v>
    <v>79.111999999999995</v>
    <v>82.278999999999996</v>
    <v>85.236999999999995</v>
    <v>85.963999999999999</v>
    <v>88.7</v>
    <v>92.668999999999997</v>
    <v>87.528000000000006</v>
    <v>85.774000000000001</v>
    <v>91.912999999999997</v>
    <v>90.888000000000005</v>
    <v>87.944000000000003</v>
    <v>87.836500000000001</v>
    <v>88.454999999999998</v>
    <v>89.397999999999996</v>
    <v>90.372</v>
    <v>91.435000000000002</v>
    <v>94.289000000000001</v>
    <v>95.001999999999995</v>
    <v>92.561000000000007</v>
    <v>90.25</v>
    <v>90.355999999999995</v>
    <v>90.363</v>
    <v>89.451999999999998</v>
    <v>88.963999999999999</v>
    <v>85.905000000000001</v>
    <v>88.007999999999996</v>
    <v>87.132999999999996</v>
    <v>85.353999999999999</v>
    <v>87.039000000000001</v>
    <v>90.616</v>
    <v>88.186000000000007</v>
    <v>86.001000000000005</v>
    <v>87.415000000000006</v>
    <v>84.034999999999997</v>
    <v>84.671000000000006</v>
    <v>76.2</v>
    <v>79.518000000000001</v>
    <v>82.423000000000002</v>
    <v>79.677000000000007</v>
    <v>82.632000000000005</v>
    <v>87.734999999999999</v>
    <v>87.757000000000005</v>
    <v>86.402000000000001</v>
    <v>83.040999999999997</v>
    <v>85.816999999999993</v>
    <v>88.789000000000001</v>
    <v>92.14</v>
    <v>90.554000000000002</v>
    <v>90.412000000000006</v>
    <v>88.747</v>
    <v>89.878</v>
    <v>90.399000000000001</v>
    <v>91.355999999999995</v>
    <v>94.63</v>
    <v>94.358999999999995</v>
    <v>92.478999999999999</v>
    <v>94.78</v>
    <v>95.385999999999996</v>
    <v>94.95</v>
    <v>103.79900000000001</v>
    <v>106.46899999999999</v>
    <v>113.901</v>
    <v>114.825</v>
    <v>110.5</v>
    <v>109.633</v>
    <v>115</v>
    <v>116.437</v>
    <v>122.44</v>
    <v>120.998</v>
    <v>120.88800000000001</v>
    <v>121.79</v>
    <v>120.91</v>
    <v>125.2</v>
    <v>129.61000000000001</v>
    <v>131.88</v>
    <v>130.97999999999999</v>
    <v>135.58000000000001</v>
    <v>130.78</v>
    <v>126.57</v>
    <v>118.11</v>
    <v>126.09</v>
    <v>126.4</v>
    <v>123.99</v>
    <v>123.54</v>
    <v>124.3</v>
    <v>122.67</v>
    <v>128.28</v>
    <v>125.83</v>
    <v>128.19999999999999</v>
    <v>131.38</v>
    <v>134.91</v>
    <v>127.4</v>
    <v>129.24</v>
    <v>128.44</v>
    <v>126.36</v>
    <v>117.99</v>
    <v>121.09</v>
    <v>117.93</v>
    <v>123.54</v>
    <v>122.59</v>
    <v>114.25</v>
    <v>112.28</v>
    <v>113.06</v>
    <v>111.59</v>
    <v>103.73</v>
    <v>117.02</v>
    <v>109.21</v>
    <v>107.27</v>
    <v>100.45</v>
    <v>104.25</v>
    <v>98.91</v>
    <v>104.97</v>
    <v>104.75</v>
    <v>109.02</v>
    <v>116.14</v>
    <v>118.08</v>
    <v>122.86</v>
    <v>124.58</v>
    <v>130</v>
    <v>127.25</v>
    <v>128.5</v>
    <v>123.74</v>
    <v>129.37</v>
    <v>126.46</v>
    <v>128.30000000000001</v>
    <v>125.61</v>
    <v>117.59</v>
    <v>119.37</v>
    <v>108</v>
    <v>106.21</v>
    <v>107.21</v>
    <v>102.83</v>
    <v>106.47</v>
    <v>108.1</v>
    <v>116.91</v>
    <v>119.14</v>
    <v>119.1</v>
    <v>116.78</v>
    <v>115.59</v>
    <v>113.37</v>
    <v>117.87</v>
    <v>116</v>
    <v>116.26</v>
    <v>120.87</v>
    <v>123.51</v>
    <v>124.04</v>
    <v>121.4</v>
    <v>121.44</v>
    <v>117</v>
    <v>118.85</v>
    <v>122.85</v>
    <v>124.92</v>
    <v>127.72</v>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a>
  <a r="1" c="253">
    <v>129.62299999999999</v>
    <v>128.94200000000001</v>
    <v>130.04900000000001</v>
    <v>139.917</v>
    <v>140.226</v>
    <v>134.27500000000001</v>
    <v>135</v>
    <v>140.70099999999999</v>
    <v>130.87200000000001</v>
    <v>129.31200000000001</v>
    <v>129.18799999999999</v>
    <v>125.78700000000001</v>
    <v>126.227</v>
    <v>123.55</v>
    <v>123.724</v>
    <v>123.801</v>
    <v>127.6</v>
    <v>134.80000000000001</v>
    <v>135.34700000000001</v>
    <v>135.15799999999999</v>
    <v>133.149</v>
    <v>131.87299999999999</v>
    <v>132.541</v>
    <v>135.02600000000001</v>
    <v>133.876</v>
    <v>136.321</v>
    <v>131.75</v>
    <v>133.94300000000001</v>
    <v>133.61000000000001</v>
    <v>133.40799999999999</v>
    <v>132.23699999999999</v>
    <v>138.24600000000001</v>
    <v>134.40700000000001</v>
    <v>131.06899999999999</v>
    <v>132.90600000000001</v>
    <v>128.26300000000001</v>
    <v>125.899</v>
    <v>120.471</v>
    <v>122.446</v>
    <v>124.919</v>
    <v>125.682</v>
    <v>129.44200000000001</v>
    <v>134.40700000000001</v>
    <v>133.86199999999999</v>
    <v>130.02699999999999</v>
    <v>124.286</v>
    <v>123.857</v>
    <v>127.81100000000001</v>
    <v>131.03100000000001</v>
    <v>130.31100000000001</v>
    <v>132.53700000000001</v>
    <v>130.56700000000001</v>
    <v>133.28</v>
    <v>133.751</v>
    <v>138.00299999999999</v>
    <v>143.61699999999999</v>
    <v>141.21299999999999</v>
    <v>139.529</v>
    <v>141.40299999999999</v>
    <v>139.91999999999999</v>
    <v>139.22399999999999</v>
    <v>139.32900000000001</v>
    <v>140.78399999999999</v>
    <v>141.245</v>
    <v>139.06700000000001</v>
    <v>136.40799999999999</v>
    <v>132.85499999999999</v>
    <v>132.19</v>
    <v>133.08199999999999</v>
    <v>141.309</v>
    <v>140.12700000000001</v>
    <v>140.66399999999999</v>
    <v>144.047</v>
    <v>146.10300000000001</v>
    <v>149.55099999999999</v>
    <v>167.899</v>
    <v>173.50399999999999</v>
    <v>182.887</v>
    <v>180.25200000000001</v>
    <v>173.45599999999999</v>
    <v>165.863</v>
    <v>159.221</v>
    <v>158.07900000000001</v>
    <v>159.19999999999999</v>
    <v>158.666</v>
    <v>160.553</v>
    <v>164.08</v>
    <v>165.74799999999999</v>
    <v>172.922</v>
    <v>170.33099999999999</v>
    <v>174.58600000000001</v>
    <v>173.33099999999999</v>
    <v>174.46899999999999</v>
    <v>170.595</v>
    <v>170.06700000000001</v>
    <v>171.42</v>
    <v>169.375</v>
    <v>155.97999999999999</v>
    <v>160.52000000000001</v>
    <v>157.35</v>
    <v>161.06</v>
    <v>163.77000000000001</v>
    <v>151.34</v>
    <v>149.26</v>
    <v>151.63</v>
    <v>150.22</v>
    <v>143.52000000000001</v>
    <v>160.68</v>
    <v>147.02000000000001</v>
    <v>143.82</v>
    <v>142.08000000000001</v>
    <v>143.91999999999999</v>
    <v>136.27000000000001</v>
    <v>145.74</v>
    <v>148.26</v>
    <v>148.62</v>
    <v>156.16</v>
    <v>157.69</v>
    <v>166.13</v>
    <v>165.72</v>
    <v>167.71</v>
    <v>165.95</v>
    <v>165.78</v>
    <v>162.34</v>
    <v>166.36</v>
    <v>159.62</v>
    <v>161.38999999999999</v>
    <v>158.18</v>
    <v>156.93</v>
    <v>162.82</v>
    <v>152.79</v>
    <v>154.12</v>
    <v>152.82</v>
    <v>136.995</v>
    <v>140.82</v>
    <v>148.21</v>
    <v>158.27000000000001</v>
    <v>164.56</v>
    <v>167.69</v>
    <v>164.02</v>
    <v>162.47</v>
    <v>161.66999999999999</v>
    <v>167.42</v>
    <v>171.1</v>
    <v>172.94</v>
    <v>174.84</v>
    <v>175.52</v>
    <v>178.09</v>
    <v>172.69</v>
    <v>172.5</v>
    <v>167.47</v>
    <v>170.66</v>
    <v>171.89</v>
    <v>176.64</v>
    <v>175.08</v>
    <v>180.73</v>
    <v>185.95</v>
    <v>185.69</v>
    <v>181.48</v>
    <v>182.31</v>
    <v>175.98</v>
    <v>176.82</v>
    <v>181.53</v>
    <v>179.89</v>
    <v>179.99</v>
    <v>179.38</v>
    <v>173.51</v>
    <v>171.35</v>
    <v>173</v>
    <v>172.02</v>
    <v>179.24</v>
    <v>176.64</v>
    <v>169.77</v>
    <v>168.92</v>
    <v>168.55</v>
    <v>173.9</v>
    <v>179.55</v>
    <v>183.81</v>
    <v>183.64</v>
    <v>178.91</v>
    <v>176.22</v>
    <v>173.58</v>
    <v>170.38</v>
    <v>164.84</v>
    <v>165.67</v>
    <v>165.35</v>
    <v>163.25</v>
    <v>163.94</v>
    <v>164.23</v>
    <v>164.82</v>
    <v>164.74</v>
    <v>159.66999999999999</v>
    <v>162.08000000000001</v>
    <v>166.51</v>
    <v>168.15</v>
    <v>170.56</v>
    <v>170.47</v>
    <v>179.53</v>
    <v>178.94</v>
    <v>171.81</v>
    <v>183.2</v>
    <v>180.66</v>
    <v>224.8</v>
    <v>250</v>
    <v>240.23</v>
    <v>223.62</v>
    <v>218.32</v>
    <v>220.79</v>
    <v>232.35</v>
    <v>239.68</v>
    <v>245.36</v>
    <v>241.75</v>
    <v>235.58</v>
    <v>231.84</v>
    <v>231.98</v>
    <v>232.55</v>
    <v>236.41</v>
    <v>228.64</v>
    <v>229.31</v>
    <v>224.31</v>
    <v>225.29</v>
    <v>224.7</v>
    <v>228</v>
    <v>229.41</v>
    <v>237.44</v>
    <v>240.31</v>
    <v>240.91</v>
    <v>240.28</v>
    <v>244.7</v>
    <v>202.13</v>
    <v>207.36</v>
    <v>206.35</v>
    <v>215.66</v>
    <v>221.27</v>
    <v>217.73</v>
    <v>222.43</v>
    <v>232</v>
    <v>231.36</v>
    <v>224.87</v>
    <v>235.04</v>
    <v>235.04</v>
    <v>236.35</v>
    <v>235.8</v>
    <v>233.04</v>
    <v>228.53</v>
    <v>228.73</v>
    <v>226.74</v>
    <v>218.66</v>
    <v>207.93</v>
    <v>202.54</v>
    <v>212.94</v>
    <v>197.8</v>
    <v>199.43</v>
  </a>
  <a r="1" c="253">
    <v>159.30000000000001</v>
    <v>160.05000000000001</v>
    <v>158.94</v>
    <v>158.85</v>
    <v>159.56</v>
    <v>159.32</v>
    <v>159.57</v>
    <v>160.62</v>
    <v>160.35</v>
    <v>161.55000000000001</v>
    <v>161.93</v>
    <v>162.30000000000001</v>
    <v>161.5</v>
    <v>161.38</v>
    <v>161.21</v>
    <v>161.83000000000001</v>
    <v>161.99</v>
    <v>161.86000000000001</v>
    <v>161.66</v>
    <v>160.19</v>
    <v>160.55000000000001</v>
    <v>162.61000000000001</v>
    <v>162.25</v>
    <v>160.58000000000001</v>
    <v>160.57</v>
    <v>156.15</v>
    <v>155.44999999999999</v>
    <v>156.1</v>
    <v>156.04</v>
    <v>156.66</v>
    <v>157.24</v>
    <v>155.84</v>
    <v>155.33000000000001</v>
    <v>155.44999999999999</v>
    <v>155.94999999999999</v>
    <v>156.96</v>
    <v>157.29</v>
    <v>158.13999999999999</v>
    <v>160.54</v>
    <v>161.5</v>
    <v>162.6</v>
    <v>162.55000000000001</v>
    <v>161.29</v>
    <v>161.66</v>
    <v>163.19999999999999</v>
    <v>163.4</v>
    <v>163.84</v>
    <v>164.46</v>
    <v>164.44</v>
    <v>165.76</v>
    <v>165.07</v>
    <v>166.04</v>
    <v>166.85</v>
    <v>165.87</v>
    <v>165.76</v>
    <v>166.51</v>
    <v>167.86</v>
    <v>167.64</v>
    <v>167.31</v>
    <v>168.35</v>
    <v>167.81</v>
    <v>165.49</v>
    <v>165.33</v>
    <v>163.11000000000001</v>
    <v>161.65</v>
    <v>162.58000000000001</v>
    <v>164.54</v>
    <v>164.65</v>
    <v>167.01</v>
    <v>166.05</v>
    <v>168.47</v>
    <v>167.06</v>
    <v>167.35</v>
    <v>167.48</v>
    <v>165.18</v>
    <v>166.41</v>
    <v>166.79</v>
    <v>167.5</v>
    <v>168.56</v>
    <v>167.67</v>
    <v>168.26</v>
    <v>168.45</v>
    <v>166.85</v>
    <v>167.45</v>
    <v>166.62</v>
    <v>164.92</v>
    <v>162.72</v>
    <v>163.9</v>
    <v>163.83000000000001</v>
    <v>165.21</v>
    <v>166.52</v>
    <v>165.66</v>
    <v>166.8</v>
    <v>165.54</v>
    <v>166.61</v>
    <v>164.58</v>
    <v>166.95</v>
    <v>169.44</v>
    <v>168.44</v>
    <v>167.96</v>
    <v>168.25</v>
    <v>166.62</v>
    <v>168</v>
    <v>166.9</v>
    <v>169.11</v>
    <v>169.93</v>
    <v>161.69999999999999</v>
    <v>160.76</v>
    <v>165.69</v>
    <v>170.08</v>
    <v>168.06</v>
    <v>168.09</v>
    <v>170.02</v>
    <v>170.87</v>
    <v>170.54</v>
    <v>166.81</v>
    <v>167.29</v>
    <v>168.8</v>
    <v>167.92</v>
    <v>167.89</v>
    <v>168.42</v>
    <v>170.41</v>
    <v>170.16</v>
    <v>170.15</v>
    <v>169.17</v>
    <v>170.35</v>
    <v>169.25</v>
    <v>169.06</v>
    <v>170.03</v>
    <v>171.54</v>
    <v>174.52</v>
    <v>175.9</v>
    <v>175.47</v>
    <v>175.59</v>
    <v>176.06</v>
    <v>177.79</v>
    <v>173.92</v>
    <v>173.47</v>
    <v>174.08</v>
    <v>177.24</v>
    <v>175.88</v>
    <v>173.92</v>
    <v>171.54</v>
    <v>174.22</v>
    <v>173.77</v>
    <v>173.24</v>
    <v>172.26</v>
    <v>173.21</v>
    <v>173.55</v>
    <v>173.2</v>
    <v>173.04</v>
    <v>171.92</v>
    <v>170.12</v>
    <v>168.88</v>
    <v>167.12</v>
    <v>168.16</v>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a>
</arrayData>
</file>

<file path=xl/richData/rdrichvalue.xml><?xml version="1.0" encoding="utf-8"?>
<rvData xmlns="http://schemas.microsoft.com/office/spreadsheetml/2017/richdata" count="3847">
  <rv s="0">
    <v>https://www.bing.com/financeapi/forcetrigger?t=a24kar&amp;q=XNAS%3aTSLA&amp;form=skydnc</v>
    <v>Learn more on Bing</v>
  </rv>
  <rv s="1">
    <v>en-US</v>
    <v>a24kar</v>
    <v>268435456</v>
    <v>1</v>
    <v>Powered by Refinitiv</v>
    <v>0</v>
    <v>TESLA, INC. (XNAS:TSLA)</v>
    <v>2</v>
    <v>3</v>
    <v>Finance</v>
    <v>4</v>
    <v>498.83</v>
    <v>271</v>
    <v>1.7927</v>
    <v>13.22</v>
    <v>3.4641000000000005E-2</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134785</v>
    <v>Nasdaq Stock Market</v>
    <v>XNAS</v>
    <v>XNAS</v>
    <v>1 Tesla Road, AUSTIN, TX, 78725 US</v>
    <v>397.8211</v>
    <v>Automobiles &amp; Auto Parts</v>
    <v>Stock</v>
    <v>46143.79553805547</v>
    <v>0</v>
    <v>378.91</v>
    <v>1482947621400</v>
    <v>TESLA, INC.</v>
    <v>TESLA, INC.</v>
    <v>382.61</v>
    <v>360.89019999999999</v>
    <v>381.63</v>
    <v>394.85</v>
    <v>3755724000</v>
    <v>TSLA</v>
    <v>TESLA, INC. (XNAS:TSLA)</v>
    <v>53062964</v>
    <v>67093130</v>
    <v>2024</v>
  </rv>
  <rv s="2">
    <v>1</v>
  </rv>
  <rv s="0">
    <v>https://www.bing.com/financeapi/forcetrigger?t=a1nhlh&amp;q=XNAS%3aAMZN&amp;form=skydnc</v>
    <v>Learn more on Bing</v>
  </rv>
  <rv s="1">
    <v>en-US</v>
    <v>a1nhlh</v>
    <v>268435456</v>
    <v>1</v>
    <v>Powered by Refinitiv</v>
    <v>0</v>
    <v>AMAZON.COM, INC. (XNAS:AMZN)</v>
    <v>2</v>
    <v>3</v>
    <v>Finance</v>
    <v>4</v>
    <v>273.88</v>
    <v>183.85</v>
    <v>1.4679</v>
    <v>4.03</v>
    <v>1.5204000000000001E-2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1575000</v>
    <v>Nasdaq Stock Market</v>
    <v>XNAS</v>
    <v>XNAS</v>
    <v>410 Terry Avenue North, SEATTLE, WA, 98109 US</v>
    <v>273.315</v>
    <v>Diversified Retail</v>
    <v>Stock</v>
    <v>46143.795538749997</v>
    <v>3</v>
    <v>262.78320000000002</v>
    <v>2893898805099</v>
    <v>AMAZON.COM, INC.</v>
    <v>AMAZON.COM, INC.</v>
    <v>265.64999999999998</v>
    <v>32.158200000000001</v>
    <v>265.06</v>
    <v>269.08999999999997</v>
    <v>10754390000</v>
    <v>AMZN</v>
    <v>AMAZON.COM, INC. (XNAS:AMZN)</v>
    <v>36845628</v>
    <v>49444501</v>
    <v>1996</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555.45000000000005</v>
    <v>356.28</v>
    <v>1.0931</v>
    <v>7.3849999999999998</v>
    <v>1.8110000000000001E-2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417.11</v>
    <v>9</v>
    <v>Software &amp; IT Services</v>
    <v>Stock</v>
    <v>46143.795539085157</v>
    <v>10</v>
    <v>410.435</v>
    <v>3084026216775</v>
    <v>MICROSOFT CORPORATION</v>
    <v>MICROSOFT CORPORATION</v>
    <v>412.77</v>
    <v>24.727499999999999</v>
    <v>407.78</v>
    <v>415.16500000000002</v>
    <v>7428435000</v>
    <v>MSFT</v>
    <v>MICROSOFT CORPORATION (XNAS:MSFT)</v>
    <v>22675264</v>
    <v>35251215</v>
    <v>1993</v>
  </rv>
  <rv s="2">
    <v>11</v>
  </rv>
  <rv s="0">
    <v>https://www.bing.com/financeapi/forcetrigger?t=a22xk2&amp;q=XNYS%3aSHW&amp;form=skydnc</v>
    <v>Learn more on Bing</v>
  </rv>
  <rv s="1">
    <v>en-US</v>
    <v>a22xk2</v>
    <v>268435456</v>
    <v>1</v>
    <v>Powered by Refinitiv</v>
    <v>0</v>
    <v>THE SHERWIN-WILLIAMS COMPANY (XNYS:SHW)</v>
    <v>2</v>
    <v>3</v>
    <v>Finance</v>
    <v>4</v>
    <v>379.65</v>
    <v>301.58</v>
    <v>1.1551</v>
    <v>-1.97</v>
    <v>-6.1250000000000002E-3</v>
    <v>USD</v>
    <v>The Sherwin-Williams Company is engaged in the manufacture, development, distribution, and sale of paint, coatings and related products to professional, industrial, commercial, and retail customers primarily in North and South America with additional operations in the Caribbean region, Europe, Asia and Australia. Its Paint Stores Group segment is engaged in servicing the needs of architectural and industrial paint contractors and do-it-yourself homeowners. The Consumer Brands Group segment manufactures and distributes a broad portfolio of branded and private-label architectural paint, stains, varnishes, industrial products, wood finishes products, wood preservatives, applicators, corrosion inhibitors, aerosols, caulks and adhesives to retailers, including home centers and hardware stores, dedicated dealers and distributors. The Performance Coatings Group segment develops and sells industrial coatings for wood finishing and general industrial (metal and plastic) applications and others.</v>
    <v>64249</v>
    <v>New York Stock Exchange</v>
    <v>XNYS</v>
    <v>XNYS</v>
    <v>101 Prospect Ave Nw, CLEVELAND, OH, 44115 US</v>
    <v>324.85500000000002</v>
    <v>Chemicals</v>
    <v>Stock</v>
    <v>46143.795516909377</v>
    <v>13</v>
    <v>317.48500000000001</v>
    <v>78834603184</v>
    <v>THE SHERWIN-WILLIAMS COMPANY</v>
    <v>THE SHERWIN-WILLIAMS COMPANY</v>
    <v>324.08999999999997</v>
    <v>30.684200000000001</v>
    <v>321.61</v>
    <v>319.64</v>
    <v>246635600</v>
    <v>SHW</v>
    <v>THE SHERWIN-WILLIAMS COMPANY (XNYS:SHW)</v>
    <v>789588</v>
    <v>1678954</v>
    <v>1884</v>
  </rv>
  <rv s="2">
    <v>14</v>
  </rv>
  <rv s="0">
    <v>https://www.bing.com/financeapi/forcetrigger?t=a1zsjc&amp;q=XNYS%3aPG&amp;form=skydnc</v>
    <v>Learn more on Bing</v>
  </rv>
  <rv s="1">
    <v>en-US</v>
    <v>a1zsjc</v>
    <v>268435456</v>
    <v>1</v>
    <v>Powered by Refinitiv</v>
    <v>0</v>
    <v>THE PROCTER &amp; GAMBLE COMPANY (XNYS:PG)</v>
    <v>2</v>
    <v>3</v>
    <v>Finance</v>
    <v>4</v>
    <v>170.99</v>
    <v>137.62</v>
    <v>0.39800000000000002</v>
    <v>-0.24</v>
    <v>-1.6320000000000002E-3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149.28</v>
    <v>Personal &amp; Household Products &amp; Services</v>
    <v>Stock</v>
    <v>46143.795538772654</v>
    <v>16</v>
    <v>146.46</v>
    <v>341954763150</v>
    <v>THE PROCTER &amp; GAMBLE COMPANY</v>
    <v>THE PROCTER &amp; GAMBLE COMPANY</v>
    <v>147.80000000000001</v>
    <v>21.476800000000001</v>
    <v>147.09</v>
    <v>146.85</v>
    <v>2328599000</v>
    <v>PG</v>
    <v>THE PROCTER &amp; GAMBLE COMPANY (XNYS:PG)</v>
    <v>3961896</v>
    <v>8879510</v>
    <v>1905</v>
  </rv>
  <rv s="2">
    <v>17</v>
  </rv>
  <rv s="0">
    <v>https://www.bing.com/financeapi/forcetrigger?t=a1waa2&amp;q=XNYS%3aJPM&amp;form=skydnc</v>
    <v>Learn more on Bing</v>
  </rv>
  <rv s="1">
    <v>en-US</v>
    <v>a1waa2</v>
    <v>268435456</v>
    <v>1</v>
    <v>Powered by Refinitiv</v>
    <v>0</v>
    <v>JPMORGAN CHASE &amp; CO. (XNYS:JPM)</v>
    <v>2</v>
    <v>3</v>
    <v>Finance</v>
    <v>4</v>
    <v>337.25</v>
    <v>242.17</v>
    <v>1.0226999999999999</v>
    <v>0.37</v>
    <v>1.181E-3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320079</v>
    <v>New York Stock Exchange</v>
    <v>XNYS</v>
    <v>XNYS</v>
    <v>270 Park Avenue, NEW YORK, NY, 10017 US</v>
    <v>316.08</v>
    <v>Banking Services</v>
    <v>Stock</v>
    <v>46143.795510335156</v>
    <v>19</v>
    <v>311.83</v>
    <v>841144192000</v>
    <v>JPMORGAN CHASE &amp; CO.</v>
    <v>JPMORGAN CHASE &amp; CO.</v>
    <v>313.95</v>
    <v>15.018000000000001</v>
    <v>313.23</v>
    <v>313.60000000000002</v>
    <v>2682220000</v>
    <v>JPM</v>
    <v>JPMORGAN CHASE &amp; CO. (XNYS:JPM)</v>
    <v>3016239</v>
    <v>8646685</v>
    <v>1968</v>
  </rv>
  <rv s="2">
    <v>20</v>
  </rv>
  <rv s="0">
    <v>https://www.bing.com/financeapi/forcetrigger?t=a24xlh&amp;q=XNYS%3aUNH&amp;form=skydnc</v>
    <v>Learn more on Bing</v>
  </rv>
  <rv s="1">
    <v>en-US</v>
    <v>a24xlh</v>
    <v>268435456</v>
    <v>1</v>
    <v>Powered by Refinitiv</v>
    <v>0</v>
    <v>UNITEDHEALTH GROUP INCORPORATED (XNYS:UNH)</v>
    <v>2</v>
    <v>3</v>
    <v>Finance</v>
    <v>4</v>
    <v>411.99</v>
    <v>234.6</v>
    <v>0.64649999999999996</v>
    <v>-0.58489999999999998</v>
    <v>-1.5790000000000001E-3</v>
    <v>USD</v>
    <v>UnitedHealth Group Incorporated is a healthcare and well-being company. Its segments include Optum Health, Optum Insight, Optum Rx, and UnitedHealthcare, which includes UnitedHealthcare Employer &amp; Individual, UnitedHealthcare Medicare &amp; Retirement and UnitedHealthcare Community &amp; State. Optum Health provides comprehensive and patient-centered care, addressing the physical, mental, and social well-being. Optum Health delivers primary, specialty and surgical care and helps patients and providers navigate and address complex, chronic and behavioral health needs. Optum Insight connects the healthcare system with services, analytics and platforms that make clinical, administrative and financial processes simpler and more efficient for all participants in the healthcare system. Optum Rx offers a range of pharmacy care services through retail pharmacies, through home delivery, specialty and community health pharmacies and the provision of in-home and community-based infusion services.</v>
    <v>390000</v>
    <v>New York Stock Exchange</v>
    <v>XNYS</v>
    <v>XNYS</v>
    <v>1 HEALTH DRIVE, EDEN PRAIRIE, MN, 55344 US</v>
    <v>372.8999</v>
    <v>Healthcare Providers &amp; Services</v>
    <v>Stock</v>
    <v>46143.795518159372</v>
    <v>22</v>
    <v>367.02</v>
    <v>335943612435</v>
    <v>UNITEDHEALTH GROUP INCORPORATED</v>
    <v>UNITEDHEALTH GROUP INCORPORATED</v>
    <v>371.8</v>
    <v>27.9358</v>
    <v>370.48</v>
    <v>369.89510000000001</v>
    <v>908213200</v>
    <v>UNH</v>
    <v>UNITEDHEALTH GROUP INCORPORATED (XNYS:UNH)</v>
    <v>3261111</v>
    <v>9025081</v>
    <v>2015</v>
  </rv>
  <rv s="2">
    <v>23</v>
  </rv>
  <rv s="0">
    <v>https://www.bing.com/financeapi/forcetrigger?t=a269ec&amp;q=XNYS%3aXOM&amp;form=skydnc</v>
    <v>Learn more on Bing</v>
  </rv>
  <rv s="1">
    <v>en-US</v>
    <v>a269ec</v>
    <v>268435456</v>
    <v>1</v>
    <v>Powered by Refinitiv</v>
    <v>0</v>
    <v>EXXON MOBIL CORPORATION (XNYS:XOM)</v>
    <v>2</v>
    <v>3</v>
    <v>Finance</v>
    <v>4</v>
    <v>176.41</v>
    <v>101.185</v>
    <v>0.1835</v>
    <v>-0.95</v>
    <v>-6.156E-3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58000</v>
    <v>New York Stock Exchange</v>
    <v>XNYS</v>
    <v>XNYS</v>
    <v>22777 SPRINGWOODS VILLAGE PARKWAY, SPRING, TX, 77389-1425 US</v>
    <v>155.01</v>
    <v>Oil &amp; Gas</v>
    <v>Stock</v>
    <v>46143.795542696091</v>
    <v>25</v>
    <v>151.13</v>
    <v>637533172800</v>
    <v>EXXON MOBIL CORPORATION</v>
    <v>EXXON MOBIL CORPORATION</v>
    <v>152.29</v>
    <v>22.959399999999999</v>
    <v>154.33000000000001</v>
    <v>153.38</v>
    <v>4156560000</v>
    <v>XOM</v>
    <v>EXXON MOBIL CORPORATION (XNYS:XOM)</v>
    <v>10678674</v>
    <v>21274761</v>
    <v>1882</v>
  </rv>
  <rv s="2">
    <v>26</v>
  </rv>
  <rv s="0">
    <v>http://en.wikipedia.org/wiki/Sony_Corporation_of_America</v>
    <v>Wikipedia</v>
  </rv>
  <rv s="3">
    <v>6</v>
    <v>28</v>
  </rv>
  <rv s="4">
    <v>9</v>
    <v>https://www.bing.com/th?id=AMMS_ae9f622f64f109cc937f5e2dec52dc40&amp;qlt=95</v>
    <v>29</v>
    <v>0</v>
    <v>https://www.bing.com/images/search?form=xlimg&amp;q=sony+corporation+of+america</v>
    <v>Image of Sony Group Corporation</v>
  </rv>
  <rv s="0">
    <v>https://www.bing.com/financeapi/forcetrigger?t=a238cw&amp;q=XNYS%3aSONY&amp;form=skydnc</v>
    <v>Learn more on Bing</v>
  </rv>
  <rv s="5">
    <v>en-US</v>
    <v>a238cw</v>
    <v>268435456</v>
    <v>1</v>
    <v>Powered by Refinitiv</v>
    <v>5</v>
    <v>Sony Group Corporation (XNYS:SONY)</v>
    <v>7</v>
    <v>8</v>
    <v>Finance</v>
    <v>4</v>
    <v>30.34</v>
    <v>19.625</v>
    <v>0.92549999999999999</v>
    <v>-0.27500000000000002</v>
    <v>-1.3688000000000001E-2</v>
    <v>USD</v>
    <v>Sony Group Corp is a Japan-based company engaged in the games &amp; network services (G&amp;NS), music, movies, entertainment technology &amp; services (ET&amp;S), imaging &amp; sensing solutions (I&amp;SS) and other businesses. It has seven business segments. G&amp;NS segment is involved in network service business, the manufacture and sale of home video game consoles and software. The Music segment mainly includes music production, music publishing and video media platform businesses. The Movies segment mainly includes film production, television program production and media network businesses. The ET&amp;S field mainly includes the television business, audio, video business, still image, video camera business, smartphone business and Internet-related service business. The I&amp;SS segment mainly includes the image sensor business. The Financial segment is involved in the insurance business and banking business. The Other segment consists of activities such as disc manufacturing business and recording media business.</v>
    <v>112300</v>
    <v>New York Stock Exchange</v>
    <v>XNYS</v>
    <v>XNYS</v>
    <v>1-7-1, Konan, MINATO-KU, TOKYO-TO, 108-0075 JP</v>
    <v>20.035</v>
    <v>30</v>
    <v>Computers, Phones &amp; Household Electronics</v>
    <v>Stock</v>
    <v>46143.795507696093</v>
    <v>31</v>
    <v>19.79</v>
    <v>121858504965</v>
    <v>Sony Group Corporation</v>
    <v>Sony Group Corporation</v>
    <v>19.920000000000002</v>
    <v>16.2926</v>
    <v>20.09</v>
    <v>19.815000000000001</v>
    <v>6149811000</v>
    <v>SONY</v>
    <v>Sony Group Corporation (XNYS:SONY)</v>
    <v>3162481</v>
    <v>4936854</v>
    <v>1946</v>
  </rv>
  <rv s="2">
    <v>32</v>
  </rv>
  <rv s="0">
    <v>http://en.wikipedia.org/wiki/Airbus</v>
    <v>Wikipedia</v>
  </rv>
  <rv s="3">
    <v>6</v>
    <v>34</v>
  </rv>
  <rv s="4">
    <v>9</v>
    <v>https://www.bing.com/th?id=AMMS_abaa60abfe41f3cc31a73bc766832b19&amp;qlt=95</v>
    <v>35</v>
    <v>0</v>
    <v>https://www.bing.com/images/search?form=xlimg&amp;q=airbus</v>
    <v>Image of Airbus SE</v>
  </rv>
  <rv s="0">
    <v>https://www.bing.com/financeapi/forcetrigger?t=a2eyjc&amp;q=OTCM%3aEADSY&amp;form=skydnc</v>
    <v>Learn more on Bing</v>
  </rv>
  <rv s="6">
    <v>en-US</v>
    <v>a2eyjc</v>
    <v>268435456</v>
    <v>1</v>
    <v>Powered by Refinitiv</v>
    <v>10</v>
    <v>Airbus SE (OTCM:EADSY)</v>
    <v>7</v>
    <v>11</v>
    <v>Finance</v>
    <v>12</v>
    <v>64.349999999999994</v>
    <v>43.05</v>
    <v>0.84499999999999997</v>
    <v>0.315</v>
    <v>6.1180000000000002E-3</v>
    <v>USD</v>
    <v>Airbus SE is a Netherlands-based Company that is active in the aerospace and defense industry. The Company operates through three segments: Airbus, Airbus Helicopters and Airbus Defense and Space. The Airbus segment focuses on the development, manufacturing, marketing and sale of commercial jet aircraft and aircraft components, as well as on aircraft conversion and related services. The Airbus Helicopters segment specializes in the development, manufacturing, marketing and sale of civil and military helicopters, as well as on the provision of helicopter related services. The Airbus Defense and Space segment produces military combat aircraft and training aircraft, provides defense electronics and global security market solutions, and manufacturers and markets missiles.</v>
    <v>OTC Markets</v>
    <v>OTCM</v>
    <v>OTCM</v>
    <v>Mendelweg 30, LEIDEN, ZUID-HOLLAND, 2333CS NL</v>
    <v>52.16</v>
    <v>36</v>
    <v>Aerospace &amp; Defense</v>
    <v>Stock</v>
    <v>46143.785027418751</v>
    <v>37</v>
    <v>51.2</v>
    <v>Airbus SE</v>
    <v>Airbus SE</v>
    <v>51.49</v>
    <v>0</v>
    <v>51.49</v>
    <v>51.805</v>
    <v>EADSY</v>
    <v>Airbus SE (OTCM:EADSY)</v>
    <v>441683</v>
    <v>1998</v>
  </rv>
  <rv s="2">
    <v>38</v>
  </rv>
  <rv s="0">
    <v>https://www.bing.com/financeapi/forcetrigger?t=a1zqnm&amp;q=XNYS%3aPFE&amp;form=skydnc</v>
    <v>Learn more on Bing</v>
  </rv>
  <rv s="1">
    <v>en-US</v>
    <v>a1zqnm</v>
    <v>268435456</v>
    <v>1</v>
    <v>Powered by Refinitiv</v>
    <v>0</v>
    <v>PFIZER INC. (XNYS:PFE)</v>
    <v>2</v>
    <v>3</v>
    <v>Finance</v>
    <v>4</v>
    <v>28.745000000000001</v>
    <v>21.97</v>
    <v>0.3054</v>
    <v>-0.215</v>
    <v>-8.0520000000000001E-3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and others. Its PF-08653944 is an ultra-long-acting fully biased GLP-1 receptor agonist.</v>
    <v>75000</v>
    <v>New York Stock Exchange</v>
    <v>XNYS</v>
    <v>XNYS</v>
    <v>66 HUDSON BOULEVARD EAST, NEW YORK, NY, 10001-2192 US</v>
    <v>26.62</v>
    <v>Pharmaceuticals</v>
    <v>Stock</v>
    <v>46143.795489872653</v>
    <v>40</v>
    <v>26.29</v>
    <v>150656108660</v>
    <v>PFIZER INC.</v>
    <v>PFIZER INC.</v>
    <v>26.62</v>
    <v>19.533200000000001</v>
    <v>26.7</v>
    <v>26.484999999999999</v>
    <v>5688356000</v>
    <v>PFE</v>
    <v>PFIZER INC. (XNYS:PFE)</v>
    <v>18375826</v>
    <v>34748082</v>
    <v>1942</v>
  </rv>
  <rv s="2">
    <v>41</v>
  </rv>
  <rv s="0">
    <v>https://www.bing.com/financeapi/forcetrigger?t=a1nanm&amp;q=XNYS%3aALL&amp;form=skydnc</v>
    <v>Learn more on Bing</v>
  </rv>
  <rv s="1">
    <v>en-US</v>
    <v>a1nanm</v>
    <v>268435456</v>
    <v>1</v>
    <v>Powered by Refinitiv</v>
    <v>0</v>
    <v>THE ALLSTATE CORPORATION (XNYS:ALL)</v>
    <v>2</v>
    <v>3</v>
    <v>Finance</v>
    <v>4</v>
    <v>221.19</v>
    <v>188.08</v>
    <v>0.20680000000000001</v>
    <v>0.1</v>
    <v>4.6030000000000002E-4</v>
    <v>USD</v>
    <v>The Allstate Corporation protects people from life’s uncertainties with a wide array of protection for autos, homes, electronic devices and identity theft. The Company’s products are available through Allstate agents, independent agents, major retailers, online and at the workplace. Its Allstate Protection segment offers private passenger auto, homeowners, other personal lines and commercial insurance. Its Run-off Property-Liability segment includes property and casualty insurance coverage. The Company’s Protection Services segment provides consumer product protection plans, device and mobile data collection services and analytic solutions using automotive telematics information, roadside assistance, protection and insurance products and identity protection and restoration through Allstate Protection Plans, Allstate Dealer Services, Allstate Roadside, Arity and Allstate Identity Protection.</v>
    <v>53000</v>
    <v>New York Stock Exchange</v>
    <v>XNYS</v>
    <v>XNYS</v>
    <v>3100 SANDERS ROAD, NORTHBROOK, IL, 60062 US</v>
    <v>221.19</v>
    <v>Insurance</v>
    <v>Stock</v>
    <v>46143.795510705466</v>
    <v>43</v>
    <v>216.995</v>
    <v>55953006824</v>
    <v>THE ALLSTATE CORPORATION</v>
    <v>THE ALLSTATE CORPORATION</v>
    <v>218.125</v>
    <v>4.7968000000000002</v>
    <v>217.26</v>
    <v>217.36</v>
    <v>257420900</v>
    <v>ALL</v>
    <v>THE ALLSTATE CORPORATION (XNYS:ALL)</v>
    <v>776801</v>
    <v>1279006</v>
    <v>1992</v>
  </rv>
  <rv s="2">
    <v>44</v>
  </rv>
  <rv s="0">
    <v>https://www.bing.com/financeapi/forcetrigger?t=a1yv52&amp;q=XNAS%3aNVDA&amp;form=skydnc</v>
    <v>Learn more on Bing</v>
  </rv>
  <rv s="1">
    <v>en-US</v>
    <v>a1yv52</v>
    <v>268435456</v>
    <v>1</v>
    <v>Powered by Refinitiv</v>
    <v>0</v>
    <v>NVIDIA CORPORATION (XNAS:NVDA)</v>
    <v>2</v>
    <v>3</v>
    <v>Finance</v>
    <v>4</v>
    <v>216.82499999999999</v>
    <v>110.822</v>
    <v>2.2433000000000001</v>
    <v>-1.08</v>
    <v>-5.4120000000000001E-3</v>
    <v>USD</v>
    <v>NVIDIA Corporation is an artificial intelligence (AI) infrastructure company. The Company is engaged in accelerated computing to help solve the challenging computational problems. Its segments include Compute &amp; Networking and Graphics. The Compute &amp; Networking segment includes its Data Center accelerated computing and networking platforms and AI solutions and software, and automotive platforms and autonomous and electric vehicle solutions, including software. The Graphics segment includes GeForce GPUs for gaming and personal computers (PCs), and Quadro/NVIDIA RTX GPUs for enterprise workstation graphics. Its technology stack includes the foundational NVIDIA CUDA development platform that runs on all NVIDIA GPUs, as well as hundreds of domain-specific software libraries, frameworks, algorithms, software development kits (SDKs), and application programming interfaces (APIs). Its platforms address four markets, which include Data Center, Gaming, Professional Visualization, and Automotive.</v>
    <v>42000</v>
    <v>Nasdaq Stock Market</v>
    <v>XNAS</v>
    <v>XNAS</v>
    <v>2788 San Tomas Expressway, SANTA CLARA, CA, 95051 US</v>
    <v>203</v>
    <v>Semiconductors &amp; Semiconductor Equipment</v>
    <v>Stock</v>
    <v>46143.795554003904</v>
    <v>46</v>
    <v>197.12</v>
    <v>4823307000000</v>
    <v>NVIDIA CORPORATION</v>
    <v>NVIDIA CORPORATION</v>
    <v>201.26</v>
    <v>40.493299999999998</v>
    <v>199.57</v>
    <v>198.49</v>
    <v>24300000000</v>
    <v>NVDA</v>
    <v>NVIDIA CORPORATION (XNAS:NVDA)</v>
    <v>94274283</v>
    <v>156948876</v>
    <v>1998</v>
  </rv>
  <rv s="2">
    <v>47</v>
  </rv>
  <rv s="0">
    <v>https://www.bing.com/financeapi/forcetrigger?t=a1qe5r&amp;q=XNAS%3aCSCO&amp;form=skydnc</v>
    <v>Learn more on Bing</v>
  </rv>
  <rv s="1">
    <v>en-US</v>
    <v>a1qe5r</v>
    <v>268435456</v>
    <v>1</v>
    <v>Powered by Refinitiv</v>
    <v>0</v>
    <v>CISCO SYSTEMS, INC. (XNAS:CSCO)</v>
    <v>2</v>
    <v>3</v>
    <v>Finance</v>
    <v>4</v>
    <v>92.92</v>
    <v>57.68</v>
    <v>0.91220000000000001</v>
    <v>0.71499999999999997</v>
    <v>7.8139999999999998E-3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92.92</v>
    <v>Communications &amp; Networking</v>
    <v>Stock</v>
    <v>46143.795522488283</v>
    <v>49</v>
    <v>91.16</v>
    <v>364239382995</v>
    <v>CISCO SYSTEMS, INC.</v>
    <v>CISCO SYSTEMS, INC.</v>
    <v>91.75</v>
    <v>33.2151</v>
    <v>91.5</v>
    <v>92.215000000000003</v>
    <v>3949893000</v>
    <v>CSCO</v>
    <v>CISCO SYSTEMS, INC. (XNAS:CSCO)</v>
    <v>7646523</v>
    <v>18532493</v>
    <v>2021</v>
  </rv>
  <rv s="2">
    <v>50</v>
  </rv>
  <rv s="0">
    <v>https://www.bing.com/financeapi/forcetrigger?t=a1nz8m&amp;q=XNAS%3aAVGO&amp;form=skydnc</v>
    <v>Learn more on Bing</v>
  </rv>
  <rv s="1">
    <v>en-US</v>
    <v>a1nz8m</v>
    <v>268435456</v>
    <v>1</v>
    <v>Powered by Refinitiv</v>
    <v>0</v>
    <v>BROADCOM INC. (XNAS:AVGO)</v>
    <v>2</v>
    <v>3</v>
    <v>Finance</v>
    <v>4</v>
    <v>429.31</v>
    <v>195.94</v>
    <v>1.4394</v>
    <v>5.5350000000000001</v>
    <v>1.3260000000000001E-2</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33000</v>
    <v>Nasdaq Stock Market</v>
    <v>XNAS</v>
    <v>XNAS</v>
    <v>3421 Hillview Avenue, PALO ALTO, CA, 94304 US</v>
    <v>423.17</v>
    <v>Semiconductors &amp; Semiconductor Equipment</v>
    <v>Stock</v>
    <v>46143.795540705469</v>
    <v>52</v>
    <v>413.28</v>
    <v>2002598850620</v>
    <v>BROADCOM INC.</v>
    <v>BROADCOM INC.</v>
    <v>415.71</v>
    <v>82.563599999999994</v>
    <v>417.43</v>
    <v>422.96499999999997</v>
    <v>4734668000</v>
    <v>AVGO</v>
    <v>BROADCOM INC. (XNAS:AVGO)</v>
    <v>7329585</v>
    <v>22365696</v>
    <v>2018</v>
  </rv>
  <rv s="2">
    <v>53</v>
  </rv>
  <rv s="7">
    <fb>292.98</fb>
    <v>13</v>
  </rv>
  <rv s="7">
    <fb>212.28</fb>
    <v>13</v>
  </rv>
  <rv s="7">
    <fb>362.27</fb>
    <v>13</v>
  </rv>
  <rv s="7">
    <fb>173.84</fb>
    <v>13</v>
  </rv>
  <rv s="7">
    <fb>264.64999999999998</fb>
    <v>13</v>
  </rv>
  <rv s="7">
    <fb>474.96</fb>
    <v>13</v>
  </rv>
  <rv s="7">
    <fb>111.33</fb>
    <v>13</v>
  </rv>
  <rv s="7">
    <fb>24.2224</fb>
    <v>13</v>
  </rv>
  <rv s="7">
    <fb>43.071199999999997</fb>
    <v>13</v>
  </rv>
  <rv s="7">
    <fb>26.43</fb>
    <v>13</v>
  </rv>
  <rv s="7">
    <fb>199.15</fb>
    <v>13</v>
  </rv>
  <rv s="7">
    <fb>124.92</fb>
    <v>13</v>
  </rv>
  <rv s="7">
    <fb>64.11</fb>
    <v>13</v>
  </rv>
  <rv s="7">
    <fb>199.43</fb>
    <v>13</v>
  </rv>
  <rv s="7">
    <fb>45349</fb>
    <v>14</v>
  </rv>
  <rv s="7">
    <fb>199.73</fb>
    <v>13</v>
  </rv>
  <rv s="7">
    <fb>173.54</fb>
    <v>13</v>
  </rv>
  <rv s="7">
    <fb>407.48</fb>
    <v>13</v>
  </rv>
  <rv s="7">
    <fb>327.72</fb>
    <v>13</v>
  </rv>
  <rv s="7">
    <fb>159.30000000000001</fb>
    <v>13</v>
  </rv>
  <rv s="7">
    <fb>183.45</fb>
    <v>13</v>
  </rv>
  <rv s="7">
    <fb>513.41999999999996</fb>
    <v>13</v>
  </rv>
  <rv s="7">
    <fb>104.03</fb>
    <v>13</v>
  </rv>
  <rv s="7">
    <fb>17.158000000000001</fb>
    <v>13</v>
  </rv>
  <rv s="7">
    <fb>40.08</fb>
    <v>13</v>
  </rv>
  <rv s="7">
    <fb>26.89</fb>
    <v>13</v>
  </rv>
  <rv s="7">
    <fb>159.54</fb>
    <v>13</v>
  </rv>
  <rv s="7">
    <fb>78.700999999999993</fb>
    <v>13</v>
  </rv>
  <rv s="7">
    <fb>48.31</fb>
    <v>13</v>
  </rv>
  <rv s="7">
    <fb>129.62299999999999</fb>
    <v>13</v>
  </rv>
  <rv s="7">
    <fb>45350</fb>
    <v>14</v>
  </rv>
  <rv s="7">
    <fb>202.04</fb>
    <v>13</v>
  </rv>
  <rv s="7">
    <fb>173.16</fb>
    <v>13</v>
  </rv>
  <rv s="7">
    <fb>407.72</fb>
    <v>13</v>
  </rv>
  <rv s="7">
    <fb>329.68</fb>
    <v>13</v>
  </rv>
  <rv s="7">
    <fb>160.05000000000001</fb>
    <v>13</v>
  </rv>
  <rv s="7">
    <fb>184.38</fb>
    <v>13</v>
  </rv>
  <rv s="7">
    <fb>498.28</fb>
    <v>13</v>
  </rv>
  <rv s="7">
    <fb>104.32</fb>
    <v>13</v>
  </rv>
  <rv s="7">
    <fb>17.032</fb>
    <v>13</v>
  </rv>
  <rv s="7">
    <fb>41.63</fb>
    <v>13</v>
  </rv>
  <rv s="7">
    <fb>27.04</fb>
    <v>13</v>
  </rv>
  <rv s="7">
    <fb>160.59</fb>
    <v>13</v>
  </rv>
  <rv s="7">
    <fb>77.662999999999997</fb>
    <v>13</v>
  </rv>
  <rv s="7">
    <fb>48.06</fb>
    <v>13</v>
  </rv>
  <rv s="7">
    <fb>128.94200000000001</fb>
    <v>13</v>
  </rv>
  <rv s="7">
    <fb>45351</fb>
    <v>14</v>
  </rv>
  <rv s="7">
    <fb>201.88</fb>
    <v>13</v>
  </rv>
  <rv s="7">
    <fb>176.76</fb>
    <v>13</v>
  </rv>
  <rv s="7">
    <fb>413.64</fb>
    <v>13</v>
  </rv>
  <rv s="7">
    <fb>332.03</fb>
    <v>13</v>
  </rv>
  <rv s="7">
    <fb>158.94</fb>
    <v>13</v>
  </rv>
  <rv s="7">
    <fb>186.06</fb>
    <v>13</v>
  </rv>
  <rv s="7">
    <fb>493.6</fb>
    <v>13</v>
  </rv>
  <rv s="7">
    <fb>104.52</fb>
    <v>13</v>
  </rv>
  <rv s="7">
    <fb>17.161999999999999</fb>
    <v>13</v>
  </rv>
  <rv s="7">
    <fb>41.33</fb>
    <v>13</v>
  </rv>
  <rv s="7">
    <fb>26.56</fb>
    <v>13</v>
  </rv>
  <rv s="7">
    <fb>159.52000000000001</fb>
    <v>13</v>
  </rv>
  <rv s="7">
    <fb>79.111999999999995</fb>
    <v>13</v>
  </rv>
  <rv s="7">
    <fb>48.37</fb>
    <v>13</v>
  </rv>
  <rv s="7">
    <fb>130.04900000000001</fb>
    <v>13</v>
  </rv>
  <rv s="7">
    <fb>45352</fb>
    <v>14</v>
  </rv>
  <rv s="7">
    <fb>202.64</fb>
    <v>13</v>
  </rv>
  <rv s="7">
    <fb>178.22</fb>
    <v>13</v>
  </rv>
  <rv s="7">
    <fb>415.5</fb>
    <v>13</v>
  </rv>
  <rv s="7">
    <fb>335.23</fb>
    <v>13</v>
  </rv>
  <rv s="7">
    <fb>158.85</fb>
    <v>13</v>
  </rv>
  <rv s="7">
    <fb>185.29</fb>
    <v>13</v>
  </rv>
  <rv s="7">
    <fb>489.53</fb>
    <v>13</v>
  </rv>
  <rv s="7">
    <fb>105.84</fb>
    <v>13</v>
  </rv>
  <rv s="7">
    <fb>17.603999999999999</fb>
    <v>13</v>
  </rv>
  <rv s="7">
    <fb>41.31</fb>
    <v>13</v>
  </rv>
  <rv s="7">
    <fb>26.59</fb>
    <v>13</v>
  </rv>
  <rv s="7">
    <fb>155.15</fb>
    <v>13</v>
  </rv>
  <rv s="7">
    <fb>82.278999999999996</fb>
    <v>13</v>
  </rv>
  <rv s="7">
    <fb>48.4</fb>
    <v>13</v>
  </rv>
  <rv s="7">
    <fb>139.917</fb>
    <v>13</v>
  </rv>
  <rv s="7">
    <fb>45355</fb>
    <v>14</v>
  </rv>
  <rv s="7">
    <fb>188.14</fb>
    <v>13</v>
  </rv>
  <rv s="7">
    <fb>177.58</fb>
    <v>13</v>
  </rv>
  <rv s="7">
    <fb>414.92</fb>
    <v>13</v>
  </rv>
  <rv s="7">
    <fb>337.1</fb>
    <v>13</v>
  </rv>
  <rv s="7">
    <fb>159.56</fb>
    <v>13</v>
  </rv>
  <rv s="7">
    <fb>186.68</fb>
    <v>13</v>
  </rv>
  <rv s="7">
    <fb>481.87</fb>
    <v>13</v>
  </rv>
  <rv s="7">
    <fb>104.36</fb>
    <v>13</v>
  </rv>
  <rv s="7">
    <fb>17.295999999999999</fb>
    <v>13</v>
  </rv>
  <rv s="7">
    <fb>42.16</fb>
    <v>13</v>
  </rv>
  <rv s="7">
    <fb>25.89</fb>
    <v>13</v>
  </rv>
  <rv s="7">
    <fb>156.38</fb>
    <v>13</v>
  </rv>
  <rv s="7">
    <fb>85.236999999999995</fb>
    <v>13</v>
  </rv>
  <rv s="7">
    <fb>49.13</fb>
    <v>13</v>
  </rv>
  <rv s="7">
    <fb>140.226</fb>
    <v>13</v>
  </rv>
  <rv s="7">
    <fb>45356</fb>
    <v>14</v>
  </rv>
  <rv s="7">
    <fb>180.74</fb>
    <v>13</v>
  </rv>
  <rv s="7">
    <fb>174.12</fb>
    <v>13</v>
  </rv>
  <rv s="7">
    <fb>402.65</fb>
    <v>13</v>
  </rv>
  <rv s="7">
    <fb>333.28</fb>
    <v>13</v>
  </rv>
  <rv s="7">
    <fb>159.32</fb>
    <v>13</v>
  </rv>
  <rv s="7">
    <fb>188.55</fb>
    <v>13</v>
  </rv>
  <rv s="7">
    <fb>473.15</fb>
    <v>13</v>
  </rv>
  <rv s="7">
    <fb>105.64</fb>
    <v>13</v>
  </rv>
  <rv s="7">
    <fb>17.132000000000001</fb>
    <v>13</v>
  </rv>
  <rv s="7">
    <fb>42.59</fb>
    <v>13</v>
  </rv>
  <rv s="7">
    <fb>26.08</fb>
    <v>13</v>
  </rv>
  <rv s="7">
    <fb>156.77000000000001</fb>
    <v>13</v>
  </rv>
  <rv s="7">
    <fb>85.963999999999999</fb>
    <v>13</v>
  </rv>
  <rv s="7">
    <fb>48.95</fb>
    <v>13</v>
  </rv>
  <rv s="7">
    <fb>134.27500000000001</fb>
    <v>13</v>
  </rv>
  <rv s="7">
    <fb>45357</fb>
    <v>14</v>
  </rv>
  <rv s="7">
    <fb>176.54</fb>
    <v>13</v>
  </rv>
  <rv s="7">
    <fb>173.51</fb>
    <v>13</v>
  </rv>
  <rv s="7">
    <fb>402.09</fb>
    <v>13</v>
  </rv>
  <rv s="7">
    <fb>336.49</fb>
    <v>13</v>
  </rv>
  <rv s="7">
    <fb>159.57</fb>
    <v>13</v>
  </rv>
  <rv s="7">
    <fb>189.53</fb>
    <v>13</v>
  </rv>
  <rv s="7">
    <fb>472.6</fb>
    <v>13</v>
  </rv>
  <rv s="7">
    <fb>106.77</fb>
    <v>13</v>
  </rv>
  <rv s="7">
    <fb>17.353999999999999</fb>
    <v>13</v>
  </rv>
  <rv s="7">
    <fb>43.04</fb>
    <v>13</v>
  </rv>
  <rv s="7">
    <fb>27.19</fb>
    <v>13</v>
  </rv>
  <rv s="7">
    <fb>157.04</fb>
    <v>13</v>
  </rv>
  <rv s="7">
    <fb>88.7</fb>
    <v>13</v>
  </rv>
  <rv s="7">
    <fb>49.17</fb>
    <v>13</v>
  </rv>
  <rv s="7">
    <fb>135</fb>
    <v>13</v>
  </rv>
  <rv s="7">
    <fb>45358</fb>
    <v>14</v>
  </rv>
  <rv s="7">
    <fb>178.65</fb>
    <v>13</v>
  </rv>
  <rv s="7">
    <fb>176.82</fb>
    <v>13</v>
  </rv>
  <rv s="7">
    <fb>409.14</fb>
    <v>13</v>
  </rv>
  <rv s="7">
    <fb>344.66</fb>
    <v>13</v>
  </rv>
  <rv s="7">
    <fb>160.62</fb>
    <v>13</v>
  </rv>
  <rv s="7">
    <fb>187.87</fb>
    <v>13</v>
  </rv>
  <rv s="7">
    <fb>478.78</fb>
    <v>13</v>
  </rv>
  <rv s="7">
    <fb>107.37</fb>
    <v>13</v>
  </rv>
  <rv s="7">
    <fb>17.38</fb>
    <v>13</v>
  </rv>
  <rv s="7">
    <fb>43.28</fb>
    <v>13</v>
  </rv>
  <rv s="7">
    <fb>26.79</fb>
    <v>13</v>
  </rv>
  <rv s="7">
    <fb>156.63999999999999</fb>
    <v>13</v>
  </rv>
  <rv s="7">
    <fb>92.668999999999997</fb>
    <v>13</v>
  </rv>
  <rv s="7">
    <fb>48.9</fb>
    <v>13</v>
  </rv>
  <rv s="7">
    <fb>140.70099999999999</fb>
    <v>13</v>
  </rv>
  <rv s="7">
    <fb>45359</fb>
    <v>14</v>
  </rv>
  <rv s="7">
    <fb>175.34</fb>
    <v>13</v>
  </rv>
  <rv s="7">
    <fb>175.35</fb>
    <v>13</v>
  </rv>
  <rv s="7">
    <fb>406.22</fb>
    <v>13</v>
  </rv>
  <rv s="7">
    <fb>340.69</fb>
    <v>13</v>
  </rv>
  <rv s="7">
    <fb>160.35</fb>
    <v>13</v>
  </rv>
  <rv s="7">
    <fb>188.22</fb>
    <v>13</v>
  </rv>
  <rv s="7">
    <fb>476.57</fb>
    <v>13</v>
  </rv>
  <rv s="7">
    <fb>108.38</fb>
    <v>13</v>
  </rv>
  <rv s="7">
    <fb>17.442</fb>
    <v>13</v>
  </rv>
  <rv s="7">
    <fb>43.07</fb>
    <v>13</v>
  </rv>
  <rv s="7">
    <fb>27.22</fb>
    <v>13</v>
  </rv>
  <rv s="7">
    <fb>156.91999999999999</fb>
    <v>13</v>
  </rv>
  <rv s="7">
    <fb>87.528000000000006</fb>
    <v>13</v>
  </rv>
  <rv s="7">
    <fb>49.5</fb>
    <v>13</v>
  </rv>
  <rv s="7">
    <fb>130.87200000000001</fb>
    <v>13</v>
  </rv>
  <rv s="7">
    <fb>45362</fb>
    <v>14</v>
  </rv>
  <rv s="7">
    <fb>177.77</fb>
    <v>13</v>
  </rv>
  <rv s="7">
    <fb>171.96</fb>
    <v>13</v>
  </rv>
  <rv s="7">
    <fb>404.52</fb>
    <v>13</v>
  </rv>
  <rv s="7">
    <fb>340.39</fb>
    <v>13</v>
  </rv>
  <rv s="7">
    <fb>161.55000000000001</fb>
    <v>13</v>
  </rv>
  <rv s="7">
    <fb>188.29</fb>
    <v>13</v>
  </rv>
  <rv s="7">
    <fb>489.15</fb>
    <v>13</v>
  </rv>
  <rv s="7">
    <fb>109.02</fb>
    <v>13</v>
  </rv>
  <rv s="7">
    <fb>17.352</fb>
    <v>13</v>
  </rv>
  <rv s="7">
    <fb>42.93</fb>
    <v>13</v>
  </rv>
  <rv s="7">
    <fb>28.37</fb>
    <v>13</v>
  </rv>
  <rv s="7">
    <fb>159.94</fb>
    <v>13</v>
  </rv>
  <rv s="7">
    <fb>85.774000000000001</fb>
    <v>13</v>
  </rv>
  <rv s="7">
    <fb>50.22</fb>
    <v>13</v>
  </rv>
  <rv s="7">
    <fb>129.31200000000001</fb>
    <v>13</v>
  </rv>
  <rv s="7">
    <fb>45363</fb>
    <v>14</v>
  </rv>
  <rv s="7">
    <fb>177.54</fb>
    <v>13</v>
  </rv>
  <rv s="7">
    <fb>175.39</fb>
    <v>13</v>
  </rv>
  <rv s="7">
    <fb>415.28</fb>
    <v>13</v>
  </rv>
  <rv s="7">
    <fb>342.7</fb>
    <v>13</v>
  </rv>
  <rv s="7">
    <fb>161.93</fb>
    <v>13</v>
  </rv>
  <rv s="7">
    <fb>189.84</fb>
    <v>13</v>
  </rv>
  <rv s="7">
    <fb>489.35</fb>
    <v>13</v>
  </rv>
  <rv s="7">
    <fb>108.32</fb>
    <v>13</v>
  </rv>
  <rv s="7">
    <fb>17.55</fb>
    <v>13</v>
  </rv>
  <rv s="7">
    <fb>43.21</fb>
    <v>13</v>
  </rv>
  <rv s="7">
    <fb>28.01</fb>
    <v>13</v>
  </rv>
  <rv s="7">
    <fb>159.6</fb>
    <v>13</v>
  </rv>
  <rv s="7">
    <fb>91.912999999999997</fb>
    <v>13</v>
  </rv>
  <rv s="7">
    <fb>50.07</fb>
    <v>13</v>
  </rv>
  <rv s="7">
    <fb>129.18799999999999</fb>
    <v>13</v>
  </rv>
  <rv s="7">
    <fb>45364</fb>
    <v>14</v>
  </rv>
  <rv s="7">
    <fb>169.48</fb>
    <v>13</v>
  </rv>
  <rv s="7">
    <fb>176.55500000000001</fb>
    <v>13</v>
  </rv>
  <rv s="7">
    <fb>415.1</fb>
    <v>13</v>
  </rv>
  <rv s="7">
    <fb>336.81</fb>
    <v>13</v>
  </rv>
  <rv s="7">
    <fb>162.30000000000001</fb>
    <v>13</v>
  </rv>
  <rv s="7">
    <fb>191.38</fb>
    <v>13</v>
  </rv>
  <rv s="7">
    <fb>488</fb>
    <v>13</v>
  </rv>
  <rv s="7">
    <fb>109.53</fb>
    <v>13</v>
  </rv>
  <rv s="7">
    <fb>17.568000000000001</fb>
    <v>13</v>
  </rv>
  <rv s="7">
    <fb>43.7</fb>
    <v>13</v>
  </rv>
  <rv s="7">
    <fb>28.22</fb>
    <v>13</v>
  </rv>
  <rv s="7">
    <fb>160.08000000000001</fb>
    <v>13</v>
  </rv>
  <rv s="7">
    <fb>90.888000000000005</fb>
    <v>13</v>
  </rv>
  <rv s="7">
    <fb>50.11</fb>
    <v>13</v>
  </rv>
  <rv s="7">
    <fb>125.78700000000001</fb>
    <v>13</v>
  </rv>
  <rv s="7">
    <fb>45365</fb>
    <v>14</v>
  </rv>
  <rv s="7">
    <fb>162.5</fb>
    <v>13</v>
  </rv>
  <rv s="7">
    <fb>178.75</fb>
    <v>13</v>
  </rv>
  <rv s="7">
    <fb>425.22</fb>
    <v>13</v>
  </rv>
  <rv s="7">
    <fb>334.92</fb>
    <v>13</v>
  </rv>
  <rv s="7">
    <fb>161.5</fb>
    <v>13</v>
  </rv>
  <rv s="7">
    <fb>187.97</fb>
    <v>13</v>
  </rv>
  <rv s="7">
    <fb>489</fb>
    <v>13</v>
  </rv>
  <rv s="7">
    <fb>111.47</fb>
    <v>13</v>
  </rv>
  <rv s="7">
    <fb>17.420000000000002</fb>
    <v>13</v>
  </rv>
  <rv s="7">
    <fb>43.68</fb>
    <v>13</v>
  </rv>
  <rv s="7">
    <fb>28.13</fb>
    <v>13</v>
  </rv>
  <rv s="7">
    <fb>159.38</fb>
    <v>13</v>
  </rv>
  <rv s="7">
    <fb>87.944000000000003</fb>
    <v>13</v>
  </rv>
  <rv s="7">
    <fb>49.79</fb>
    <v>13</v>
  </rv>
  <rv s="7">
    <fb>126.227</fb>
    <v>13</v>
  </rv>
  <rv s="7">
    <fb>45366</fb>
    <v>14</v>
  </rv>
  <rv s="7">
    <fb>163.57</fb>
    <v>13</v>
  </rv>
  <rv s="7">
    <fb>174.42</fb>
    <v>13</v>
  </rv>
  <rv s="7">
    <fb>416.42</fb>
    <v>13</v>
  </rv>
  <rv s="7">
    <fb>334.66</fb>
    <v>13</v>
  </rv>
  <rv s="7">
    <fb>161.38</fb>
    <v>13</v>
  </rv>
  <rv s="7">
    <fb>190.3</fb>
    <v>13</v>
  </rv>
  <rv s="7">
    <fb>490.82</fb>
    <v>13</v>
  </rv>
  <rv s="7">
    <fb>111.27</fb>
    <v>13</v>
  </rv>
  <rv s="7">
    <fb>17.475999999999999</fb>
    <v>13</v>
  </rv>
  <rv s="7">
    <fb>44.38</fb>
    <v>13</v>
  </rv>
  <rv s="7">
    <fb>27.94</fb>
    <v>13</v>
  </rv>
  <rv s="7">
    <fb>162.19999999999999</fb>
    <v>13</v>
  </rv>
  <rv s="7">
    <fb>87.836500000000001</fb>
    <v>13</v>
  </rv>
  <rv s="7">
    <fb>48.93</fb>
    <v>13</v>
  </rv>
  <rv s="7">
    <fb>123.55</fb>
    <v>13</v>
  </rv>
  <rv s="7">
    <fb>45369</fb>
    <v>14</v>
  </rv>
  <rv s="7">
    <fb>173.8</fb>
    <v>13</v>
  </rv>
  <rv s="7">
    <fb>174.48</fb>
    <v>13</v>
  </rv>
  <rv s="7">
    <fb>417.32</fb>
    <v>13</v>
  </rv>
  <rv s="7">
    <fb>335.27</fb>
    <v>13</v>
  </rv>
  <rv s="7">
    <fb>161.21</fb>
    <v>13</v>
  </rv>
  <rv s="7">
    <fb>192.66</fb>
    <v>13</v>
  </rv>
  <rv s="7">
    <fb>487.05</fb>
    <v>13</v>
  </rv>
  <rv s="7">
    <fb>112.3</fb>
    <v>13</v>
  </rv>
  <rv s="7">
    <fb>17.806000000000001</fb>
    <v>13</v>
  </rv>
  <rv s="7">
    <fb>44.33</fb>
    <v>13</v>
  </rv>
  <rv s="7">
    <fb>27.72</fb>
    <v>13</v>
  </rv>
  <rv s="7">
    <fb>163.01</fb>
    <v>13</v>
  </rv>
  <rv s="7">
    <fb>88.454999999999998</fb>
    <v>13</v>
  </rv>
  <rv s="7">
    <fb>49.27</fb>
    <v>13</v>
  </rv>
  <rv s="7">
    <fb>123.724</fb>
    <v>13</v>
  </rv>
  <rv s="7">
    <fb>45370</fb>
    <v>14</v>
  </rv>
  <rv s="7">
    <fb>171.32</fb>
    <v>13</v>
  </rv>
  <rv s="7">
    <fb>175.9</fb>
    <v>13</v>
  </rv>
  <rv s="7">
    <fb>421.41</fb>
    <v>13</v>
  </rv>
  <rv s="7">
    <fb>336.58</fb>
    <v>13</v>
  </rv>
  <rv s="7">
    <fb>161.83000000000001</fb>
    <v>13</v>
  </rv>
  <rv s="7">
    <fb>193.79</fb>
    <v>13</v>
  </rv>
  <rv s="7">
    <fb>493.32</fb>
    <v>13</v>
  </rv>
  <rv s="7">
    <fb>113.09</fb>
    <v>13</v>
  </rv>
  <rv s="7">
    <fb>17.8</fb>
    <v>13</v>
  </rv>
  <rv s="7">
    <fb>45.23</fb>
    <v>13</v>
  </rv>
  <rv s="7">
    <fb>27.63</fb>
    <v>13</v>
  </rv>
  <rv s="7">
    <fb>162.36000000000001</fb>
    <v>13</v>
  </rv>
  <rv s="7">
    <fb>89.397999999999996</fb>
    <v>13</v>
  </rv>
  <rv s="7">
    <fb>49.14</fb>
    <v>13</v>
  </rv>
  <rv s="7">
    <fb>123.801</fb>
    <v>13</v>
  </rv>
  <rv s="7">
    <fb>45371</fb>
    <v>14</v>
  </rv>
  <rv s="7">
    <fb>175.66</fb>
    <v>13</v>
  </rv>
  <rv s="7">
    <fb>178.15</fb>
    <v>13</v>
  </rv>
  <rv s="7">
    <fb>425.23</fb>
    <v>13</v>
  </rv>
  <rv s="7">
    <fb>341.05</fb>
    <v>13</v>
  </rv>
  <rv s="7">
    <fb>161.99</fb>
    <v>13</v>
  </rv>
  <rv s="7">
    <fb>196.33</fb>
    <v>13</v>
  </rv>
  <rv s="7">
    <fb>494.23</fb>
    <v>13</v>
  </rv>
  <rv s="7">
    <fb>112.99</fb>
    <v>13</v>
  </rv>
  <rv s="7">
    <fb>17.923999999999999</fb>
    <v>13</v>
  </rv>
  <rv s="7">
    <fb>46.35</fb>
    <v>13</v>
  </rv>
  <rv s="7">
    <fb>27.7</fb>
    <v>13</v>
  </rv>
  <rv s="7">
    <fb>161.16999999999999</fb>
    <v>13</v>
  </rv>
  <rv s="7">
    <fb>90.372</fb>
    <v>13</v>
  </rv>
  <rv s="7">
    <fb>49.55</fb>
    <v>13</v>
  </rv>
  <rv s="7">
    <fb>127.6</fb>
    <v>13</v>
  </rv>
  <rv s="7">
    <fb>45372</fb>
    <v>14</v>
  </rv>
  <rv s="7">
    <fb>172.82</fb>
    <v>13</v>
  </rv>
  <rv s="7">
    <fb>429.37</fb>
    <v>13</v>
  </rv>
  <rv s="7">
    <fb>347.23</fb>
    <v>13</v>
  </rv>
  <rv s="7">
    <fb>161.86000000000001</fb>
    <v>13</v>
  </rv>
  <rv s="7">
    <fb>199.06</fb>
    <v>13</v>
  </rv>
  <rv s="7">
    <fb>491.69</fb>
    <v>13</v>
  </rv>
  <rv s="7">
    <fb>113.49</fb>
    <v>13</v>
  </rv>
  <rv s="7">
    <fb>17.744</fb>
    <v>13</v>
  </rv>
  <rv s="7">
    <fb>45.87</fb>
    <v>13</v>
  </rv>
  <rv s="7">
    <fb>27.66</fb>
    <v>13</v>
  </rv>
  <rv s="7">
    <fb>162.16999999999999</fb>
    <v>13</v>
  </rv>
  <rv s="7">
    <fb>91.435000000000002</fb>
    <v>13</v>
  </rv>
  <rv s="7">
    <fb>49.88</fb>
    <v>13</v>
  </rv>
  <rv s="7">
    <fb>134.80000000000001</fb>
    <v>13</v>
  </rv>
  <rv s="7">
    <fb>45373</fb>
    <v>14</v>
  </rv>
  <rv s="7">
    <fb>170.83</fb>
    <v>13</v>
  </rv>
  <rv s="7">
    <fb>178.87</fb>
    <v>13</v>
  </rv>
  <rv s="7">
    <fb>428.74</fb>
    <v>13</v>
  </rv>
  <rv s="7">
    <fb>342.87</fb>
    <v>13</v>
  </rv>
  <rv s="7">
    <fb>161.66</fb>
    <v>13</v>
  </rv>
  <rv s="7">
    <fb>196.62</fb>
    <v>13</v>
  </rv>
  <rv s="7">
    <fb>490.07</fb>
    <v>13</v>
  </rv>
  <rv s="7">
    <fb>17.724</fb>
    <v>13</v>
  </rv>
  <rv s="7">
    <fb>45.95</fb>
    <v>13</v>
  </rv>
  <rv s="7">
    <fb>27.36</fb>
    <v>13</v>
  </rv>
  <rv s="7">
    <fb>165.25</fb>
    <v>13</v>
  </rv>
  <rv s="7">
    <fb>94.289000000000001</fb>
    <v>13</v>
  </rv>
  <rv s="7">
    <fb>49.78</fb>
    <v>13</v>
  </rv>
  <rv s="7">
    <fb>135.34700000000001</fb>
    <v>13</v>
  </rv>
  <rv s="7">
    <fb>45376</fb>
    <v>14</v>
  </rv>
  <rv s="7">
    <fb>172.63</fb>
    <v>13</v>
  </rv>
  <rv s="7">
    <fb>179.71</fb>
    <v>13</v>
  </rv>
  <rv s="7">
    <fb>422.86</fb>
    <v>13</v>
  </rv>
  <rv s="7">
    <fb>342</fb>
    <v>13</v>
  </rv>
  <rv s="7">
    <fb>160.19</fb>
    <v>13</v>
  </rv>
  <rv s="7">
    <fb>194.82</fb>
    <v>13</v>
  </rv>
  <rv s="7">
    <fb>485.88</fb>
    <v>13</v>
  </rv>
  <rv s="7">
    <fb>114.65</fb>
    <v>13</v>
  </rv>
  <rv s="7">
    <fb>17.192</fb>
    <v>13</v>
  </rv>
  <rv s="7">
    <fb>45.98</fb>
    <v>13</v>
  </rv>
  <rv s="7">
    <fb>27.43</fb>
    <v>13</v>
  </rv>
  <rv s="7">
    <fb>168.97</fb>
    <v>13</v>
  </rv>
  <rv s="7">
    <fb>95.001999999999995</fb>
    <v>13</v>
  </rv>
  <rv s="7">
    <fb>49.68</fb>
    <v>13</v>
  </rv>
  <rv s="7">
    <fb>135.15799999999999</fb>
    <v>13</v>
  </rv>
  <rv s="7">
    <fb>45377</fb>
    <v>14</v>
  </rv>
  <rv s="7">
    <fb>177.67</fb>
    <v>13</v>
  </rv>
  <rv s="7">
    <fb>178.3</fb>
    <v>13</v>
  </rv>
  <rv s="7">
    <fb>421.65</fb>
    <v>13</v>
  </rv>
  <rv s="7">
    <fb>160.55000000000001</fb>
    <v>13</v>
  </rv>
  <rv s="7">
    <fb>195.73</fb>
    <v>13</v>
  </rv>
  <rv s="7">
    <fb>492.31</fb>
    <v>13</v>
  </rv>
  <rv s="7">
    <fb>113.79</fb>
    <v>13</v>
  </rv>
  <rv s="7">
    <fb>17.344000000000001</fb>
    <v>13</v>
  </rv>
  <rv s="7">
    <fb>46.03</fb>
    <v>13</v>
  </rv>
  <rv s="7">
    <fb>27.59</fb>
    <v>13</v>
  </rv>
  <rv s="7">
    <fb>170.81</fb>
    <v>13</v>
  </rv>
  <rv s="7">
    <fb>92.561000000000007</fb>
    <v>13</v>
  </rv>
  <rv s="7">
    <fb>133.149</fb>
    <v>13</v>
  </rv>
  <rv s="7">
    <fb>45378</fb>
    <v>14</v>
  </rv>
  <rv s="7">
    <fb>179.83</fb>
    <v>13</v>
  </rv>
  <rv s="7">
    <fb>421.43</fb>
    <v>13</v>
  </rv>
  <rv s="7">
    <fb>346.89</fb>
    <v>13</v>
  </rv>
  <rv s="7">
    <fb>162.61000000000001</fb>
    <v>13</v>
  </rv>
  <rv s="7">
    <fb>199.52</fb>
    <v>13</v>
  </rv>
  <rv s="7">
    <fb>493.1</fb>
    <v>13</v>
  </rv>
  <rv s="7">
    <fb>114.97</fb>
    <v>13</v>
  </rv>
  <rv s="7">
    <fb>17.308</fb>
    <v>13</v>
  </rv>
  <rv s="7">
    <fb>46.56</fb>
    <v>13</v>
  </rv>
  <rv s="7">
    <fb>27.78</fb>
    <v>13</v>
  </rv>
  <rv s="7">
    <fb>169.84</fb>
    <v>13</v>
  </rv>
  <rv s="7">
    <fb>90.25</fb>
    <v>13</v>
  </rv>
  <rv s="7">
    <fb>49.77</fb>
    <v>13</v>
  </rv>
  <rv s="7">
    <fb>131.87299999999999</fb>
    <v>13</v>
  </rv>
  <rv s="7">
    <fb>45379</fb>
    <v>14</v>
  </rv>
  <rv s="7">
    <fb>175.79</fb>
    <v>13</v>
  </rv>
  <rv s="7">
    <fb>180.38</fb>
    <v>13</v>
  </rv>
  <rv s="7">
    <fb>420.72</fb>
    <v>13</v>
  </rv>
  <rv s="7">
    <fb>347.33</fb>
    <v>13</v>
  </rv>
  <rv s="7">
    <fb>162.25</fb>
    <v>13</v>
  </rv>
  <rv s="7">
    <fb>200.3</fb>
    <v>13</v>
  </rv>
  <rv s="7">
    <fb>494.7</fb>
    <v>13</v>
  </rv>
  <rv s="7">
    <fb>116.24</fb>
    <v>13</v>
  </rv>
  <rv s="7">
    <fb>17.148</fb>
    <v>13</v>
  </rv>
  <rv s="7">
    <fb>46.16</fb>
    <v>13</v>
  </rv>
  <rv s="7">
    <fb>27.75</fb>
    <v>13</v>
  </rv>
  <rv s="7">
    <fb>173.01</fb>
    <v>13</v>
  </rv>
  <rv s="7">
    <fb>90.355999999999995</fb>
    <v>13</v>
  </rv>
  <rv s="7">
    <fb>49.91</fb>
    <v>13</v>
  </rv>
  <rv s="7">
    <fb>132.541</fb>
    <v>13</v>
  </rv>
  <rv s="7">
    <fb>45383</fb>
    <v>14</v>
  </rv>
  <rv s="7">
    <fb>175.22</fb>
    <v>13</v>
  </rv>
  <rv s="7">
    <fb>180.97</fb>
    <v>13</v>
  </rv>
  <rv s="7">
    <fb>424.57</fb>
    <v>13</v>
  </rv>
  <rv s="7">
    <fb>338.16</fb>
    <v>13</v>
  </rv>
  <rv s="7">
    <fb>160.58000000000001</fb>
    <v>13</v>
  </rv>
  <rv s="7">
    <fb>198.94</fb>
    <v>13</v>
  </rv>
  <rv s="7">
    <fb>489.7</fb>
    <v>13</v>
  </rv>
  <rv s="7">
    <fb>116.99</fb>
    <v>13</v>
  </rv>
  <rv s="7">
    <fb>17.234000000000002</fb>
    <v>13</v>
  </rv>
  <rv s="7">
    <fb>45.92</fb>
    <v>13</v>
  </rv>
  <rv s="7">
    <fb>172.57</fb>
    <v>13</v>
  </rv>
  <rv s="7">
    <fb>90.363</fb>
    <v>13</v>
  </rv>
  <rv s="7">
    <fb>50.04</fb>
    <v>13</v>
  </rv>
  <rv s="7">
    <fb>135.02600000000001</fb>
    <v>13</v>
  </rv>
  <rv s="7">
    <fb>45384</fb>
    <v>14</v>
  </rv>
  <rv s="7">
    <fb>166.63</fb>
    <v>13</v>
  </rv>
  <rv s="7">
    <fb>180.69</fb>
    <v>13</v>
  </rv>
  <rv s="7">
    <fb>421.44</fb>
    <v>13</v>
  </rv>
  <rv s="7">
    <fb>333.96</fb>
    <v>13</v>
  </rv>
  <rv s="7">
    <fb>160.57</fb>
    <v>13</v>
  </rv>
  <rv s="7">
    <fb>198.86</fb>
    <v>13</v>
  </rv>
  <rv s="7">
    <fb>458.14</fb>
    <v>13</v>
  </rv>
  <rv s="7">
    <fb>119.28</fb>
    <v>13</v>
  </rv>
  <rv s="7">
    <fb>17.065999999999999</fb>
    <v>13</v>
  </rv>
  <rv s="7">
    <fb>45.07</fb>
    <v>13</v>
  </rv>
  <rv s="7">
    <fb>27.55</fb>
    <v>13</v>
  </rv>
  <rv s="7">
    <fb>172.54</fb>
    <v>13</v>
  </rv>
  <rv s="7">
    <fb>89.451999999999998</fb>
    <v>13</v>
  </rv>
  <rv s="7">
    <fb>49.36</fb>
    <v>13</v>
  </rv>
  <rv s="7">
    <fb>133.876</fb>
    <v>13</v>
  </rv>
  <rv s="7">
    <fb>45385</fb>
    <v>14</v>
  </rv>
  <rv s="7">
    <fb>168.38</fb>
    <v>13</v>
  </rv>
  <rv s="7">
    <fb>182.41</fb>
    <v>13</v>
  </rv>
  <rv s="7">
    <fb>420.45</fb>
    <v>13</v>
  </rv>
  <rv s="7">
    <fb>334.29</fb>
    <v>13</v>
  </rv>
  <rv s="7">
    <fb>156.15</fb>
    <v>13</v>
  </rv>
  <rv s="7">
    <fb>198.3</fb>
    <v>13</v>
  </rv>
  <rv s="7">
    <fb>459.74</fb>
    <v>13</v>
  </rv>
  <rv s="7">
    <fb>119.3</fb>
    <v>13</v>
  </rv>
  <rv s="7">
    <fb>17.154</fb>
    <v>13</v>
  </rv>
  <rv s="7">
    <fb>45.43</fb>
    <v>13</v>
  </rv>
  <rv s="7">
    <fb>173.42</fb>
    <v>13</v>
  </rv>
  <rv s="7">
    <fb>88.963999999999999</fb>
    <v>13</v>
  </rv>
  <rv s="7">
    <fb>48.74</fb>
    <v>13</v>
  </rv>
  <rv s="7">
    <fb>136.321</fb>
    <v>13</v>
  </rv>
  <rv s="7">
    <fb>45386</fb>
    <v>14</v>
  </rv>
  <rv s="7">
    <fb>171.11</fb>
    <v>13</v>
  </rv>
  <rv s="7">
    <fb>180</fb>
    <v>13</v>
  </rv>
  <rv s="7">
    <fb>417.88</fb>
    <v>13</v>
  </rv>
  <rv s="7">
    <fb>329.86</fb>
    <v>13</v>
  </rv>
  <rv s="7">
    <fb>155.44999999999999</fb>
    <v>13</v>
  </rv>
  <rv s="7">
    <fb>195.65</fb>
    <v>13</v>
  </rv>
  <rv s="7">
    <fb>455.38</fb>
    <v>13</v>
  </rv>
  <rv s="7">
    <fb>119.72</fb>
    <v>13</v>
  </rv>
  <rv s="7">
    <fb>16.91</fb>
    <v>13</v>
  </rv>
  <rv s="7">
    <fb>44.97</fb>
    <v>13</v>
  </rv>
  <rv s="7">
    <fb>26.65</fb>
    <v>13</v>
  </rv>
  <rv s="7">
    <fb>171.23</fb>
    <v>13</v>
  </rv>
  <rv s="7">
    <fb>85.905000000000001</fb>
    <v>13</v>
  </rv>
  <rv s="7">
    <fb>48.11</fb>
    <v>13</v>
  </rv>
  <rv s="7">
    <fb>131.75</fb>
    <v>13</v>
  </rv>
  <rv s="7">
    <fb>45387</fb>
    <v>14</v>
  </rv>
  <rv s="7">
    <fb>164.9</fb>
    <v>13</v>
  </rv>
  <rv s="7">
    <fb>185.07</fb>
    <v>13</v>
  </rv>
  <rv s="7">
    <fb>425.52</fb>
    <v>13</v>
  </rv>
  <rv s="7">
    <fb>331.85</fb>
    <v>13</v>
  </rv>
  <rv s="7">
    <fb>156.1</fb>
    <v>13</v>
  </rv>
  <rv s="7">
    <fb>197.45</fb>
    <v>13</v>
  </rv>
  <rv s="7">
    <fb>455.74</fb>
    <v>13</v>
  </rv>
  <rv s="7">
    <fb>121.37</fb>
    <v>13</v>
  </rv>
  <rv s="7">
    <fb>16.963999999999999</fb>
    <v>13</v>
  </rv>
  <rv s="7">
    <fb>45.55</fb>
    <v>13</v>
  </rv>
  <rv s="7">
    <fb>26.66</fb>
    <v>13</v>
  </rv>
  <rv s="7">
    <fb>88.007999999999996</fb>
    <v>13</v>
  </rv>
  <rv s="7">
    <fb>48.55</fb>
    <v>13</v>
  </rv>
  <rv s="7">
    <fb>133.94300000000001</fb>
    <v>13</v>
  </rv>
  <rv s="7">
    <fb>45390</fb>
    <v>14</v>
  </rv>
  <rv s="7">
    <fb>172.98</fb>
    <v>13</v>
  </rv>
  <rv s="7">
    <fb>185.19</fb>
    <v>13</v>
  </rv>
  <rv s="7">
    <fb>424.59</fb>
    <v>13</v>
  </rv>
  <rv s="7">
    <fb>332.3</fb>
    <v>13</v>
  </rv>
  <rv s="7">
    <fb>156.04</fb>
    <v>13</v>
  </rv>
  <rv s="7">
    <fb>198.48</fb>
    <v>13</v>
  </rv>
  <rv s="7">
    <fb>456</fb>
    <v>13</v>
  </rv>
  <rv s="7">
    <fb>120.55</fb>
    <v>13</v>
  </rv>
  <rv s="7">
    <fb>16.864000000000001</fb>
    <v>13</v>
  </rv>
  <rv s="7">
    <fb>46.04</fb>
    <v>13</v>
  </rv>
  <rv s="7">
    <fb>26.58</fb>
    <v>13</v>
  </rv>
  <rv s="7">
    <fb>172.36</fb>
    <v>13</v>
  </rv>
  <rv s="7">
    <fb>87.132999999999996</fb>
    <v>13</v>
  </rv>
  <rv s="7">
    <fb>48.24</fb>
    <v>13</v>
  </rv>
  <rv s="7">
    <fb>133.61000000000001</fb>
    <v>13</v>
  </rv>
  <rv s="7">
    <fb>45391</fb>
    <v>14</v>
  </rv>
  <rv s="7">
    <fb>176.88</fb>
    <v>13</v>
  </rv>
  <rv s="7">
    <fb>185.67</fb>
    <v>13</v>
  </rv>
  <rv s="7">
    <fb>426.28</fb>
    <v>13</v>
  </rv>
  <rv s="7">
    <fb>334.55</fb>
    <v>13</v>
  </rv>
  <rv s="7">
    <fb>156.66</fb>
    <v>13</v>
  </rv>
  <rv s="7">
    <fb>197.15</fb>
    <v>13</v>
  </rv>
  <rv s="7">
    <fb>459.72</fb>
    <v>13</v>
  </rv>
  <rv s="7">
    <fb>121.18</fb>
    <v>13</v>
  </rv>
  <rv s="7">
    <fb>16.928000000000001</fb>
    <v>13</v>
  </rv>
  <rv s="7">
    <fb>44.65</fb>
    <v>13</v>
  </rv>
  <rv s="7">
    <fb>26.78</fb>
    <v>13</v>
  </rv>
  <rv s="7">
    <fb>168.33</fb>
    <v>13</v>
  </rv>
  <rv s="7">
    <fb>85.353999999999999</fb>
    <v>13</v>
  </rv>
  <rv s="7">
    <fb>50.01</fb>
    <v>13</v>
  </rv>
  <rv s="7">
    <fb>133.40799999999999</fb>
    <v>13</v>
  </rv>
  <rv s="7">
    <fb>45392</fb>
    <v>14</v>
  </rv>
  <rv s="7">
    <fb>171.76</fb>
    <v>13</v>
  </rv>
  <rv s="7">
    <fb>185.95</fb>
    <v>13</v>
  </rv>
  <rv s="7">
    <fb>423.26</fb>
    <v>13</v>
  </rv>
  <rv s="7">
    <fb>321.16000000000003</fb>
    <v>13</v>
  </rv>
  <rv s="7">
    <fb>157.24</fb>
    <v>13</v>
  </rv>
  <rv s="7">
    <fb>195.47</fb>
    <v>13</v>
  </rv>
  <rv s="7">
    <fb>450.05</fb>
    <v>13</v>
  </rv>
  <rv s="7">
    <fb>122.2</fb>
    <v>13</v>
  </rv>
  <rv s="7">
    <fb>16.826000000000001</fb>
    <v>13</v>
  </rv>
  <rv s="7">
    <fb>44.07</fb>
    <v>13</v>
  </rv>
  <rv s="7">
    <fb>26.32</fb>
    <v>13</v>
  </rv>
  <rv s="7">
    <fb>169.75</fb>
    <v>13</v>
  </rv>
  <rv s="7">
    <fb>87.039000000000001</fb>
    <v>13</v>
  </rv>
  <rv s="7">
    <fb>49.21</fb>
    <v>13</v>
  </rv>
  <rv s="7">
    <fb>132.23699999999999</fb>
    <v>13</v>
  </rv>
  <rv s="7">
    <fb>45393</fb>
    <v>14</v>
  </rv>
  <rv s="7">
    <fb>174.6</fb>
    <v>13</v>
  </rv>
  <rv s="7">
    <fb>189.05</fb>
    <v>13</v>
  </rv>
  <rv s="7">
    <fb>427.93</fb>
    <v>13</v>
  </rv>
  <rv s="7">
    <fb>319.92</fb>
    <v>13</v>
  </rv>
  <rv s="7">
    <fb>155.84</fb>
    <v>13</v>
  </rv>
  <rv s="7">
    <fb>195.43</fb>
    <v>13</v>
  </rv>
  <rv s="7">
    <fb>441.72</fb>
    <v>13</v>
  </rv>
  <rv s="7">
    <fb>121.79</fb>
    <v>13</v>
  </rv>
  <rv s="7">
    <fb>16.812000000000001</fb>
    <v>13</v>
  </rv>
  <rv s="7">
    <fb>43.63</fb>
    <v>13</v>
  </rv>
  <rv s="7">
    <fb>26.34</fb>
    <v>13</v>
  </rv>
  <rv s="7">
    <fb>165.61</fb>
    <v>13</v>
  </rv>
  <rv s="7">
    <fb>90.616</fb>
    <v>13</v>
  </rv>
  <rv s="7">
    <fb>49.53</fb>
    <v>13</v>
  </rv>
  <rv s="7">
    <fb>138.24600000000001</fb>
    <v>13</v>
  </rv>
  <rv s="7">
    <fb>45394</fb>
    <v>14</v>
  </rv>
  <rv s="7">
    <fb>171.05</fb>
    <v>13</v>
  </rv>
  <rv s="7">
    <fb>186.13</fb>
    <v>13</v>
  </rv>
  <rv s="7">
    <fb>421.9</fb>
    <v>13</v>
  </rv>
  <rv s="7">
    <fb>318.25</fb>
    <v>13</v>
  </rv>
  <rv s="7">
    <fb>155.33000000000001</fb>
    <v>13</v>
  </rv>
  <rv s="7">
    <fb>182.79</fb>
    <v>13</v>
  </rv>
  <rv s="7">
    <fb>439.2</fb>
    <v>13</v>
  </rv>
  <rv s="7">
    <fb>120.37</fb>
    <v>13</v>
  </rv>
  <rv s="7">
    <fb>16.797999999999998</fb>
    <v>13</v>
  </rv>
  <rv s="7">
    <fb>43</fb>
    <v>13</v>
  </rv>
  <rv s="7">
    <fb>25.86</fb>
    <v>13</v>
  </rv>
  <rv s="7">
    <fb>166.81</fb>
    <v>13</v>
  </rv>
  <rv s="7">
    <fb>88.186000000000007</fb>
    <v>13</v>
  </rv>
  <rv s="7">
    <fb>48.49</fb>
    <v>13</v>
  </rv>
  <rv s="7">
    <fb>134.40700000000001</fb>
    <v>13</v>
  </rv>
  <rv s="7">
    <fb>45397</fb>
    <v>14</v>
  </rv>
  <rv s="7">
    <fb>161.47999999999999</fb>
    <v>13</v>
  </rv>
  <rv s="7">
    <fb>183.62</fb>
    <v>13</v>
  </rv>
  <rv s="7">
    <fb>313.97000000000003</fb>
    <v>13</v>
  </rv>
  <rv s="7">
    <fb>182.89</fb>
    <v>13</v>
  </rv>
  <rv s="7">
    <fb>445.63</fb>
    <v>13</v>
  </rv>
  <rv s="7">
    <fb>119.68</fb>
    <v>13</v>
  </rv>
  <rv s="7">
    <fb>16.46</fb>
    <v>13</v>
  </rv>
  <rv s="7">
    <fb>43.13</fb>
    <v>13</v>
  </rv>
  <rv s="7">
    <fb>25.91</fb>
    <v>13</v>
  </rv>
  <rv s="7">
    <fb>165.76</fb>
    <v>13</v>
  </rv>
  <rv s="7">
    <fb>86.001000000000005</fb>
    <v>13</v>
  </rv>
  <rv s="7">
    <fb>131.06899999999999</fb>
    <v>13</v>
  </rv>
  <rv s="7">
    <fb>45398</fb>
    <v>14</v>
  </rv>
  <rv s="7">
    <fb>157.11000000000001</fb>
    <v>13</v>
  </rv>
  <rv s="7">
    <fb>183.32</fb>
    <v>13</v>
  </rv>
  <rv s="7">
    <fb>414.58</fb>
    <v>13</v>
  </rv>
  <rv s="7">
    <fb>308.38</fb>
    <v>13</v>
  </rv>
  <rv s="7">
    <fb>155.94999999999999</fb>
    <v>13</v>
  </rv>
  <rv s="7">
    <fb>180.8</fb>
    <v>13</v>
  </rv>
  <rv s="7">
    <fb>468.89</fb>
    <v>13</v>
  </rv>
  <rv s="7">
    <fb>118.69</fb>
    <v>13</v>
  </rv>
  <rv s="7">
    <fb>16.594000000000001</fb>
    <v>13</v>
  </rv>
  <rv s="7">
    <fb>42.23</fb>
    <v>13</v>
  </rv>
  <rv s="7">
    <fb>25.69</fb>
    <v>13</v>
  </rv>
  <rv s="7">
    <fb>164.21</fb>
    <v>13</v>
  </rv>
  <rv s="7">
    <fb>87.415000000000006</fb>
    <v>13</v>
  </rv>
  <rv s="7">
    <fb>47.92</fb>
    <v>13</v>
  </rv>
  <rv s="7">
    <fb>132.90600000000001</fb>
    <v>13</v>
  </rv>
  <rv s="7">
    <fb>45399</fb>
    <v>14</v>
  </rv>
  <rv s="7">
    <fb>181.28</fb>
    <v>13</v>
  </rv>
  <rv s="7">
    <fb>411.84</fb>
    <v>13</v>
  </rv>
  <rv s="7">
    <fb>310.16000000000003</fb>
    <v>13</v>
  </rv>
  <rv s="7">
    <fb>156.96</fb>
    <v>13</v>
  </rv>
  <rv s="7">
    <fb>180.08</fb>
    <v>13</v>
  </rv>
  <rv s="7">
    <fb>478.99</fb>
    <v>13</v>
  </rv>
  <rv s="7">
    <fb>118.63</fb>
    <v>13</v>
  </rv>
  <rv s="7">
    <fb>16.315999999999999</fb>
    <v>13</v>
  </rv>
  <rv s="7">
    <fb>42.64</fb>
    <v>13</v>
  </rv>
  <rv s="7">
    <fb>25.42</fb>
    <v>13</v>
  </rv>
  <rv s="7">
    <fb>162.91999999999999</fb>
    <v>13</v>
  </rv>
  <rv s="7">
    <fb>84.034999999999997</fb>
    <v>13</v>
  </rv>
  <rv s="7">
    <fb>47.79</fb>
    <v>13</v>
  </rv>
  <rv s="7">
    <fb>128.26300000000001</fb>
    <v>13</v>
  </rv>
  <rv s="7">
    <fb>45400</fb>
    <v>14</v>
  </rv>
  <rv s="7">
    <fb>149.93</fb>
    <v>13</v>
  </rv>
  <rv s="7">
    <fb>179.22</fb>
    <v>13</v>
  </rv>
  <rv s="7">
    <fb>404.27</fb>
    <v>13</v>
  </rv>
  <rv s="7">
    <fb>309.38</fb>
    <v>13</v>
  </rv>
  <rv s="7">
    <fb>157.29</fb>
    <v>13</v>
  </rv>
  <rv s="7">
    <fb>181.25</fb>
    <v>13</v>
  </rv>
  <rv s="7">
    <fb>493.18</fb>
    <v>13</v>
  </rv>
  <rv s="7">
    <fb>118.52</fb>
    <v>13</v>
  </rv>
  <rv s="7">
    <fb>16.376000000000001</fb>
    <v>13</v>
  </rv>
  <rv s="7">
    <fb>42.52</fb>
    <v>13</v>
  </rv>
  <rv s="7">
    <fb>25.39</fb>
    <v>13</v>
  </rv>
  <rv s="7">
    <fb>169.11</fb>
    <v>13</v>
  </rv>
  <rv s="7">
    <fb>84.671000000000006</fb>
    <v>13</v>
  </rv>
  <rv s="7">
    <fb>125.899</fb>
    <v>13</v>
  </rv>
  <rv s="7">
    <fb>45401</fb>
    <v>14</v>
  </rv>
  <rv s="7">
    <fb>147.05000000000001</fb>
    <v>13</v>
  </rv>
  <rv s="7">
    <fb>174.63</fb>
    <v>13</v>
  </rv>
  <rv s="7">
    <fb>399.12</fb>
    <v>13</v>
  </rv>
  <rv s="7">
    <fb>305.95999999999998</fb>
    <v>13</v>
  </rv>
  <rv s="7">
    <fb>158.13999999999999</fb>
    <v>13</v>
  </rv>
  <rv s="7">
    <fb>185.8</fb>
    <v>13</v>
  </rv>
  <rv s="7">
    <fb>501.13</fb>
    <v>13</v>
  </rv>
  <rv s="7">
    <fb>119.88</fb>
    <v>13</v>
  </rv>
  <rv s="7">
    <fb>16.260000000000002</fb>
    <v>13</v>
  </rv>
  <rv s="7">
    <fb>26</fb>
    <v>13</v>
  </rv>
  <rv s="7">
    <fb>172.96</fb>
    <v>13</v>
  </rv>
  <rv s="7">
    <fb>76.2</fb>
    <v>13</v>
  </rv>
  <rv s="7">
    <fb>48.32</fb>
    <v>13</v>
  </rv>
  <rv s="7">
    <fb>120.471</fb>
    <v>13</v>
  </rv>
  <rv s="7">
    <fb>45404</fb>
    <v>14</v>
  </rv>
  <rv s="7">
    <fb>142.05000000000001</fb>
    <v>13</v>
  </rv>
  <rv s="7">
    <fb>177.23</fb>
    <v>13</v>
  </rv>
  <rv s="7">
    <fb>400.96</fb>
    <v>13</v>
  </rv>
  <rv s="7">
    <fb>309.26</fb>
    <v>13</v>
  </rv>
  <rv s="7">
    <fb>160.54</fb>
    <v>13</v>
  </rv>
  <rv s="7">
    <fb>189.41</fb>
    <v>13</v>
  </rv>
  <rv s="7">
    <fb>491.23</fb>
    <v>13</v>
  </rv>
  <rv s="7">
    <fb>120.56</fb>
    <v>13</v>
  </rv>
  <rv s="7">
    <fb>16.312000000000001</fb>
    <v>13</v>
  </rv>
  <rv s="7">
    <fb>43.01</fb>
    <v>13</v>
  </rv>
  <rv s="7">
    <fb>26.26</fb>
    <v>13</v>
  </rv>
  <rv s="7">
    <fb>175.41</fb>
    <v>13</v>
  </rv>
  <rv s="7">
    <fb>79.518000000000001</fb>
    <v>13</v>
  </rv>
  <rv s="7">
    <fb>48.14</fb>
    <v>13</v>
  </rv>
  <rv s="7">
    <fb>122.446</fb>
    <v>13</v>
  </rv>
  <rv s="7">
    <fb>45405</fb>
    <v>14</v>
  </rv>
  <rv s="7">
    <fb>144.68</fb>
    <v>13</v>
  </rv>
  <rv s="7">
    <fb>179.54</fb>
    <v>13</v>
  </rv>
  <rv s="7">
    <fb>407.57</fb>
    <v>13</v>
  </rv>
  <rv s="7">
    <fb>302.36</fb>
    <v>13</v>
  </rv>
  <rv s="7">
    <fb>192.14</fb>
    <v>13</v>
  </rv>
  <rv s="7">
    <fb>486.18</fb>
    <v>13</v>
  </rv>
  <rv s="7">
    <fb>121.03</fb>
    <v>13</v>
  </rv>
  <rv s="7">
    <fb>16.361999999999998</fb>
    <v>13</v>
  </rv>
  <rv s="7">
    <fb>43.58</fb>
    <v>13</v>
  </rv>
  <rv s="7">
    <fb>175.28</fb>
    <v>13</v>
  </rv>
  <rv s="7">
    <fb>82.423000000000002</fb>
    <v>13</v>
  </rv>
  <rv s="7">
    <fb>124.919</fb>
    <v>13</v>
  </rv>
  <rv s="7">
    <fb>45406</fb>
    <v>14</v>
  </rv>
  <rv s="7">
    <fb>162.13</fb>
    <v>13</v>
  </rv>
  <rv s="7">
    <fb>176.59</fb>
    <v>13</v>
  </rv>
  <rv s="7">
    <fb>409.06</fb>
    <v>13</v>
  </rv>
  <rv s="7">
    <fb>303.73</fb>
    <v>13</v>
  </rv>
  <rv s="7">
    <fb>162.6</fb>
    <v>13</v>
  </rv>
  <rv s="7">
    <fb>193.08</fb>
    <v>13</v>
  </rv>
  <rv s="7">
    <fb>487.3</fb>
    <v>13</v>
  </rv>
  <rv s="7">
    <fb>121.05</fb>
    <v>13</v>
  </rv>
  <rv s="7">
    <fb>16.542000000000002</fb>
    <v>13</v>
  </rv>
  <rv s="7">
    <fb>43.29</fb>
    <v>13</v>
  </rv>
  <rv s="7">
    <fb>26.27</fb>
    <v>13</v>
  </rv>
  <rv s="7">
    <fb>172.27</fb>
    <v>13</v>
  </rv>
  <rv s="7">
    <fb>79.677000000000007</fb>
    <v>13</v>
  </rv>
  <rv s="7">
    <fb>48.35</fb>
    <v>13</v>
  </rv>
  <rv s="7">
    <fb>125.682</fb>
    <v>13</v>
  </rv>
  <rv s="7">
    <fb>45407</fb>
    <v>14</v>
  </rv>
  <rv s="7">
    <fb>170.18</fb>
    <v>13</v>
  </rv>
  <rv s="7">
    <fb>173.67</fb>
    <v>13</v>
  </rv>
  <rv s="7">
    <fb>399.04</fb>
    <v>13</v>
  </rv>
  <rv s="7">
    <fb>304.81</fb>
    <v>13</v>
  </rv>
  <rv s="7">
    <fb>162.55000000000001</fb>
    <v>13</v>
  </rv>
  <rv s="7">
    <fb>193.37</fb>
    <v>13</v>
  </rv>
  <rv s="7">
    <fb>493.86</fb>
    <v>13</v>
  </rv>
  <rv s="7">
    <fb>121.33</fb>
    <v>13</v>
  </rv>
  <rv s="7">
    <fb>16.488</fb>
    <v>13</v>
  </rv>
  <rv s="7">
    <fb>41.55</fb>
    <v>13</v>
  </rv>
  <rv s="7">
    <fb>25.26</fb>
    <v>13</v>
  </rv>
  <rv s="7">
    <fb>172.34</fb>
    <v>13</v>
  </rv>
  <rv s="7">
    <fb>82.632000000000005</fb>
    <v>13</v>
  </rv>
  <rv s="7">
    <fb>48.1</fb>
    <v>13</v>
  </rv>
  <rv s="7">
    <fb>129.44200000000001</fb>
    <v>13</v>
  </rv>
  <rv s="7">
    <fb>45408</fb>
    <v>14</v>
  </rv>
  <rv s="7">
    <fb>168.29</fb>
    <v>13</v>
  </rv>
  <rv s="7">
    <fb>179.62</fb>
    <v>13</v>
  </rv>
  <rv s="7">
    <fb>406.32</fb>
    <v>13</v>
  </rv>
  <rv s="7">
    <fb>306.45</fb>
    <v>13</v>
  </rv>
  <rv s="7">
    <fb>161.29</fb>
    <v>13</v>
  </rv>
  <rv s="7">
    <fb>193.49</fb>
    <v>13</v>
  </rv>
  <rv s="7">
    <fb>495.35</fb>
    <v>13</v>
  </rv>
  <rv s="7">
    <fb>117.96</fb>
    <v>13</v>
  </rv>
  <rv s="7">
    <fb>16.466000000000001</fb>
    <v>13</v>
  </rv>
  <rv s="7">
    <fb>41.92</fb>
    <v>13</v>
  </rv>
  <rv s="7">
    <fb>25.4</fb>
    <v>13</v>
  </rv>
  <rv s="7">
    <fb>170.07</fb>
    <v>13</v>
  </rv>
  <rv s="7">
    <fb>87.734999999999999</fb>
    <v>13</v>
  </rv>
  <rv s="7">
    <fb>47.86</fb>
    <v>13</v>
  </rv>
  <rv s="7">
    <fb>45411</fb>
    <v>14</v>
  </rv>
  <rv s="7">
    <fb>194.05</fb>
    <v>13</v>
  </rv>
  <rv s="7">
    <fb>180.96</fb>
    <v>13</v>
  </rv>
  <rv s="7">
    <fb>402.25</fb>
    <v>13</v>
  </rv>
  <rv s="7">
    <fb>306.08999999999997</fb>
    <v>13</v>
  </rv>
  <rv s="7">
    <fb>193.28</fb>
    <v>13</v>
  </rv>
  <rv s="7">
    <fb>489.03</fb>
    <v>13</v>
  </rv>
  <rv s="7">
    <fb>119.64</fb>
    <v>13</v>
  </rv>
  <rv s="7">
    <fb>16.597999999999999</fb>
    <v>13</v>
  </rv>
  <rv s="7">
    <fb>25.64</fb>
    <v>13</v>
  </rv>
  <rv s="7">
    <fb>169.58</fb>
    <v>13</v>
  </rv>
  <rv s="7">
    <fb>87.757000000000005</fb>
    <v>13</v>
  </rv>
  <rv s="7">
    <fb>47.78</fb>
    <v>13</v>
  </rv>
  <rv s="7">
    <fb>133.86199999999999</fb>
    <v>13</v>
  </rv>
  <rv s="7">
    <fb>45412</fb>
    <v>14</v>
  </rv>
  <rv s="7">
    <fb>183.28</fb>
    <v>13</v>
  </rv>
  <rv s="7">
    <fb>175</fb>
    <v>13</v>
  </rv>
  <rv s="7">
    <fb>389.33</fb>
    <v>13</v>
  </rv>
  <rv s="7">
    <fb>299.61</fb>
    <v>13</v>
  </rv>
  <rv s="7">
    <fb>163.19999999999999</fb>
    <v>13</v>
  </rv>
  <rv s="7">
    <fb>191.74</fb>
    <v>13</v>
  </rv>
  <rv s="7">
    <fb>483.7</fb>
    <v>13</v>
  </rv>
  <rv s="7">
    <fb>118.27</fb>
    <v>13</v>
  </rv>
  <rv s="7">
    <fb>16.513999999999999</fb>
    <v>13</v>
  </rv>
  <rv s="7">
    <fb>41.04</fb>
    <v>13</v>
  </rv>
  <rv s="7">
    <fb>25.62</fb>
    <v>13</v>
  </rv>
  <rv s="7">
    <fb>170.06</fb>
    <v>13</v>
  </rv>
  <rv s="7">
    <fb>86.402000000000001</fb>
    <v>13</v>
  </rv>
  <rv s="7">
    <fb>46.98</fb>
    <v>13</v>
  </rv>
  <rv s="7">
    <fb>130.02699999999999</fb>
    <v>13</v>
  </rv>
  <rv s="7">
    <fb>45413</fb>
    <v>14</v>
  </rv>
  <rv s="7">
    <fb>179.99</fb>
    <v>13</v>
  </rv>
  <rv s="7">
    <fb>179</fb>
    <v>13</v>
  </rv>
  <rv s="7">
    <fb>394.94</fb>
    <v>13</v>
  </rv>
  <rv s="7">
    <fb>303.33999999999997</fb>
    <v>13</v>
  </rv>
  <rv s="7">
    <fb>163.4</fb>
    <v>13</v>
  </rv>
  <rv s="7">
    <fb>191.86</fb>
    <v>13</v>
  </rv>
  <rv s="7">
    <fb>484.11</fb>
    <v>13</v>
  </rv>
  <rv s="7">
    <fb>116.03</fb>
    <v>13</v>
  </rv>
  <rv s="7">
    <fb>16.577999999999999</fb>
    <v>13</v>
  </rv>
  <rv s="7">
    <fb>41.2</fb>
    <v>13</v>
  </rv>
  <rv s="7">
    <fb>27.18</fb>
    <v>13</v>
  </rv>
  <rv s="7">
    <fb>171.56</fb>
    <v>13</v>
  </rv>
  <rv s="7">
    <fb>83.040999999999997</fb>
    <v>13</v>
  </rv>
  <rv s="7">
    <fb>46.84</fb>
    <v>13</v>
  </rv>
  <rv s="7">
    <fb>124.286</fb>
    <v>13</v>
  </rv>
  <rv s="7">
    <fb>45414</fb>
    <v>14</v>
  </rv>
  <rv s="7">
    <fb>180.01</fb>
    <v>13</v>
  </rv>
  <rv s="7">
    <fb>184.72</fb>
    <v>13</v>
  </rv>
  <rv s="7">
    <fb>397.84</fb>
    <v>13</v>
  </rv>
  <rv s="7">
    <fb>304.45999999999998</fb>
    <v>13</v>
  </rv>
  <rv s="7">
    <fb>163.84</fb>
    <v>13</v>
  </rv>
  <rv s="7">
    <fb>191.66</fb>
    <v>13</v>
  </rv>
  <rv s="7">
    <fb>492.97</fb>
    <v>13</v>
  </rv>
  <rv s="7">
    <fb>16.815999999999999</fb>
    <v>13</v>
  </rv>
  <rv s="7">
    <fb>41.1</fb>
    <v>13</v>
  </rv>
  <rv s="7">
    <fb>169.18</fb>
    <v>13</v>
  </rv>
  <rv s="7">
    <fb>85.816999999999993</fb>
    <v>13</v>
  </rv>
  <rv s="7">
    <fb>46.79</fb>
    <v>13</v>
  </rv>
  <rv s="7">
    <fb>123.857</fb>
    <v>13</v>
  </rv>
  <rv s="7">
    <fb>45415</fb>
    <v>14</v>
  </rv>
  <rv s="7">
    <fb>181.19</fb>
    <v>13</v>
  </rv>
  <rv s="7">
    <fb>186.21</fb>
    <v>13</v>
  </rv>
  <rv s="7">
    <fb>406.66</fb>
    <v>13</v>
  </rv>
  <rv s="7">
    <fb>311.3</fb>
    <v>13</v>
  </rv>
  <rv s="7">
    <fb>164.46</fb>
    <v>13</v>
  </rv>
  <rv s="7">
    <fb>190.51</fb>
    <v>13</v>
  </rv>
  <rv s="7">
    <fb>492.45</fb>
    <v>13</v>
  </rv>
  <rv s="7">
    <fb>116</fb>
    <v>13</v>
  </rv>
  <rv s="7">
    <fb>16.908000000000001</fb>
    <v>13</v>
  </rv>
  <rv s="7">
    <fb>41.59</fb>
    <v>13</v>
  </rv>
  <rv s="7">
    <fb>27.81</fb>
    <v>13</v>
  </rv>
  <rv s="7">
    <fb>168.18</fb>
    <v>13</v>
  </rv>
  <rv s="7">
    <fb>88.789000000000001</fb>
    <v>13</v>
  </rv>
  <rv s="7">
    <fb>47.12</fb>
    <v>13</v>
  </rv>
  <rv s="7">
    <fb>127.81100000000001</fb>
    <v>13</v>
  </rv>
  <rv s="7">
    <fb>45418</fb>
    <v>14</v>
  </rv>
  <rv s="7">
    <fb>184.76</fb>
    <v>13</v>
  </rv>
  <rv s="7">
    <fb>188.7</fb>
    <v>13</v>
  </rv>
  <rv s="7">
    <fb>413.54</fb>
    <v>13</v>
  </rv>
  <rv s="7">
    <fb>314.99</fb>
    <v>13</v>
  </rv>
  <rv s="7">
    <fb>164.44</fb>
    <v>13</v>
  </rv>
  <rv s="7">
    <fb>192</fb>
    <v>13</v>
  </rv>
  <rv s="7">
    <fb>494.38</fb>
    <v>13</v>
  </rv>
  <rv s="7">
    <fb>116.75</fb>
    <v>13</v>
  </rv>
  <rv s="7">
    <fb>16.968</fb>
    <v>13</v>
  </rv>
  <rv s="7">
    <fb>42.29</fb>
    <v>13</v>
  </rv>
  <rv s="7">
    <fb>28.16</fb>
    <v>13</v>
  </rv>
  <rv s="7">
    <fb>170.08</fb>
    <v>13</v>
  </rv>
  <rv s="7">
    <fb>92.14</fb>
    <v>13</v>
  </rv>
  <rv s="7">
    <fb>47.11</fb>
    <v>13</v>
  </rv>
  <rv s="7">
    <fb>131.03100000000001</fb>
    <v>13</v>
  </rv>
  <rv s="7">
    <fb>45419</fb>
    <v>14</v>
  </rv>
  <rv s="7">
    <fb>177.81</fb>
    <v>13</v>
  </rv>
  <rv s="7">
    <fb>188.76</fb>
    <v>13</v>
  </rv>
  <rv s="7">
    <fb>409.34</fb>
    <v>13</v>
  </rv>
  <rv s="7">
    <fb>318.75</fb>
    <v>13</v>
  </rv>
  <rv s="7">
    <fb>191.75</fb>
    <v>13</v>
  </rv>
  <rv s="7">
    <fb>500.96</fb>
    <v>13</v>
  </rv>
  <rv s="7">
    <fb>116.17</fb>
    <v>13</v>
  </rv>
  <rv s="7">
    <fb>16.329999999999998</fb>
    <v>13</v>
  </rv>
  <rv s="7">
    <fb>42.71</fb>
    <v>13</v>
  </rv>
  <rv s="7">
    <fb>27.77</fb>
    <v>13</v>
  </rv>
  <rv s="7">
    <fb>168.19</fb>
    <v>13</v>
  </rv>
  <rv s="7">
    <fb>90.554000000000002</fb>
    <v>13</v>
  </rv>
  <rv s="7">
    <fb>47.28</fb>
    <v>13</v>
  </rv>
  <rv s="7">
    <fb>130.31100000000001</fb>
    <v>13</v>
  </rv>
  <rv s="7">
    <fb>45420</fb>
    <v>14</v>
  </rv>
  <rv s="7">
    <fb>174.72</fb>
    <v>13</v>
  </rv>
  <rv s="7">
    <fb>188</fb>
    <v>13</v>
  </rv>
  <rv s="7">
    <fb>410.54</fb>
    <v>13</v>
  </rv>
  <rv s="7">
    <fb>319</fb>
    <v>13</v>
  </rv>
  <rv s="7">
    <fb>165.07</fb>
    <v>13</v>
  </rv>
  <rv s="7">
    <fb>503.21</fb>
    <v>13</v>
  </rv>
  <rv s="7">
    <fb>116.15</fb>
    <v>13</v>
  </rv>
  <rv s="7">
    <fb>15.67</fb>
    <v>13</v>
  </rv>
  <rv s="7">
    <fb>43.34</fb>
    <v>13</v>
  </rv>
  <rv s="7">
    <fb>28.27</fb>
    <v>13</v>
  </rv>
  <rv s="7">
    <fb>170.28</fb>
    <v>13</v>
  </rv>
  <rv s="7">
    <fb>90.412000000000006</fb>
    <v>13</v>
  </rv>
  <rv s="7">
    <fb>48</fb>
    <v>13</v>
  </rv>
  <rv s="7">
    <fb>132.53700000000001</fb>
    <v>13</v>
  </rv>
  <rv s="7">
    <fb>45421</fb>
    <v>14</v>
  </rv>
  <rv s="7">
    <fb>171.97</fb>
    <v>13</v>
  </rv>
  <rv s="7">
    <fb>189.5</fb>
    <v>13</v>
  </rv>
  <rv s="7">
    <fb>412.32</fb>
    <v>13</v>
  </rv>
  <rv s="7">
    <fb>320.45</fb>
    <v>13</v>
  </rv>
  <rv s="7">
    <fb>166.04</fb>
    <v>13</v>
  </rv>
  <rv s="7">
    <fb>197.5</fb>
    <v>13</v>
  </rv>
  <rv s="7">
    <fb>507.03</fb>
    <v>13</v>
  </rv>
  <rv s="7">
    <fb>118.44</fb>
    <v>13</v>
  </rv>
  <rv s="7">
    <fb>15.494</fb>
    <v>13</v>
  </rv>
  <rv s="7">
    <fb>43.9</fb>
    <v>13</v>
  </rv>
  <rv s="7">
    <fb>28.18</fb>
    <v>13</v>
  </rv>
  <rv s="7">
    <fb>171.46</fb>
    <v>13</v>
  </rv>
  <rv s="7">
    <fb>88.747</fb>
    <v>13</v>
  </rv>
  <rv s="7">
    <fb>130.56700000000001</fb>
    <v>13</v>
  </rv>
  <rv s="7">
    <fb>45422</fb>
    <v>14</v>
  </rv>
  <rv s="7">
    <fb>168.47</fb>
    <v>13</v>
  </rv>
  <rv s="7">
    <fb>187.48</fb>
    <v>13</v>
  </rv>
  <rv s="7">
    <fb>414.74</fb>
    <v>13</v>
  </rv>
  <rv s="7">
    <fb>320.86</fb>
    <v>13</v>
  </rv>
  <rv s="7">
    <fb>166.85</fb>
    <v>13</v>
  </rv>
  <rv s="7">
    <fb>198.77</fb>
    <v>13</v>
  </rv>
  <rv s="7">
    <fb>512.80999999999995</fb>
    <v>13</v>
  </rv>
  <rv s="7">
    <fb>15.074</fb>
    <v>13</v>
  </rv>
  <rv s="7">
    <fb>172.71</fb>
    <v>13</v>
  </rv>
  <rv s="7">
    <fb>89.878</fb>
    <v>13</v>
  </rv>
  <rv s="7">
    <fb>133.28</fb>
    <v>13</v>
  </rv>
  <rv s="7">
    <fb>45425</fb>
    <v>14</v>
  </rv>
  <rv s="7">
    <fb>171.89</fb>
    <v>13</v>
  </rv>
  <rv s="7">
    <fb>186.57</fb>
    <v>13</v>
  </rv>
  <rv s="7">
    <fb>413.72</fb>
    <v>13</v>
  </rv>
  <rv s="7">
    <fb>315.87</fb>
    <v>13</v>
  </rv>
  <rv s="7">
    <fb>165.87</fb>
    <v>13</v>
  </rv>
  <rv s="7">
    <fb>198.73</fb>
    <v>13</v>
  </rv>
  <rv s="7">
    <fb>511.74</fb>
    <v>13</v>
  </rv>
  <rv s="7">
    <fb>117.91</fb>
    <v>13</v>
  </rv>
  <rv s="7">
    <fb>15.23</fb>
    <v>13</v>
  </rv>
  <rv s="7">
    <fb>42.557499999999997</fb>
    <v>13</v>
  </rv>
  <rv s="7">
    <fb>28.44</fb>
    <v>13</v>
  </rv>
  <rv s="7">
    <fb>169.88</fb>
    <v>13</v>
  </rv>
  <rv s="7">
    <fb>90.399000000000001</fb>
    <v>13</v>
  </rv>
  <rv s="7">
    <fb>48.68</fb>
    <v>13</v>
  </rv>
  <rv s="7">
    <fb>133.751</fb>
    <v>13</v>
  </rv>
  <rv s="7">
    <fb>45426</fb>
    <v>14</v>
  </rv>
  <rv s="7">
    <fb>177.55</fb>
    <v>13</v>
  </rv>
  <rv s="7">
    <fb>187.07</fb>
    <v>13</v>
  </rv>
  <rv s="7">
    <fb>416.56</fb>
    <v>13</v>
  </rv>
  <rv s="7">
    <fb>314.05</fb>
    <v>13</v>
  </rv>
  <rv s="7">
    <fb>201.51</fb>
    <v>13</v>
  </rv>
  <rv s="7">
    <fb>513.88</fb>
    <v>13</v>
  </rv>
  <rv s="7">
    <fb>117.67</fb>
    <v>13</v>
  </rv>
  <rv s="7">
    <fb>16.245999999999999</fb>
    <v>13</v>
  </rv>
  <rv s="7">
    <fb>42.95</fb>
    <v>13</v>
  </rv>
  <rv s="7">
    <fb>28.38</fb>
    <v>13</v>
  </rv>
  <rv s="7">
    <fb>169.08</fb>
    <v>13</v>
  </rv>
  <rv s="7">
    <fb>91.355999999999995</fb>
    <v>13</v>
  </rv>
  <rv s="7">
    <fb>138.00299999999999</fb>
    <v>13</v>
  </rv>
  <rv s="7">
    <fb>45427</fb>
    <v>14</v>
  </rv>
  <rv s="7">
    <fb>173.99</fb>
    <v>13</v>
  </rv>
  <rv s="7">
    <fb>185.99</fb>
    <v>13</v>
  </rv>
  <rv s="7">
    <fb>423.08</fb>
    <v>13</v>
  </rv>
  <rv s="7">
    <fb>316.37</fb>
    <v>13</v>
  </rv>
  <rv s="7">
    <fb>166.51</fb>
    <v>13</v>
  </rv>
  <rv s="7">
    <fb>202.11</fb>
    <v>13</v>
  </rv>
  <rv s="7">
    <fb>517.54999999999995</fb>
    <v>13</v>
  </rv>
  <rv s="7">
    <fb>118.58</fb>
    <v>13</v>
  </rv>
  <rv s="7">
    <fb>16.696000000000002</fb>
    <v>13</v>
  </rv>
  <rv s="7">
    <fb>43.47</fb>
    <v>13</v>
  </rv>
  <rv s="7">
    <fb>28.82</fb>
    <v>13</v>
  </rv>
  <rv s="7">
    <fb>166.27</fb>
    <v>13</v>
  </rv>
  <rv s="7">
    <fb>94.63</fb>
    <v>13</v>
  </rv>
  <rv s="7">
    <fb>49.67</fb>
    <v>13</v>
  </rv>
  <rv s="7">
    <fb>143.61699999999999</fb>
    <v>13</v>
  </rv>
  <rv s="7">
    <fb>45428</fb>
    <v>14</v>
  </rv>
  <rv s="7">
    <fb>174.84</fb>
    <v>13</v>
  </rv>
  <rv s="7">
    <fb>183.63</fb>
    <v>13</v>
  </rv>
  <rv s="7">
    <fb>420.99</fb>
    <v>13</v>
  </rv>
  <rv s="7">
    <fb>314.02</fb>
    <v>13</v>
  </rv>
  <rv s="7">
    <fb>167.86</fb>
    <v>13</v>
  </rv>
  <rv s="7">
    <fb>202.47</fb>
    <v>13</v>
  </rv>
  <rv s="7">
    <fb>521.27</fb>
    <v>13</v>
  </rv>
  <rv s="7">
    <fb>117.87</fb>
    <v>13</v>
  </rv>
  <rv s="7">
    <fb>16.678000000000001</fb>
    <v>13</v>
  </rv>
  <rv s="7">
    <fb>42.97</fb>
    <v>13</v>
  </rv>
  <rv s="7">
    <fb>28.92</fb>
    <v>13</v>
  </rv>
  <rv s="7">
    <fb>94.358999999999995</fb>
    <v>13</v>
  </rv>
  <rv s="7">
    <fb>48.34</fb>
    <v>13</v>
  </rv>
  <rv s="7">
    <fb>141.21299999999999</fb>
    <v>13</v>
  </rv>
  <rv s="7">
    <fb>45429</fb>
    <v>14</v>
  </rv>
  <rv s="7">
    <fb>177.46</fb>
    <v>13</v>
  </rv>
  <rv s="7">
    <fb>184.7</fb>
    <v>13</v>
  </rv>
  <rv s="7">
    <fb>420.21</fb>
    <v>13</v>
  </rv>
  <rv s="7">
    <fb>312.39999999999998</fb>
    <v>13</v>
  </rv>
  <rv s="7">
    <fb>167.64</fb>
    <v>13</v>
  </rv>
  <rv s="7">
    <fb>204.79</fb>
    <v>13</v>
  </rv>
  <rv s="7">
    <fb>524.63</fb>
    <v>13</v>
  </rv>
  <rv s="7">
    <fb>16.75</fb>
    <v>13</v>
  </rv>
  <rv s="7">
    <fb>43.22</fb>
    <v>13</v>
  </rv>
  <rv s="7">
    <fb>28.64</fb>
    <v>13</v>
  </rv>
  <rv s="7">
    <fb>169.51</fb>
    <v>13</v>
  </rv>
  <rv s="7">
    <fb>92.478999999999999</fb>
    <v>13</v>
  </rv>
  <rv s="7">
    <fb>48.17</fb>
    <v>13</v>
  </rv>
  <rv s="7">
    <fb>139.529</fb>
    <v>13</v>
  </rv>
  <rv s="7">
    <fb>45432</fb>
    <v>14</v>
  </rv>
  <rv s="7">
    <fb>174.95</fb>
    <v>13</v>
  </rv>
  <rv s="7">
    <fb>183.54</fb>
    <v>13</v>
  </rv>
  <rv s="7">
    <fb>425.34</fb>
    <v>13</v>
  </rv>
  <rv s="7">
    <fb>309.42</fb>
    <v>13</v>
  </rv>
  <rv s="7">
    <fb>167.31</fb>
    <v>13</v>
  </rv>
  <rv s="7">
    <fb>195.58</fb>
    <v>13</v>
  </rv>
  <rv s="7">
    <fb>517.23</fb>
    <v>13</v>
  </rv>
  <rv s="7">
    <fb>118.67</fb>
    <v>13</v>
  </rv>
  <rv s="7">
    <fb>16.718</fb>
    <v>13</v>
  </rv>
  <rv s="7">
    <fb>43.67</fb>
    <v>13</v>
  </rv>
  <rv s="7">
    <fb>28.53</fb>
    <v>13</v>
  </rv>
  <rv s="7">
    <fb>94.78</fb>
    <v>13</v>
  </rv>
  <rv s="7">
    <fb>47.13</fb>
    <v>13</v>
  </rv>
  <rv s="7">
    <fb>141.40299999999999</fb>
    <v>13</v>
  </rv>
  <rv s="7">
    <fb>45433</fb>
    <v>14</v>
  </rv>
  <rv s="7">
    <fb>186.6</fb>
    <v>13</v>
  </rv>
  <rv s="7">
    <fb>183.15</fb>
    <v>13</v>
  </rv>
  <rv s="7">
    <fb>429.04</fb>
    <v>13</v>
  </rv>
  <rv s="7">
    <fb>309.95999999999998</fb>
    <v>13</v>
  </rv>
  <rv s="7">
    <fb>168.35</fb>
    <v>13</v>
  </rv>
  <rv s="7">
    <fb>523.54999999999995</fb>
    <v>13</v>
  </rv>
  <rv s="7">
    <fb>117.85</fb>
    <v>13</v>
  </rv>
  <rv s="7">
    <fb>16.399999999999999</fb>
    <v>13</v>
  </rv>
  <rv s="7">
    <fb>43.89</fb>
    <v>13</v>
  </rv>
  <rv s="7">
    <fb>28.56</fb>
    <v>13</v>
  </rv>
  <rv s="7">
    <fb>95.385999999999996</fb>
    <v>13</v>
  </rv>
  <rv s="7">
    <fb>46.94</fb>
    <v>13</v>
  </rv>
  <rv s="7">
    <fb>139.91999999999999</fb>
    <v>13</v>
  </rv>
  <rv s="7">
    <fb>45434</fb>
    <v>14</v>
  </rv>
  <rv s="7">
    <fb>180.11</fb>
    <v>13</v>
  </rv>
  <rv s="7">
    <fb>183.13</fb>
    <v>13</v>
  </rv>
  <rv s="7">
    <fb>430.52</fb>
    <v>13</v>
  </rv>
  <rv s="7">
    <fb>307.22000000000003</fb>
    <v>13</v>
  </rv>
  <rv s="7">
    <fb>167.81</fb>
    <v>13</v>
  </rv>
  <rv s="7">
    <fb>198.31</fb>
    <v>13</v>
  </rv>
  <rv s="7">
    <fb>521.35</fb>
    <v>13</v>
  </rv>
  <rv s="7">
    <fb>115.48</fb>
    <v>13</v>
  </rv>
  <rv s="7">
    <fb>16.251999999999999</fb>
    <v>13</v>
  </rv>
  <rv s="7">
    <fb>43.24</fb>
    <v>13</v>
  </rv>
  <rv s="7">
    <fb>29.6</fb>
    <v>13</v>
  </rv>
  <rv s="7">
    <fb>166.17</fb>
    <v>13</v>
  </rv>
  <rv s="7">
    <fb>94.95</fb>
    <v>13</v>
  </rv>
  <rv s="7">
    <fb>47.43</fb>
    <v>13</v>
  </rv>
  <rv s="7">
    <fb>139.22399999999999</fb>
    <v>13</v>
  </rv>
  <rv s="7">
    <fb>45435</fb>
    <v>14</v>
  </rv>
  <rv s="7">
    <fb>173.74</fb>
    <v>13</v>
  </rv>
  <rv s="7">
    <fb>181.05</fb>
    <v>13</v>
  </rv>
  <rv s="7">
    <fb>427</fb>
    <v>13</v>
  </rv>
  <rv s="7">
    <fb>303.08999999999997</fb>
    <v>13</v>
  </rv>
  <rv s="7">
    <fb>165.49</fb>
    <v>13</v>
  </rv>
  <rv s="7">
    <fb>196.92</fb>
    <v>13</v>
  </rv>
  <rv s="7">
    <fb>516.83000000000004</fb>
    <v>13</v>
  </rv>
  <rv s="7">
    <fb>113.51</fb>
    <v>13</v>
  </rv>
  <rv s="7">
    <fb>16.16</fb>
    <v>13</v>
  </rv>
  <rv s="7">
    <fb>43.25</fb>
    <v>13</v>
  </rv>
  <rv s="7">
    <fb>28.69</fb>
    <v>13</v>
  </rv>
  <rv s="7">
    <fb>164</fb>
    <v>13</v>
  </rv>
  <rv s="7">
    <fb>103.79900000000001</fb>
    <v>13</v>
  </rv>
  <rv s="7">
    <fb>46.6</fb>
    <v>13</v>
  </rv>
  <rv s="7">
    <fb>139.32900000000001</fb>
    <v>13</v>
  </rv>
  <rv s="7">
    <fb>45436</fb>
    <v>14</v>
  </rv>
  <rv s="7">
    <fb>179.24</fb>
    <v>13</v>
  </rv>
  <rv s="7">
    <fb>180.75</fb>
    <v>13</v>
  </rv>
  <rv s="7">
    <fb>430.16</fb>
    <v>13</v>
  </rv>
  <rv s="7">
    <fb>304.83999999999997</fb>
    <v>13</v>
  </rv>
  <rv s="7">
    <fb>165.33</fb>
    <v>13</v>
  </rv>
  <rv s="7">
    <fb>200.71</fb>
    <v>13</v>
  </rv>
  <rv s="7">
    <fb>508.17</fb>
    <v>13</v>
  </rv>
  <rv s="7">
    <fb>113.42</fb>
    <v>13</v>
  </rv>
  <rv s="7">
    <fb>16.058</fb>
    <v>13</v>
  </rv>
  <rv s="7">
    <fb>43.1</fb>
    <v>13</v>
  </rv>
  <rv s="7">
    <fb>28.88</fb>
    <v>13</v>
  </rv>
  <rv s="7">
    <fb>164.84</fb>
    <v>13</v>
  </rv>
  <rv s="7">
    <fb>106.46899999999999</fb>
    <v>13</v>
  </rv>
  <rv s="7">
    <fb>46.42</fb>
    <v>13</v>
  </rv>
  <rv s="7">
    <fb>140.78399999999999</fb>
    <v>13</v>
  </rv>
  <rv s="7">
    <fb>45440</fb>
    <v>14</v>
  </rv>
  <rv s="7">
    <fb>176.75</fb>
    <v>13</v>
  </rv>
  <rv s="7">
    <fb>182.15</fb>
    <v>13</v>
  </rv>
  <rv s="7">
    <fb>430.32</fb>
    <v>13</v>
  </rv>
  <rv s="7">
    <fb>301.73</fb>
    <v>13</v>
  </rv>
  <rv s="7">
    <fb>163.11000000000001</fb>
    <v>13</v>
  </rv>
  <rv s="7">
    <fb>199.5</fb>
    <v>13</v>
  </rv>
  <rv s="7">
    <fb>503.68</fb>
    <v>13</v>
  </rv>
  <rv s="7">
    <fb>114.86</fb>
    <v>13</v>
  </rv>
  <rv s="7">
    <fb>15.974</fb>
    <v>13</v>
  </rv>
  <rv s="7">
    <fb>42.86</fb>
    <v>13</v>
  </rv>
  <rv s="7">
    <fb>28.3</fb>
    <v>13</v>
  </rv>
  <rv s="7">
    <fb>164.67</fb>
    <v>13</v>
  </rv>
  <rv s="7">
    <fb>113.901</fb>
    <v>13</v>
  </rv>
  <rv s="7">
    <fb>46.28</fb>
    <v>13</v>
  </rv>
  <rv s="7">
    <fb>141.245</fb>
    <v>13</v>
  </rv>
  <rv s="7">
    <fb>45441</fb>
    <v>14</v>
  </rv>
  <rv s="7">
    <fb>176.19</fb>
    <v>13</v>
  </rv>
  <rv s="7">
    <fb>182.02</fb>
    <v>13</v>
  </rv>
  <rv s="7">
    <fb>429.17</fb>
    <v>13</v>
  </rv>
  <rv s="7">
    <fb>297.43</fb>
    <v>13</v>
  </rv>
  <rv s="7">
    <fb>161.65</fb>
    <v>13</v>
  </rv>
  <rv s="7">
    <fb>198.11</fb>
    <v>13</v>
  </rv>
  <rv s="7">
    <fb>484.72</fb>
    <v>13</v>
  </rv>
  <rv s="7">
    <fb>113.63</fb>
    <v>13</v>
  </rv>
  <rv s="7">
    <fb>15.69</fb>
    <v>13</v>
  </rv>
  <rv s="7">
    <fb>42.36</fb>
    <v>13</v>
  </rv>
  <rv s="7">
    <fb>27.82</fb>
    <v>13</v>
  </rv>
  <rv s="7">
    <fb>163.5</fb>
    <v>13</v>
  </rv>
  <rv s="7">
    <fb>114.825</fb>
    <v>13</v>
  </rv>
  <rv s="7">
    <fb>46.08</fb>
    <v>13</v>
  </rv>
  <rv s="7">
    <fb>139.06700000000001</fb>
    <v>13</v>
  </rv>
  <rv s="7">
    <fb>45442</fb>
    <v>14</v>
  </rv>
  <rv s="7">
    <fb>178.79</fb>
    <v>13</v>
  </rv>
  <rv s="7">
    <fb>179.32</fb>
    <v>13</v>
  </rv>
  <rv s="7">
    <fb>414.67</fb>
    <v>13</v>
  </rv>
  <rv s="7">
    <fb>302.05</fb>
    <v>13</v>
  </rv>
  <rv s="7">
    <fb>162.58000000000001</fb>
    <v>13</v>
  </rv>
  <rv s="7">
    <fb>199.33</fb>
    <v>13</v>
  </rv>
  <rv s="7">
    <fb>481.65</fb>
    <v>13</v>
  </rv>
  <rv s="7">
    <fb>113.99</fb>
    <v>13</v>
  </rv>
  <rv s="7">
    <fb>16.158000000000001</fb>
    <v>13</v>
  </rv>
  <rv s="7">
    <fb>42.91</fb>
    <v>13</v>
  </rv>
  <rv s="7">
    <fb>28.2</fb>
    <v>13</v>
  </rv>
  <rv s="7">
    <fb>164.98</fb>
    <v>13</v>
  </rv>
  <rv s="7">
    <fb>110.5</fb>
    <v>13</v>
  </rv>
  <rv s="7">
    <fb>46.12</fb>
    <v>13</v>
  </rv>
  <rv s="7">
    <fb>136.40799999999999</fb>
    <v>13</v>
  </rv>
  <rv s="7">
    <fb>45443</fb>
    <v>14</v>
  </rv>
  <rv s="7">
    <fb>178.08</fb>
    <v>13</v>
  </rv>
  <rv s="7">
    <fb>176.44</fb>
    <v>13</v>
  </rv>
  <rv s="7">
    <fb>415.13</fb>
    <v>13</v>
  </rv>
  <rv s="7">
    <fb>303.8</fb>
    <v>13</v>
  </rv>
  <rv s="7">
    <fb>164.54</fb>
    <v>13</v>
  </rv>
  <rv s="7">
    <fb>202.63</fb>
    <v>13</v>
  </rv>
  <rv s="7">
    <fb>495.37</fb>
    <v>13</v>
  </rv>
  <rv s="7">
    <fb>117.26</fb>
    <v>13</v>
  </rv>
  <rv s="7">
    <fb>16.468</fb>
    <v>13</v>
  </rv>
  <rv s="7">
    <fb>42.49</fb>
    <v>13</v>
  </rv>
  <rv s="7">
    <fb>28.66</fb>
    <v>13</v>
  </rv>
  <rv s="7">
    <fb>167.52</fb>
    <v>13</v>
  </rv>
  <rv s="7">
    <fb>109.633</fb>
    <v>13</v>
  </rv>
  <rv s="7">
    <fb>46.5</fb>
    <v>13</v>
  </rv>
  <rv s="7">
    <fb>132.85499999999999</fb>
    <v>13</v>
  </rv>
  <rv s="7">
    <fb>45446</fb>
    <v>14</v>
  </rv>
  <rv s="7">
    <fb>176.29</fb>
    <v>13</v>
  </rv>
  <rv s="7">
    <fb>178.34</fb>
    <v>13</v>
  </rv>
  <rv s="7">
    <fb>413.52</fb>
    <v>13</v>
  </rv>
  <rv s="7">
    <fb>302.02999999999997</fb>
    <v>13</v>
  </rv>
  <rv s="7">
    <fb>164.65</fb>
    <v>13</v>
  </rv>
  <rv s="7">
    <fb>201.82</fb>
    <v>13</v>
  </rv>
  <rv s="7">
    <fb>497.44</fb>
    <v>13</v>
  </rv>
  <rv s="7">
    <fb>114.45</fb>
    <v>13</v>
  </rv>
  <rv s="7">
    <fb>16.72</fb>
    <v>13</v>
  </rv>
  <rv s="7">
    <fb>42.4</fb>
    <v>13</v>
  </rv>
  <rv s="7">
    <fb>29.31</fb>
    <v>13</v>
  </rv>
  <rv s="7">
    <fb>164.12</fb>
    <v>13</v>
  </rv>
  <rv s="7">
    <fb>115</fb>
    <v>13</v>
  </rv>
  <rv s="7">
    <fb>46.65</fb>
    <v>13</v>
  </rv>
  <rv s="7">
    <fb>132.19</fb>
    <v>13</v>
  </rv>
  <rv s="7">
    <fb>45447</fb>
    <v>14</v>
  </rv>
  <rv s="7">
    <fb>174.77</fb>
    <v>13</v>
  </rv>
  <rv s="7">
    <fb>179.34</fb>
    <v>13</v>
  </rv>
  <rv s="7">
    <fb>416.07</fb>
    <v>13</v>
  </rv>
  <rv s="7">
    <fb>305.83999999999997</fb>
    <v>13</v>
  </rv>
  <rv s="7">
    <fb>167.01</fb>
    <v>13</v>
  </rv>
  <rv s="7">
    <fb>199.16</fb>
    <v>13</v>
  </rv>
  <rv s="7">
    <fb>505.49</fb>
    <v>13</v>
  </rv>
  <rv s="7">
    <fb>112.67</fb>
    <v>13</v>
  </rv>
  <rv s="7">
    <fb>17.206</fb>
    <v>13</v>
  </rv>
  <rv s="7">
    <fb>41.69</fb>
    <v>13</v>
  </rv>
  <rv s="7">
    <fb>29.49</fb>
    <v>13</v>
  </rv>
  <rv s="7">
    <fb>163.41999999999999</fb>
    <v>13</v>
  </rv>
  <rv s="7">
    <fb>116.437</fb>
    <v>13</v>
  </rv>
  <rv s="7">
    <fb>47.42</fb>
    <v>13</v>
  </rv>
  <rv s="7">
    <fb>133.08199999999999</fb>
    <v>13</v>
  </rv>
  <rv s="7">
    <fb>45448</fb>
    <v>14</v>
  </rv>
  <rv s="7">
    <fb>424.01</fb>
    <v>13</v>
  </rv>
  <rv s="7">
    <fb>308.23</fb>
    <v>13</v>
  </rv>
  <rv s="7">
    <fb>166.05</fb>
    <v>13</v>
  </rv>
  <rv s="7">
    <fb>197.26</fb>
    <v>13</v>
  </rv>
  <rv s="7">
    <fb>503.12</fb>
    <v>13</v>
  </rv>
  <rv s="7">
    <fb>113.12</fb>
    <v>13</v>
  </rv>
  <rv s="7">
    <fb>17.327999999999999</fb>
    <v>13</v>
  </rv>
  <rv s="7">
    <fb>41.7</fb>
    <v>13</v>
  </rv>
  <rv s="7">
    <fb>29.55</fb>
    <v>13</v>
  </rv>
  <rv s="7">
    <fb>163.30000000000001</fb>
    <v>13</v>
  </rv>
  <rv s="7">
    <fb>122.44</fb>
    <v>13</v>
  </rv>
  <rv s="7">
    <fb>46.02</fb>
    <v>13</v>
  </rv>
  <rv s="7">
    <fb>141.309</fb>
    <v>13</v>
  </rv>
  <rv s="7">
    <fb>45449</fb>
    <v>14</v>
  </rv>
  <rv s="7">
    <fb>177.94</fb>
    <v>13</v>
  </rv>
  <rv s="7">
    <fb>185</fb>
    <v>13</v>
  </rv>
  <rv s="7">
    <fb>424.52</fb>
    <v>13</v>
  </rv>
  <rv s="7">
    <fb>304.06</fb>
    <v>13</v>
  </rv>
  <rv s="7">
    <fb>196.91</fb>
    <v>13</v>
  </rv>
  <rv s="7">
    <fb>501.92</fb>
    <v>13</v>
  </rv>
  <rv s="7">
    <fb>113.97</fb>
    <v>13</v>
  </rv>
  <rv s="7">
    <fb>17.446000000000002</fb>
    <v>13</v>
  </rv>
  <rv s="7">
    <fb>41.74</fb>
    <v>13</v>
  </rv>
  <rv s="7">
    <fb>28.8</fb>
    <v>13</v>
  </rv>
  <rv s="7">
    <fb>163.12</fb>
    <v>13</v>
  </rv>
  <rv s="7">
    <fb>120.998</fb>
    <v>13</v>
  </rv>
  <rv s="7">
    <fb>46.23</fb>
    <v>13</v>
  </rv>
  <rv s="7">
    <fb>140.12700000000001</fb>
    <v>13</v>
  </rv>
  <rv s="7">
    <fb>45450</fb>
    <v>14</v>
  </rv>
  <rv s="7">
    <fb>177.48</fb>
    <v>13</v>
  </rv>
  <rv s="7">
    <fb>184.3</fb>
    <v>13</v>
  </rv>
  <rv s="7">
    <fb>423.85</fb>
    <v>13</v>
  </rv>
  <rv s="7">
    <fb>291.95</fb>
    <v>13</v>
  </rv>
  <rv s="7">
    <fb>167.06</fb>
    <v>13</v>
  </rv>
  <rv s="7">
    <fb>199.95</fb>
    <v>13</v>
  </rv>
  <rv s="7">
    <fb>490.69</fb>
    <v>13</v>
  </rv>
  <rv s="7">
    <fb>112.75</fb>
    <v>13</v>
  </rv>
  <rv s="7">
    <fb>17.09</fb>
    <v>13</v>
  </rv>
  <rv s="7">
    <fb>40.51</fb>
    <v>13</v>
  </rv>
  <rv s="7">
    <fb>28.58</fb>
    <v>13</v>
  </rv>
  <rv s="7">
    <fb>165.06</fb>
    <v>13</v>
  </rv>
  <rv s="7">
    <fb>120.88800000000001</fb>
    <v>13</v>
  </rv>
  <rv s="7">
    <fb>45.84</fb>
    <v>13</v>
  </rv>
  <rv s="7">
    <fb>140.66399999999999</fb>
    <v>13</v>
  </rv>
  <rv s="7">
    <fb>45453</fb>
    <v>14</v>
  </rv>
  <rv s="7">
    <fb>173.79</fb>
    <v>13</v>
  </rv>
  <rv s="7">
    <fb>187.06</fb>
    <v>13</v>
  </rv>
  <rv s="7">
    <fb>427.87</fb>
    <v>13</v>
  </rv>
  <rv s="7">
    <fb>293.11</fb>
    <v>13</v>
  </rv>
  <rv s="7">
    <fb>167.35</fb>
    <v>13</v>
  </rv>
  <rv s="7">
    <fb>199.61</fb>
    <v>13</v>
  </rv>
  <rv s="7">
    <fb>495</fb>
    <v>13</v>
  </rv>
  <rv s="7">
    <fb>113.08</fb>
    <v>13</v>
  </rv>
  <rv s="7">
    <fb>17.128</fb>
    <v>13</v>
  </rv>
  <rv s="7">
    <fb>40.200000000000003</fb>
    <v>13</v>
  </rv>
  <rv s="7">
    <fb>28.07</fb>
    <v>13</v>
  </rv>
  <rv s="7">
    <fb>163.81</fb>
    <v>13</v>
  </rv>
  <rv s="7">
    <fb>45.85</fb>
    <v>13</v>
  </rv>
  <rv s="7">
    <fb>144.047</fb>
    <v>13</v>
  </rv>
  <rv s="7">
    <fb>45454</fb>
    <v>14</v>
  </rv>
  <rv s="7">
    <fb>170.66</fb>
    <v>13</v>
  </rv>
  <rv s="7">
    <fb>187.23</fb>
    <v>13</v>
  </rv>
  <rv s="7">
    <fb>432.68</fb>
    <v>13</v>
  </rv>
  <rv s="7">
    <fb>296</fb>
    <v>13</v>
  </rv>
  <rv s="7">
    <fb>167.48</fb>
    <v>13</v>
  </rv>
  <rv s="7">
    <fb>194.36</fb>
    <v>13</v>
  </rv>
  <rv s="7">
    <fb>496.22</fb>
    <v>13</v>
  </rv>
  <rv s="7">
    <fb>112.17</fb>
    <v>13</v>
  </rv>
  <rv s="7">
    <fb>17</fb>
    <v>13</v>
  </rv>
  <rv s="7">
    <fb>39.799999999999997</fb>
    <v>13</v>
  </rv>
  <rv s="7">
    <fb>28.03</fb>
    <v>13</v>
  </rv>
  <rv s="7">
    <fb>161.6</fb>
    <v>13</v>
  </rv>
  <rv s="7">
    <fb>120.91</fb>
    <v>13</v>
  </rv>
  <rv s="7">
    <fb>45.77</fb>
    <v>13</v>
  </rv>
  <rv s="7">
    <fb>146.10300000000001</fb>
    <v>13</v>
  </rv>
  <rv s="7">
    <fb>45455</fb>
    <v>14</v>
  </rv>
  <rv s="7">
    <fb>177.29</fb>
    <v>13</v>
  </rv>
  <rv s="7">
    <fb>186.89</fb>
    <v>13</v>
  </rv>
  <rv s="7">
    <fb>441.06</fb>
    <v>13</v>
  </rv>
  <rv s="7">
    <fb>299.29000000000002</fb>
    <v>13</v>
  </rv>
  <rv s="7">
    <fb>165.18</fb>
    <v>13</v>
  </rv>
  <rv s="7">
    <fb>191.53</fb>
    <v>13</v>
  </rv>
  <rv s="7">
    <fb>493.07</fb>
    <v>13</v>
  </rv>
  <rv s="7">
    <fb>110.93</fb>
    <v>13</v>
  </rv>
  <rv s="7">
    <fb>16.792000000000002</fb>
    <v>13</v>
  </rv>
  <rv s="7">
    <fb>40.17</fb>
    <v>13</v>
  </rv>
  <rv s="7">
    <fb>160.63</fb>
    <v>13</v>
  </rv>
  <rv s="7">
    <fb>125.2</fb>
    <v>13</v>
  </rv>
  <rv s="7">
    <fb>45.62</fb>
    <v>13</v>
  </rv>
  <rv s="7">
    <fb>149.55099999999999</fb>
    <v>13</v>
  </rv>
  <rv s="7">
    <fb>45456</fb>
    <v>14</v>
  </rv>
  <rv s="7">
    <fb>182.47</fb>
    <v>13</v>
  </rv>
  <rv s="7">
    <fb>183.83</fb>
    <v>13</v>
  </rv>
  <rv s="7">
    <fb>441.58</fb>
    <v>13</v>
  </rv>
  <rv s="7">
    <fb>300.45</fb>
    <v>13</v>
  </rv>
  <rv s="7">
    <fb>166.41</fb>
    <v>13</v>
  </rv>
  <rv s="7">
    <fb>193.66</fb>
    <v>13</v>
  </rv>
  <rv s="7">
    <fb>497.3</fb>
    <v>13</v>
  </rv>
  <rv s="7">
    <fb>110.04</fb>
    <v>13</v>
  </rv>
  <rv s="7">
    <fb>16.82</fb>
    <v>13</v>
  </rv>
  <rv s="7">
    <fb>39.24</fb>
    <v>13</v>
  </rv>
  <rv s="7">
    <fb>27.65</fb>
    <v>13</v>
  </rv>
  <rv s="7">
    <fb>160.83000000000001</fb>
    <v>13</v>
  </rv>
  <rv s="7">
    <fb>129.61000000000001</fb>
    <v>13</v>
  </rv>
  <rv s="7">
    <fb>45.52</fb>
    <v>13</v>
  </rv>
  <rv s="7">
    <fb>167.899</fb>
    <v>13</v>
  </rv>
  <rv s="7">
    <fb>45457</fb>
    <v>14</v>
  </rv>
  <rv s="7">
    <fb>178.01</fb>
    <v>13</v>
  </rv>
  <rv s="7">
    <fb>183.66</fb>
    <v>13</v>
  </rv>
  <rv s="7">
    <fb>442.57</fb>
    <v>13</v>
  </rv>
  <rv s="7">
    <fb>296.99</fb>
    <v>13</v>
  </rv>
  <rv s="7">
    <fb>166.79</fb>
    <v>13</v>
  </rv>
  <rv s="7">
    <fb>193.78</fb>
    <v>13</v>
  </rv>
  <rv s="7">
    <fb>497.12</fb>
    <v>13</v>
  </rv>
  <rv s="7">
    <fb>109.11</fb>
    <v>13</v>
  </rv>
  <rv s="7">
    <fb>16.443999999999999</fb>
    <v>13</v>
  </rv>
  <rv s="7">
    <fb>38.39</fb>
    <v>13</v>
  </rv>
  <rv s="7">
    <fb>27.53</fb>
    <v>13</v>
  </rv>
  <rv s="7">
    <fb>157.07</fb>
    <v>13</v>
  </rv>
  <rv s="7">
    <fb>131.88</fb>
    <v>13</v>
  </rv>
  <rv s="7">
    <fb>45.68</fb>
    <v>13</v>
  </rv>
  <rv s="7">
    <fb>173.50399999999999</fb>
    <v>13</v>
  </rv>
  <rv s="7">
    <fb>45460</fb>
    <v>14</v>
  </rv>
  <rv s="7">
    <fb>187.44</fb>
    <v>13</v>
  </rv>
  <rv s="7">
    <fb>184.06</fb>
    <v>13</v>
  </rv>
  <rv s="7">
    <fb>448.37</fb>
    <v>13</v>
  </rv>
  <rv s="7">
    <fb>302.85000000000002</fb>
    <v>13</v>
  </rv>
  <rv s="7">
    <fb>167.5</fb>
    <v>13</v>
  </rv>
  <rv s="7">
    <fb>194.98</fb>
    <v>13</v>
  </rv>
  <rv s="7">
    <fb>489.23</fb>
    <v>13</v>
  </rv>
  <rv s="7">
    <fb>108.36</fb>
    <v>13</v>
  </rv>
  <rv s="7">
    <fb>16.224</fb>
    <v>13</v>
  </rv>
  <rv s="7">
    <fb>26.98</fb>
    <v>13</v>
  </rv>
  <rv s="7">
    <fb>158.74</fb>
    <v>13</v>
  </rv>
  <rv s="7">
    <fb>130.97999999999999</fb>
    <v>13</v>
  </rv>
  <rv s="7">
    <fb>45.69</fb>
    <v>13</v>
  </rv>
  <rv s="7">
    <fb>182.887</fb>
    <v>13</v>
  </rv>
  <rv s="7">
    <fb>45461</fb>
    <v>14</v>
  </rv>
  <rv s="7">
    <fb>184.86</fb>
    <v>13</v>
  </rv>
  <rv s="7">
    <fb>182.81</fb>
    <v>13</v>
  </rv>
  <rv s="7">
    <fb>446.34</fb>
    <v>13</v>
  </rv>
  <rv s="7">
    <fb>300.19</fb>
    <v>13</v>
  </rv>
  <rv s="7">
    <fb>168.56</fb>
    <v>13</v>
  </rv>
  <rv s="7">
    <fb>197</fb>
    <v>13</v>
  </rv>
  <rv s="7">
    <fb>481.05</fb>
    <v>13</v>
  </rv>
  <rv s="7">
    <fb>109.38</fb>
    <v>13</v>
  </rv>
  <rv s="7">
    <fb>15.926</fb>
    <v>13</v>
  </rv>
  <rv s="7">
    <fb>39.72</fb>
    <v>13</v>
  </rv>
  <rv s="7">
    <fb>27.41</fb>
    <v>13</v>
  </rv>
  <rv s="7">
    <fb>160.06</fb>
    <v>13</v>
  </rv>
  <rv s="7">
    <fb>135.58000000000001</fb>
    <v>13</v>
  </rv>
  <rv s="7">
    <fb>45.97</fb>
    <v>13</v>
  </rv>
  <rv s="7">
    <fb>180.25200000000001</fb>
    <v>13</v>
  </rv>
  <rv s="7">
    <fb>45463</fb>
    <v>14</v>
  </rv>
  <rv s="7">
    <fb>181.57</fb>
    <v>13</v>
  </rv>
  <rv s="7">
    <fb>186.1</fb>
    <v>13</v>
  </rv>
  <rv s="7">
    <fb>445.7</fb>
    <v>13</v>
  </rv>
  <rv s="7">
    <fb>301.35000000000002</fb>
    <v>13</v>
  </rv>
  <rv s="7">
    <fb>167.67</fb>
    <v>13</v>
  </rv>
  <rv s="7">
    <fb>198.67</fb>
    <v>13</v>
  </rv>
  <rv s="7">
    <fb>484.52</fb>
    <v>13</v>
  </rv>
  <rv s="7">
    <fb>111.74</fb>
    <v>13</v>
  </rv>
  <rv s="7">
    <fb>16.166</fb>
    <v>13</v>
  </rv>
  <rv s="7">
    <fb>39.64</fb>
    <v>13</v>
  </rv>
  <rv s="7">
    <fb>27.74</fb>
    <v>13</v>
  </rv>
  <rv s="7">
    <fb>162.59</fb>
    <v>13</v>
  </rv>
  <rv s="7">
    <fb>130.78</fb>
    <v>13</v>
  </rv>
  <rv s="7">
    <fb>46.72</fb>
    <v>13</v>
  </rv>
  <rv s="7">
    <fb>173.45599999999999</fb>
    <v>13</v>
  </rv>
  <rv s="7">
    <fb>45464</fb>
    <v>14</v>
  </rv>
  <rv s="7">
    <fb>183.01</fb>
    <v>13</v>
  </rv>
  <rv s="7">
    <fb>189.08</fb>
    <v>13</v>
  </rv>
  <rv s="7">
    <fb>449.78</fb>
    <v>13</v>
  </rv>
  <rv s="7">
    <fb>301.26</fb>
    <v>13</v>
  </rv>
  <rv s="7">
    <fb>168.26</fb>
    <v>13</v>
  </rv>
  <rv s="7">
    <fb>196.3</fb>
    <v>13</v>
  </rv>
  <rv s="7">
    <fb>482.59</fb>
    <v>13</v>
  </rv>
  <rv s="7">
    <fb>110.76</fb>
    <v>13</v>
  </rv>
  <rv s="7">
    <fb>16.106000000000002</fb>
    <v>13</v>
  </rv>
  <rv s="7">
    <fb>39.57</fb>
    <v>13</v>
  </rv>
  <rv s="7">
    <fb>160.51</fb>
    <v>13</v>
  </rv>
  <rv s="7">
    <fb>126.57</fb>
    <v>13</v>
  </rv>
  <rv s="7">
    <fb>47.29</fb>
    <v>13</v>
  </rv>
  <rv s="7">
    <fb>165.863</fb>
    <v>13</v>
  </rv>
  <rv s="7">
    <fb>45467</fb>
    <v>14</v>
  </rv>
  <rv s="7">
    <fb>182.58</fb>
    <v>13</v>
  </rv>
  <rv s="7">
    <fb>185.57</fb>
    <v>13</v>
  </rv>
  <rv s="7">
    <fb>447.67</fb>
    <v>13</v>
  </rv>
  <rv s="7">
    <fb>300.55</fb>
    <v>13</v>
  </rv>
  <rv s="7">
    <fb>168.45</fb>
    <v>13</v>
  </rv>
  <rv s="7">
    <fb>198.88</fb>
    <v>13</v>
  </rv>
  <rv s="7">
    <fb>489.98</fb>
    <v>13</v>
  </rv>
  <rv s="7">
    <fb>114.05</fb>
    <v>13</v>
  </rv>
  <rv s="7">
    <fb>37.14</fb>
    <v>13</v>
  </rv>
  <rv s="7">
    <fb>28.36</fb>
    <v>13</v>
  </rv>
  <rv s="7">
    <fb>162.41</fb>
    <v>13</v>
  </rv>
  <rv s="7">
    <fb>118.11</fb>
    <v>13</v>
  </rv>
  <rv s="7">
    <fb>159.221</fb>
    <v>13</v>
  </rv>
  <rv s="7">
    <fb>45468</fb>
    <v>14</v>
  </rv>
  <rv s="7">
    <fb>187.35</fb>
    <v>13</v>
  </rv>
  <rv s="7">
    <fb>186.34</fb>
    <v>13</v>
  </rv>
  <rv s="7">
    <fb>450.95</fb>
    <v>13</v>
  </rv>
  <rv s="7">
    <fb>294.68</fb>
    <v>13</v>
  </rv>
  <rv s="7">
    <fb>198.07</fb>
    <v>13</v>
  </rv>
  <rv s="7">
    <fb>484.5</fb>
    <v>13</v>
  </rv>
  <rv s="7">
    <fb>114.37</fb>
    <v>13</v>
  </rv>
  <rv s="7">
    <fb>16.416</fb>
    <v>13</v>
  </rv>
  <rv s="7">
    <fb>36.49</fb>
    <v>13</v>
  </rv>
  <rv s="7">
    <fb>27.99</fb>
    <v>13</v>
  </rv>
  <rv s="7">
    <fb>161.34</fb>
    <v>13</v>
  </rv>
  <rv s="7">
    <fb>126.09</fb>
    <v>13</v>
  </rv>
  <rv s="7">
    <fb>47.38</fb>
    <v>13</v>
  </rv>
  <rv s="7">
    <fb>158.07900000000001</fb>
    <v>13</v>
  </rv>
  <rv s="7">
    <fb>45469</fb>
    <v>14</v>
  </rv>
  <rv s="7">
    <fb>196.37</fb>
    <v>13</v>
  </rv>
  <rv s="7">
    <fb>193.61</fb>
    <v>13</v>
  </rv>
  <rv s="7">
    <fb>452.16</fb>
    <v>13</v>
  </rv>
  <rv s="7">
    <fb>296.86</fb>
    <v>13</v>
  </rv>
  <rv s="7">
    <fb>167.45</fb>
    <v>13</v>
  </rv>
  <rv s="7">
    <fb>197.43</fb>
    <v>13</v>
  </rv>
  <rv s="7">
    <fb>484.04</fb>
    <v>13</v>
  </rv>
  <rv s="7">
    <fb>114.41</fb>
    <v>13</v>
  </rv>
  <rv s="7">
    <fb>16.571999999999999</fb>
    <v>13</v>
  </rv>
  <rv s="7">
    <fb>35</fb>
    <v>13</v>
  </rv>
  <rv s="7">
    <fb>27.42</fb>
    <v>13</v>
  </rv>
  <rv s="7">
    <fb>158.36000000000001</fb>
    <v>13</v>
  </rv>
  <rv s="7">
    <fb>126.4</fb>
    <v>13</v>
  </rv>
  <rv s="7">
    <fb>46.86</fb>
    <v>13</v>
  </rv>
  <rv s="7">
    <fb>159.19999999999999</fb>
    <v>13</v>
  </rv>
  <rv s="7">
    <fb>45470</fb>
    <v>14</v>
  </rv>
  <rv s="7">
    <fb>197.42</fb>
    <v>13</v>
  </rv>
  <rv s="7">
    <fb>197.85</fb>
    <v>13</v>
  </rv>
  <rv s="7">
    <fb>452.85</fb>
    <v>13</v>
  </rv>
  <rv s="7">
    <fb>297</fb>
    <v>13</v>
  </rv>
  <rv s="7">
    <fb>166.62</fb>
    <v>13</v>
  </rv>
  <rv s="7">
    <fb>199.17</fb>
    <v>13</v>
  </rv>
  <rv s="7">
    <fb>486.44</fb>
    <v>13</v>
  </rv>
  <rv s="7">
    <fb>114.9</fb>
    <v>13</v>
  </rv>
  <rv s="7">
    <fb>16.856000000000002</fb>
    <v>13</v>
  </rv>
  <rv s="7">
    <fb>34.89</fb>
    <v>13</v>
  </rv>
  <rv s="7">
    <fb>27.8</fb>
    <v>13</v>
  </rv>
  <rv s="7">
    <fb>160.01</fb>
    <v>13</v>
  </rv>
  <rv s="7">
    <fb>123.99</fb>
    <v>13</v>
  </rv>
  <rv s="7">
    <fb>47.45</fb>
    <v>13</v>
  </rv>
  <rv s="7">
    <fb>158.666</fb>
    <v>13</v>
  </rv>
  <rv s="7">
    <fb>45471</fb>
    <v>14</v>
  </rv>
  <rv s="7">
    <fb>197.88</fb>
    <v>13</v>
  </rv>
  <rv s="7">
    <fb>193.25</fb>
    <v>13</v>
  </rv>
  <rv s="7">
    <fb>446.95</fb>
    <v>13</v>
  </rv>
  <rv s="7">
    <fb>298.43</fb>
    <v>13</v>
  </rv>
  <rv s="7">
    <fb>164.92</fb>
    <v>13</v>
  </rv>
  <rv s="7">
    <fb>202.26</fb>
    <v>13</v>
  </rv>
  <rv s="7">
    <fb>509.26</fb>
    <v>13</v>
  </rv>
  <rv s="7">
    <fb>115.12</fb>
    <v>13</v>
  </rv>
  <rv s="7">
    <fb>16.989999999999998</fb>
    <v>13</v>
  </rv>
  <rv s="7">
    <fb>34.24</fb>
    <v>13</v>
  </rv>
  <rv s="7">
    <fb>27.98</fb>
    <v>13</v>
  </rv>
  <rv s="7">
    <fb>159.66</fb>
    <v>13</v>
  </rv>
  <rv s="7">
    <fb>123.54</fb>
    <v>13</v>
  </rv>
  <rv s="7">
    <fb>47.51</fb>
    <v>13</v>
  </rv>
  <rv s="7">
    <fb>160.553</fb>
    <v>13</v>
  </rv>
  <rv s="7">
    <fb>45474</fb>
    <v>14</v>
  </rv>
  <rv s="7">
    <fb>209.86</fb>
    <v>13</v>
  </rv>
  <rv s="7">
    <fb>197.2</fb>
    <v>13</v>
  </rv>
  <rv s="7">
    <fb>456.73</fb>
    <v>13</v>
  </rv>
  <rv s="7">
    <fb>295.79000000000002</fb>
    <v>13</v>
  </rv>
  <rv s="7">
    <fb>162.72</fb>
    <v>13</v>
  </rv>
  <rv s="7">
    <fb>205.45</fb>
    <v>13</v>
  </rv>
  <rv s="7">
    <fb>494.65</fb>
    <v>13</v>
  </rv>
  <rv s="7">
    <fb>114.96</fb>
    <v>13</v>
  </rv>
  <rv s="7">
    <fb>17.062000000000001</fb>
    <v>13</v>
  </rv>
  <rv s="7">
    <fb>35.25</fb>
    <v>13</v>
  </rv>
  <rv s="7">
    <fb>124.3</fb>
    <v>13</v>
  </rv>
  <rv s="7">
    <fb>47.52</fb>
    <v>13</v>
  </rv>
  <rv s="7">
    <fb>164.08</fb>
    <v>13</v>
  </rv>
  <rv s="7">
    <fb>45475</fb>
    <v>14</v>
  </rv>
  <rv s="7">
    <fb>231.26</fb>
    <v>13</v>
  </rv>
  <rv s="7">
    <fb>200</fb>
    <v>13</v>
  </rv>
  <rv s="7">
    <fb>459.28</fb>
    <v>13</v>
  </rv>
  <rv s="7">
    <fb>294.64999999999998</fb>
    <v>13</v>
  </rv>
  <rv s="7">
    <fb>163.9</fb>
    <v>13</v>
  </rv>
  <rv s="7">
    <fb>208.83</fb>
    <v>13</v>
  </rv>
  <rv s="7">
    <fb>498.24</fb>
    <v>13</v>
  </rv>
  <rv s="7">
    <fb>114.18</fb>
    <v>13</v>
  </rv>
  <rv s="7">
    <fb>17.332000000000001</fb>
    <v>13</v>
  </rv>
  <rv s="7">
    <fb>35.4</fb>
    <v>13</v>
  </rv>
  <rv s="7">
    <fb>27.83</fb>
    <v>13</v>
  </rv>
  <rv s="7">
    <fb>160.18</fb>
    <v>13</v>
  </rv>
  <rv s="7">
    <fb>122.67</fb>
    <v>13</v>
  </rv>
  <rv s="7">
    <fb>165.74799999999999</fb>
    <v>13</v>
  </rv>
  <rv s="7">
    <fb>45476</fb>
    <v>14</v>
  </rv>
  <rv s="7">
    <fb>246.39</fb>
    <v>13</v>
  </rv>
  <rv s="7">
    <fb>197.59</fb>
    <v>13</v>
  </rv>
  <rv s="7">
    <fb>460.77</fb>
    <v>13</v>
  </rv>
  <rv s="7">
    <fb>297.22000000000003</fb>
    <v>13</v>
  </rv>
  <rv s="7">
    <fb>163.83000000000001</fb>
    <v>13</v>
  </rv>
  <rv s="7">
    <fb>208.69</fb>
    <v>13</v>
  </rv>
  <rv s="7">
    <fb>489.89</fb>
    <v>13</v>
  </rv>
  <rv s="7">
    <fb>114.76</fb>
    <v>13</v>
  </rv>
  <rv s="7">
    <fb>17.13</fb>
    <v>13</v>
  </rv>
  <rv s="7">
    <fb>36.67</fb>
    <v>13</v>
  </rv>
  <rv s="7">
    <fb>159.44</fb>
    <v>13</v>
  </rv>
  <rv s="7">
    <fb>128.28</fb>
    <v>13</v>
  </rv>
  <rv s="7">
    <fb>47.09</fb>
    <v>13</v>
  </rv>
  <rv s="7">
    <fb>172.922</fb>
    <v>13</v>
  </rv>
  <rv s="7">
    <fb>45478</fb>
    <v>14</v>
  </rv>
  <rv s="7">
    <fb>251.52</fb>
    <v>13</v>
  </rv>
  <rv s="7">
    <fb>467.56</fb>
    <v>13</v>
  </rv>
  <rv s="7">
    <fb>295.7</fb>
    <v>13</v>
  </rv>
  <rv s="7">
    <fb>165.21</fb>
    <v>13</v>
  </rv>
  <rv s="7">
    <fb>488.01</fb>
    <v>13</v>
  </rv>
  <rv s="7">
    <fb>113.37</fb>
    <v>13</v>
  </rv>
  <rv s="7">
    <fb>17.364000000000001</fb>
    <v>13</v>
  </rv>
  <rv s="7">
    <fb>36.86</fb>
    <v>13</v>
  </rv>
  <rv s="7">
    <fb>28.05</fb>
    <v>13</v>
  </rv>
  <rv s="7">
    <fb>158.43</fb>
    <v>13</v>
  </rv>
  <rv s="7">
    <fb>125.83</fb>
    <v>13</v>
  </rv>
  <rv s="7">
    <fb>170.33099999999999</fb>
    <v>13</v>
  </rv>
  <rv s="7">
    <fb>45481</fb>
    <v>14</v>
  </rv>
  <rv s="7">
    <fb>252.94</fb>
    <v>13</v>
  </rv>
  <rv s="7">
    <fb>199.29</fb>
    <v>13</v>
  </rv>
  <rv s="7">
    <fb>466.24</fb>
    <v>13</v>
  </rv>
  <rv s="7">
    <fb>300.25</fb>
    <v>13</v>
  </rv>
  <rv s="7">
    <fb>166.52</fb>
    <v>13</v>
  </rv>
  <rv s="7">
    <fb>205.17</fb>
    <v>13</v>
  </rv>
  <rv s="7">
    <fb>489.34</fb>
    <v>13</v>
  </rv>
  <rv s="7">
    <fb>112.18</fb>
    <v>13</v>
  </rv>
  <rv s="7">
    <fb>17.32</fb>
    <v>13</v>
  </rv>
  <rv s="7">
    <fb>36.74</fb>
    <v>13</v>
  </rv>
  <rv s="7">
    <fb>27.93</fb>
    <v>13</v>
  </rv>
  <rv s="7">
    <fb>128.19999999999999</fb>
    <v>13</v>
  </rv>
  <rv s="7">
    <fb>46.06</fb>
    <v>13</v>
  </rv>
  <rv s="7">
    <fb>174.58600000000001</fb>
    <v>13</v>
  </rv>
  <rv s="7">
    <fb>45482</fb>
    <v>14</v>
  </rv>
  <rv s="7">
    <fb>262.33</fb>
    <v>13</v>
  </rv>
  <rv s="7">
    <fb>199.34</fb>
    <v>13</v>
  </rv>
  <rv s="7">
    <fb>459.54</fb>
    <v>13</v>
  </rv>
  <rv s="7">
    <fb>298.91000000000003</fb>
    <v>13</v>
  </rv>
  <rv s="7">
    <fb>165.66</fb>
    <v>13</v>
  </rv>
  <rv s="7">
    <fb>207.63</fb>
    <v>13</v>
  </rv>
  <rv s="7">
    <fb>492.11</fb>
    <v>13</v>
  </rv>
  <rv s="7">
    <fb>110.94</fb>
    <v>13</v>
  </rv>
  <rv s="7">
    <fb>18.088000000000001</fb>
    <v>13</v>
  </rv>
  <rv s="7">
    <fb>35.659999999999997</fb>
    <v>13</v>
  </rv>
  <rv s="7">
    <fb>158.72</fb>
    <v>13</v>
  </rv>
  <rv s="7">
    <fb>131.38</fb>
    <v>13</v>
  </rv>
  <rv s="7">
    <fb>45.8</fb>
    <v>13</v>
  </rv>
  <rv s="7">
    <fb>173.33099999999999</fb>
    <v>13</v>
  </rv>
  <rv s="7">
    <fb>45483</fb>
    <v>14</v>
  </rv>
  <rv s="7">
    <fb>263.26</fb>
    <v>13</v>
  </rv>
  <rv s="7">
    <fb>199.79</fb>
    <v>13</v>
  </rv>
  <rv s="7">
    <fb>466.25</fb>
    <v>13</v>
  </rv>
  <rv s="7">
    <fb>305.37</fb>
    <v>13</v>
  </rv>
  <rv s="7">
    <fb>166.8</fb>
    <v>13</v>
  </rv>
  <rv s="7">
    <fb>207.8</fb>
    <v>13</v>
  </rv>
  <rv s="7">
    <fb>500.93</fb>
    <v>13</v>
  </rv>
  <rv s="7">
    <fb>111.92</fb>
    <v>13</v>
  </rv>
  <rv s="7">
    <fb>18.545999999999999</fb>
    <v>13</v>
  </rv>
  <rv s="7">
    <fb>36.15</fb>
    <v>13</v>
  </rv>
  <rv s="7">
    <fb>28.35</fb>
    <v>13</v>
  </rv>
  <rv s="7">
    <fb>159.97</fb>
    <v>13</v>
  </rv>
  <rv s="7">
    <fb>134.91</fb>
    <v>13</v>
  </rv>
  <rv s="7">
    <fb>46.27</fb>
    <v>13</v>
  </rv>
  <rv s="7">
    <fb>174.46899999999999</fb>
    <v>13</v>
  </rv>
  <rv s="7">
    <fb>45484</fb>
    <v>14</v>
  </rv>
  <rv s="7">
    <fb>241.03</fb>
    <v>13</v>
  </rv>
  <rv s="7">
    <fb>195.05</fb>
    <v>13</v>
  </rv>
  <rv s="7">
    <fb>454.7</fb>
    <v>13</v>
  </rv>
  <rv s="7">
    <fb>165.54</fb>
    <v>13</v>
  </rv>
  <rv s="7">
    <fb>207.45</fb>
    <v>13</v>
  </rv>
  <rv s="7">
    <fb>504.36</fb>
    <v>13</v>
  </rv>
  <rv s="7">
    <fb>113.25</fb>
    <v>13</v>
  </rv>
  <rv s="7">
    <fb>19.126000000000001</fb>
    <v>13</v>
  </rv>
  <rv s="7">
    <fb>35.880000000000003</fb>
    <v>13</v>
  </rv>
  <rv s="7">
    <fb>162.04</fb>
    <v>13</v>
  </rv>
  <rv s="7">
    <fb>127.4</fb>
    <v>13</v>
  </rv>
  <rv s="7">
    <fb>46.76</fb>
    <v>13</v>
  </rv>
  <rv s="7">
    <fb>170.595</fb>
    <v>13</v>
  </rv>
  <rv s="7">
    <fb>45485</fb>
    <v>14</v>
  </rv>
  <rv s="7">
    <fb>248.23</fb>
    <v>13</v>
  </rv>
  <rv s="7">
    <fb>194.49</fb>
    <v>13</v>
  </rv>
  <rv s="7">
    <fb>453.55</fb>
    <v>13</v>
  </rv>
  <rv s="7">
    <fb>318.37</fb>
    <v>13</v>
  </rv>
  <rv s="7">
    <fb>166.61</fb>
    <v>13</v>
  </rv>
  <rv s="7">
    <fb>204.94</fb>
    <v>13</v>
  </rv>
  <rv s="7">
    <fb>511.53</fb>
    <v>13</v>
  </rv>
  <rv s="7">
    <fb>113.27</fb>
    <v>13</v>
  </rv>
  <rv s="7">
    <fb>19.213999999999999</fb>
    <v>13</v>
  </rv>
  <rv s="7">
    <fb>36.31</fb>
    <v>13</v>
  </rv>
  <rv s="7">
    <fb>163.69</fb>
    <v>13</v>
  </rv>
  <rv s="7">
    <fb>129.24</fb>
    <v>13</v>
  </rv>
  <rv s="7">
    <fb>170.06700000000001</fb>
    <v>13</v>
  </rv>
  <rv s="7">
    <fb>45488</fb>
    <v>14</v>
  </rv>
  <rv s="7">
    <fb>252.64</fb>
    <v>13</v>
  </rv>
  <rv s="7">
    <fb>192.72</fb>
    <v>13</v>
  </rv>
  <rv s="7">
    <fb>453.96</fb>
    <v>13</v>
  </rv>
  <rv s="7">
    <fb>318.47000000000003</fb>
    <v>13</v>
  </rv>
  <rv s="7">
    <fb>164.58</fb>
    <v>13</v>
  </rv>
  <rv s="7">
    <fb>210.05</fb>
    <v>13</v>
  </rv>
  <rv s="7">
    <fb>515.37</fb>
    <v>13</v>
  </rv>
  <rv s="7">
    <fb>115.21</fb>
    <v>13</v>
  </rv>
  <rv s="7">
    <fb>29.1</fb>
    <v>13</v>
  </rv>
  <rv s="7">
    <fb>166.91</fb>
    <v>13</v>
  </rv>
  <rv s="7">
    <fb>128.44</fb>
    <v>13</v>
  </rv>
  <rv s="7">
    <fb>47.4</fb>
    <v>13</v>
  </rv>
  <rv s="7">
    <fb>171.42</fb>
    <v>13</v>
  </rv>
  <rv s="7">
    <fb>45489</fb>
    <v>14</v>
  </rv>
  <rv s="7">
    <fb>256.56</fb>
    <v>13</v>
  </rv>
  <rv s="7">
    <fb>193.02</fb>
    <v>13</v>
  </rv>
  <rv s="7">
    <fb>449.52</fb>
    <v>13</v>
  </rv>
  <rv s="7">
    <fb>326.39999999999998</fb>
    <v>13</v>
  </rv>
  <rv s="7">
    <fb>166.95</fb>
    <v>13</v>
  </rv>
  <rv s="7">
    <fb>213.62</fb>
    <v>13</v>
  </rv>
  <rv s="7">
    <fb>548.87</fb>
    <v>13</v>
  </rv>
  <rv s="7">
    <fb>116.04</fb>
    <v>13</v>
  </rv>
  <rv s="7">
    <fb>19.225999999999999</fb>
    <v>13</v>
  </rv>
  <rv s="7">
    <fb>36.44</fb>
    <v>13</v>
  </rv>
  <rv s="7">
    <fb>29.5</fb>
    <v>13</v>
  </rv>
  <rv s="7">
    <fb>126.36</fb>
    <v>13</v>
  </rv>
  <rv s="7">
    <fb>169.375</fb>
    <v>13</v>
  </rv>
  <rv s="7">
    <fb>45490</fb>
    <v>14</v>
  </rv>
  <rv s="7">
    <fb>248.5</fb>
    <v>13</v>
  </rv>
  <rv s="7">
    <fb>187.93</fb>
    <v>13</v>
  </rv>
  <rv s="7">
    <fb>443.52</fb>
    <v>13</v>
  </rv>
  <rv s="7">
    <fb>325.8</fb>
    <v>13</v>
  </rv>
  <rv s="7">
    <fb>169.44</fb>
    <v>13</v>
  </rv>
  <rv s="7">
    <fb>216.87</fb>
    <v>13</v>
  </rv>
  <rv s="7">
    <fb>573.28</fb>
    <v>13</v>
  </rv>
  <rv s="7">
    <fb>117.64</fb>
    <v>13</v>
  </rv>
  <rv s="7">
    <fb>19.192</fb>
    <v>13</v>
  </rv>
  <rv s="7">
    <fb>36.04</fb>
    <v>13</v>
  </rv>
  <rv s="7">
    <fb>30.03</fb>
    <v>13</v>
  </rv>
  <rv s="7">
    <fb>170.7</fb>
    <v>13</v>
  </rv>
  <rv s="7">
    <fb>117.99</fb>
    <v>13</v>
  </rv>
  <rv s="7">
    <fb>48.52</fb>
    <v>13</v>
  </rv>
  <rv s="7">
    <fb>155.97999999999999</fb>
    <v>13</v>
  </rv>
  <rv s="7">
    <fb>45491</fb>
    <v>14</v>
  </rv>
  <rv s="7">
    <fb>249.23</fb>
    <v>13</v>
  </rv>
  <rv s="7">
    <fb>183.75</fb>
    <v>13</v>
  </rv>
  <rv s="7">
    <fb>440.37</fb>
    <v>13</v>
  </rv>
  <rv s="7">
    <fb>325.45999999999998</fb>
    <v>13</v>
  </rv>
  <rv s="7">
    <fb>168.44</fb>
    <v>13</v>
  </rv>
  <rv s="7">
    <fb>209.98</fb>
    <v>13</v>
  </rv>
  <rv s="7">
    <fb>564.34</fb>
    <v>13</v>
  </rv>
  <rv s="7">
    <fb>118.8</fb>
    <v>13</v>
  </rv>
  <rv s="7">
    <fb>18.64</fb>
    <v>13</v>
  </rv>
  <rv s="7">
    <fb>35.9</fb>
    <v>13</v>
  </rv>
  <rv s="7">
    <fb>29.71</fb>
    <v>13</v>
  </rv>
  <rv s="7">
    <fb>176.69</fb>
    <v>13</v>
  </rv>
  <rv s="7">
    <fb>121.09</fb>
    <v>13</v>
  </rv>
  <rv s="7">
    <fb>48.04</fb>
    <v>13</v>
  </rv>
  <rv s="7">
    <fb>160.52000000000001</fb>
    <v>13</v>
  </rv>
  <rv s="7">
    <fb>45492</fb>
    <v>14</v>
  </rv>
  <rv s="7">
    <fb>239.2</fb>
    <v>13</v>
  </rv>
  <rv s="7">
    <fb>437.11</fb>
    <v>13</v>
  </rv>
  <rv s="7">
    <fb>321.85000000000002</fb>
    <v>13</v>
  </rv>
  <rv s="7">
    <fb>167.96</fb>
    <v>13</v>
  </rv>
  <rv s="7">
    <fb>209.78</fb>
    <v>13</v>
  </rv>
  <rv s="7">
    <fb>565.33000000000004</fb>
    <v>13</v>
  </rv>
  <rv s="7">
    <fb>116.07</fb>
    <v>13</v>
  </rv>
  <rv s="7">
    <fb>18.565999999999999</fb>
    <v>13</v>
  </rv>
  <rv s="7">
    <fb>35.74</fb>
    <v>13</v>
  </rv>
  <rv s="7">
    <fb>29.97</fb>
    <v>13</v>
  </rv>
  <rv s="7">
    <fb>174.38</fb>
    <v>13</v>
  </rv>
  <rv s="7">
    <fb>117.93</fb>
    <v>13</v>
  </rv>
  <rv s="7">
    <fb>47.32</fb>
    <v>13</v>
  </rv>
  <rv s="7">
    <fb>157.35</fb>
    <v>13</v>
  </rv>
  <rv s="7">
    <fb>45495</fb>
    <v>14</v>
  </rv>
  <rv s="7">
    <fb>251.51</fb>
    <v>13</v>
  </rv>
  <rv s="7">
    <fb>182.55</fb>
    <v>13</v>
  </rv>
  <rv s="7">
    <fb>442.94</fb>
    <v>13</v>
  </rv>
  <rv s="7">
    <fb>322.35000000000002</fb>
    <v>13</v>
  </rv>
  <rv s="7">
    <fb>168.25</fb>
    <v>13</v>
  </rv>
  <rv s="7">
    <fb>210.28</fb>
    <v>13</v>
  </rv>
  <rv s="7">
    <fb>558.53</fb>
    <v>13</v>
  </rv>
  <rv s="7">
    <fb>115.27</fb>
    <v>13</v>
  </rv>
  <rv s="7">
    <fb>18.562000000000001</fb>
    <v>13</v>
  </rv>
  <rv s="7">
    <fb>36.19</fb>
    <v>13</v>
  </rv>
  <rv s="7">
    <fb>174.83</fb>
    <v>13</v>
  </rv>
  <rv s="7">
    <fb>46.82</fb>
    <v>13</v>
  </rv>
  <rv s="7">
    <fb>161.06</fb>
    <v>13</v>
  </rv>
  <rv s="7">
    <fb>45496</fb>
    <v>14</v>
  </rv>
  <rv s="7">
    <fb>246.38</fb>
    <v>13</v>
  </rv>
  <rv s="7">
    <fb>186.41</fb>
    <v>13</v>
  </rv>
  <rv s="7">
    <fb>444.85</fb>
    <v>13</v>
  </rv>
  <rv s="7">
    <fb>344.5</fb>
    <v>13</v>
  </rv>
  <rv s="7">
    <fb>210.33</fb>
    <v>13</v>
  </rv>
  <rv s="7">
    <fb>554.70000000000005</fb>
    <v>13</v>
  </rv>
  <rv s="7">
    <fb>113.41</fb>
    <v>13</v>
  </rv>
  <rv s="7">
    <fb>18.334</fb>
    <v>13</v>
  </rv>
  <rv s="7">
    <fb>35.67</fb>
    <v>13</v>
  </rv>
  <rv s="7">
    <fb>173.6</fb>
    <v>13</v>
  </rv>
  <rv s="7">
    <fb>122.59</fb>
    <v>13</v>
  </rv>
  <rv s="7">
    <fb>46.36</fb>
    <v>13</v>
  </rv>
  <rv s="7">
    <fb>163.77000000000001</fb>
    <v>13</v>
  </rv>
  <rv s="7">
    <fb>45497</fb>
    <v>14</v>
  </rv>
  <rv s="7">
    <fb>215.99</fb>
    <v>13</v>
  </rv>
  <rv s="7">
    <fb>180.83</fb>
    <v>13</v>
  </rv>
  <rv s="7">
    <fb>428.9</fb>
    <v>13</v>
  </rv>
  <rv s="7">
    <fb>332.02</fb>
    <v>13</v>
  </rv>
  <rv s="7">
    <fb>168</fb>
    <v>13</v>
  </rv>
  <rv s="7">
    <fb>208.59</fb>
    <v>13</v>
  </rv>
  <rv s="7">
    <fb>559.75</fb>
    <v>13</v>
  </rv>
  <rv s="7">
    <fb>115.01</fb>
    <v>13</v>
  </rv>
  <rv s="7">
    <fb>17.838000000000001</fb>
    <v>13</v>
  </rv>
  <rv s="7">
    <fb>35.06</fb>
    <v>13</v>
  </rv>
  <rv s="7">
    <fb>29.98</fb>
    <v>13</v>
  </rv>
  <rv s="7">
    <fb>114.25</fb>
    <v>13</v>
  </rv>
  <rv s="7">
    <fb>46.85</fb>
    <v>13</v>
  </rv>
  <rv s="7">
    <fb>151.34</fb>
    <v>13</v>
  </rv>
  <rv s="7">
    <fb>45498</fb>
    <v>14</v>
  </rv>
  <rv s="7">
    <fb>220.25</fb>
    <v>13</v>
  </rv>
  <rv s="7">
    <fb>179.85</fb>
    <v>13</v>
  </rv>
  <rv s="7">
    <fb>418.4</fb>
    <v>13</v>
  </rv>
  <rv s="7">
    <fb>342.74</fb>
    <v>13</v>
  </rv>
  <rv s="7">
    <fb>166.9</fb>
    <v>13</v>
  </rv>
  <rv s="7">
    <fb>208.67</fb>
    <v>13</v>
  </rv>
  <rv s="7">
    <fb>559.67999999999995</fb>
    <v>13</v>
  </rv>
  <rv s="7">
    <fb>117.43</fb>
    <v>13</v>
  </rv>
  <rv s="7">
    <fb>34.950000000000003</fb>
    <v>13</v>
  </rv>
  <rv s="7">
    <fb>30.18</fb>
    <v>13</v>
  </rv>
  <rv s="7">
    <fb>165.4</fb>
    <v>13</v>
  </rv>
  <rv s="7">
    <fb>112.28</fb>
    <v>13</v>
  </rv>
  <rv s="7">
    <fb>47.24</fb>
    <v>13</v>
  </rv>
  <rv s="7">
    <fb>149.26</fb>
    <v>13</v>
  </rv>
  <rv s="7">
    <fb>45499</fb>
    <v>14</v>
  </rv>
  <rv s="7">
    <fb>219.8</fb>
    <v>13</v>
  </rv>
  <rv s="7">
    <fb>182.5</fb>
    <v>13</v>
  </rv>
  <rv s="7">
    <fb>425.27</fb>
    <v>13</v>
  </rv>
  <rv s="7">
    <fb>349.22</fb>
    <v>13</v>
  </rv>
  <rv s="7">
    <fb>212.24</fb>
    <v>13</v>
  </rv>
  <rv s="7">
    <fb>569.72</fb>
    <v>13</v>
  </rv>
  <rv s="7">
    <fb>117.33</fb>
    <v>13</v>
  </rv>
  <rv s="7">
    <fb>17.463999999999999</fb>
    <v>13</v>
  </rv>
  <rv s="7">
    <fb>35.46</fb>
    <v>13</v>
  </rv>
  <rv s="7">
    <fb>30.77</fb>
    <v>13</v>
  </rv>
  <rv s="7">
    <fb>169.17</fb>
    <v>13</v>
  </rv>
  <rv s="7">
    <fb>113.06</fb>
    <v>13</v>
  </rv>
  <rv s="7">
    <fb>47.88</fb>
    <v>13</v>
  </rv>
  <rv s="7">
    <fb>151.63</fb>
    <v>13</v>
  </rv>
  <rv s="7">
    <fb>45502</fb>
    <v>14</v>
  </rv>
  <rv s="7">
    <fb>232.1</fb>
    <v>13</v>
  </rv>
  <rv s="7">
    <fb>183.2</fb>
    <v>13</v>
  </rv>
  <rv s="7">
    <fb>426.73</fb>
    <v>13</v>
  </rv>
  <rv s="7">
    <fb>352.55</fb>
    <v>13</v>
  </rv>
  <rv s="7">
    <fb>169.93</fb>
    <v>13</v>
  </rv>
  <rv s="7">
    <fb>210.85</fb>
    <v>13</v>
  </rv>
  <rv s="7">
    <fb>566.75</fb>
    <v>13</v>
  </rv>
  <rv s="7">
    <fb>116.1</fb>
    <v>13</v>
  </rv>
  <rv s="7">
    <fb>17.28</fb>
    <v>13</v>
  </rv>
  <rv s="7">
    <fb>35.26</fb>
    <v>13</v>
  </rv>
  <rv s="7">
    <fb>30.72</fb>
    <v>13</v>
  </rv>
  <rv s="7">
    <fb>169.23</fb>
    <v>13</v>
  </rv>
  <rv s="7">
    <fb>111.59</fb>
    <v>13</v>
  </rv>
  <rv s="7">
    <fb>47.99</fb>
    <v>13</v>
  </rv>
  <rv s="7">
    <fb>150.22</fb>
    <v>13</v>
  </rv>
  <rv s="7">
    <fb>45503</fb>
    <v>14</v>
  </rv>
  <rv s="7">
    <fb>222.62</fb>
    <v>13</v>
  </rv>
  <rv s="7">
    <fb>181.71</fb>
    <v>13</v>
  </rv>
  <rv s="7">
    <fb>422.92</fb>
    <v>13</v>
  </rv>
  <rv s="7">
    <fb>351.84</fb>
    <v>13</v>
  </rv>
  <rv s="7">
    <fb>161.69999999999999</fb>
    <v>13</v>
  </rv>
  <rv s="7">
    <fb>215.19</fb>
    <v>13</v>
  </rv>
  <rv s="7">
    <fb>576.33000000000004</fb>
    <v>13</v>
  </rv>
  <rv s="7">
    <fb>118.17</fb>
    <v>13</v>
  </rv>
  <rv s="7">
    <fb>17.675999999999998</fb>
    <v>13</v>
  </rv>
  <rv s="7">
    <fb>36.75</fb>
    <v>13</v>
  </rv>
  <rv s="7">
    <fb>31.39</fb>
    <v>13</v>
  </rv>
  <rv s="7">
    <fb>173.59</fb>
    <v>13</v>
  </rv>
  <rv s="7">
    <fb>103.73</fb>
    <v>13</v>
  </rv>
  <rv s="7">
    <fb>143.52000000000001</fb>
    <v>13</v>
  </rv>
  <rv s="7">
    <fb>45504</fb>
    <v>14</v>
  </rv>
  <rv s="7">
    <fb>232.07</fb>
    <v>13</v>
  </rv>
  <rv s="7">
    <fb>186.98</fb>
    <v>13</v>
  </rv>
  <rv s="7">
    <fb>418.35</fb>
    <v>13</v>
  </rv>
  <rv s="7">
    <fb>350.8</fb>
    <v>13</v>
  </rv>
  <rv s="7">
    <fb>160.76</fb>
    <v>13</v>
  </rv>
  <rv s="7">
    <fb>212.8</fb>
    <v>13</v>
  </rv>
  <rv s="7">
    <fb>576.16</fb>
    <v>13</v>
  </rv>
  <rv s="7">
    <fb>118.59</fb>
    <v>13</v>
  </rv>
  <rv s="7">
    <fb>17.718</fb>
    <v>13</v>
  </rv>
  <rv s="7">
    <fb>37.799999999999997</fb>
    <v>13</v>
  </rv>
  <rv s="7">
    <fb>30.54</fb>
    <v>13</v>
  </rv>
  <rv s="7">
    <fb>171.12</fb>
    <v>13</v>
  </rv>
  <rv s="7">
    <fb>117.02</fb>
    <v>13</v>
  </rv>
  <rv s="7">
    <fb>48.45</fb>
    <v>13</v>
  </rv>
  <rv s="7">
    <fb>160.68</fb>
    <v>13</v>
  </rv>
  <rv s="7">
    <fb>45505</fb>
    <v>14</v>
  </rv>
  <rv s="7">
    <fb>216.86</fb>
    <v>13</v>
  </rv>
  <rv s="7">
    <fb>184.07</fb>
    <v>13</v>
  </rv>
  <rv s="7">
    <fb>417.11</fb>
    <v>13</v>
  </rv>
  <rv s="7">
    <fb>350.38</fb>
    <v>13</v>
  </rv>
  <rv s="7">
    <fb>165.69</fb>
    <v>13</v>
  </rv>
  <rv s="7">
    <fb>207.96</fb>
    <v>13</v>
  </rv>
  <rv s="7">
    <fb>572.77</fb>
    <v>13</v>
  </rv>
  <rv s="7">
    <fb>116.95</fb>
    <v>13</v>
  </rv>
  <rv s="7">
    <fb>16.986000000000001</fb>
    <v>13</v>
  </rv>
  <rv s="7">
    <fb>35.94</fb>
    <v>13</v>
  </rv>
  <rv s="7">
    <fb>30.65</fb>
    <v>13</v>
  </rv>
  <rv s="7">
    <fb>177.38</fb>
    <v>13</v>
  </rv>
  <rv s="7">
    <fb>109.21</fb>
    <v>13</v>
  </rv>
  <rv s="7">
    <fb>47.39</fb>
    <v>13</v>
  </rv>
  <rv s="7">
    <fb>147.02000000000001</fb>
    <v>13</v>
  </rv>
  <rv s="7">
    <fb>45506</fb>
    <v>14</v>
  </rv>
  <rv s="7">
    <fb>207.67</fb>
    <v>13</v>
  </rv>
  <rv s="7">
    <fb>167.9</fb>
    <v>13</v>
  </rv>
  <rv s="7">
    <fb>408.49</fb>
    <v>13</v>
  </rv>
  <rv s="7">
    <fb>347.25</fb>
    <v>13</v>
  </rv>
  <rv s="7">
    <fb>199.14</fb>
    <v>13</v>
  </rv>
  <rv s="7">
    <fb>589.83000000000004</fb>
    <v>13</v>
  </rv>
  <rv s="7">
    <fb>116.88</fb>
    <v>13</v>
  </rv>
  <rv s="7">
    <fb>16.321999999999999</fb>
    <v>13</v>
  </rv>
  <rv s="7">
    <fb>36.07</fb>
    <v>13</v>
  </rv>
  <rv s="7">
    <fb>30.43</fb>
    <v>13</v>
  </rv>
  <rv s="7">
    <fb>107.27</fb>
    <v>13</v>
  </rv>
  <rv s="7">
    <fb>46.66</fb>
    <v>13</v>
  </rv>
  <rv s="7">
    <fb>143.82</fb>
    <v>13</v>
  </rv>
  <rv s="7">
    <fb>45509</fb>
    <v>14</v>
  </rv>
  <rv s="7">
    <fb>161.02000000000001</fb>
    <v>13</v>
  </rv>
  <rv s="7">
    <fb>395.15</fb>
    <v>13</v>
  </rv>
  <rv s="7">
    <fb>339.09</fb>
    <v>13</v>
  </rv>
  <rv s="7">
    <fb>168.06</fb>
    <v>13</v>
  </rv>
  <rv s="7">
    <fb>194.9</fb>
    <v>13</v>
  </rv>
  <rv s="7">
    <fb>569.96</fb>
    <v>13</v>
  </rv>
  <rv s="7">
    <fb>114.77</fb>
    <v>13</v>
  </rv>
  <rv s="7">
    <fb>16.475999999999999</fb>
    <v>13</v>
  </rv>
  <rv s="7">
    <fb>29.74</fb>
    <v>13</v>
  </rv>
  <rv s="7">
    <fb>169.02</fb>
    <v>13</v>
  </rv>
  <rv s="7">
    <fb>100.45</fb>
    <v>13</v>
  </rv>
  <rv s="7">
    <fb>44.74</fb>
    <v>13</v>
  </rv>
  <rv s="7">
    <fb>142.08000000000001</fb>
    <v>13</v>
  </rv>
  <rv s="7">
    <fb>45510</fb>
    <v>14</v>
  </rv>
  <rv s="7">
    <fb>200.64</fb>
    <v>13</v>
  </rv>
  <rv s="7">
    <fb>399.61</fb>
    <v>13</v>
  </rv>
  <rv s="7">
    <fb>344.12</fb>
    <v>13</v>
  </rv>
  <rv s="7">
    <fb>168.09</fb>
    <v>13</v>
  </rv>
  <rv s="7">
    <fb>200.34</fb>
    <v>13</v>
  </rv>
  <rv s="7">
    <fb>568.35</fb>
    <v>13</v>
  </rv>
  <rv s="7">
    <fb>114.16</fb>
    <v>13</v>
  </rv>
  <rv s="7">
    <fb>16.61</fb>
    <v>13</v>
  </rv>
  <rv s="7">
    <fb>36.35</fb>
    <v>13</v>
  </rv>
  <rv s="7">
    <fb>29.32</fb>
    <v>13</v>
  </rv>
  <rv s="7">
    <fb>169.79</fb>
    <v>13</v>
  </rv>
  <rv s="7">
    <fb>104.25</fb>
    <v>13</v>
  </rv>
  <rv s="7">
    <fb>45.16</fb>
    <v>13</v>
  </rv>
  <rv s="7">
    <fb>143.91999999999999</fb>
    <v>13</v>
  </rv>
  <rv s="7">
    <fb>45511</fb>
    <v>14</v>
  </rv>
  <rv s="7">
    <fb>191.76</fb>
    <v>13</v>
  </rv>
  <rv s="7">
    <fb>162.77000000000001</fb>
    <v>13</v>
  </rv>
  <rv s="7">
    <fb>398.43</fb>
    <v>13</v>
  </rv>
  <rv s="7">
    <fb>339.71</fb>
    <v>13</v>
  </rv>
  <rv s="7">
    <fb>170.02</fb>
    <v>13</v>
  </rv>
  <rv s="7">
    <fb>200.4</fb>
    <v>13</v>
  </rv>
  <rv s="7">
    <fb>566.08000000000004</fb>
    <v>13</v>
  </rv>
  <rv s="7">
    <fb>115.68</fb>
    <v>13</v>
  </rv>
  <rv s="7">
    <fb>16.911999999999999</fb>
    <v>13</v>
  </rv>
  <rv s="7">
    <fb>28.85</fb>
    <v>13</v>
  </rv>
  <rv s="7">
    <fb>170.67</fb>
    <v>13</v>
  </rv>
  <rv s="7">
    <fb>98.91</fb>
    <v>13</v>
  </rv>
  <rv s="7">
    <fb>45.12</fb>
    <v>13</v>
  </rv>
  <rv s="7">
    <fb>136.27000000000001</fb>
    <v>13</v>
  </rv>
  <rv s="7">
    <fb>45512</fb>
    <v>14</v>
  </rv>
  <rv s="7">
    <fb>198.84</fb>
    <v>13</v>
  </rv>
  <rv s="7">
    <fb>165.8</fb>
    <v>13</v>
  </rv>
  <rv s="7">
    <fb>402.69</fb>
    <v>13</v>
  </rv>
  <rv s="7">
    <fb>342.71</fb>
    <v>13</v>
  </rv>
  <rv s="7">
    <fb>170.87</fb>
    <v>13</v>
  </rv>
  <rv s="7">
    <fb>204.06</fb>
    <v>13</v>
  </rv>
  <rv s="7">
    <fb>566.24</fb>
    <v>13</v>
  </rv>
  <rv s="7">
    <fb>117.89</fb>
    <v>13</v>
  </rv>
  <rv s="7">
    <fb>16.885999999999999</fb>
    <v>13</v>
  </rv>
  <rv s="7">
    <fb>36.630000000000003</fb>
    <v>13</v>
  </rv>
  <rv s="7">
    <fb>28.76</fb>
    <v>13</v>
  </rv>
  <rv s="7">
    <fb>170.52</fb>
    <v>13</v>
  </rv>
  <rv s="7">
    <fb>104.97</fb>
    <v>13</v>
  </rv>
  <rv s="7">
    <fb>45.83</fb>
    <v>13</v>
  </rv>
  <rv s="7">
    <fb>145.74</fb>
    <v>13</v>
  </rv>
  <rv s="7">
    <fb>45513</fb>
    <v>14</v>
  </rv>
  <rv s="7">
    <fb>166.94</fb>
    <v>13</v>
  </rv>
  <rv s="7">
    <fb>406.02</fb>
    <v>13</v>
  </rv>
  <rv s="7">
    <fb>345.64</fb>
    <v>13</v>
  </rv>
  <rv s="7">
    <fb>170.54</fb>
    <v>13</v>
  </rv>
  <rv s="7">
    <fb>205.8</fb>
    <v>13</v>
  </rv>
  <rv s="7">
    <fb>558.76</fb>
    <v>13</v>
  </rv>
  <rv s="7">
    <fb>118.85</fb>
    <v>13</v>
  </rv>
  <rv s="7">
    <fb>16.88</fb>
    <v>13</v>
  </rv>
  <rv s="7">
    <fb>36.82</fb>
    <v>13</v>
  </rv>
  <rv s="7">
    <fb>28.55</fb>
    <v>13</v>
  </rv>
  <rv s="7">
    <fb>171.03</fb>
    <v>13</v>
  </rv>
  <rv s="7">
    <fb>104.75</fb>
    <v>13</v>
  </rv>
  <rv s="7">
    <fb>45.47</fb>
    <v>13</v>
  </rv>
  <rv s="7">
    <fb>148.26</fb>
    <v>13</v>
  </rv>
  <rv s="7">
    <fb>45516</fb>
    <v>14</v>
  </rv>
  <rv s="7">
    <fb>197.49</fb>
    <v>13</v>
  </rv>
  <rv s="7">
    <fb>406.81</fb>
    <v>13</v>
  </rv>
  <rv s="7">
    <fb>343.24</fb>
    <v>13</v>
  </rv>
  <rv s="7">
    <fb>206.19</fb>
    <v>13</v>
  </rv>
  <rv s="7">
    <fb>565.29</fb>
    <v>13</v>
  </rv>
  <rv s="7">
    <fb>119</fb>
    <v>13</v>
  </rv>
  <rv s="7">
    <fb>16.943999999999999</fb>
    <v>13</v>
  </rv>
  <rv s="7">
    <fb>36.549999999999997</fb>
    <v>13</v>
  </rv>
  <rv s="7">
    <fb>28.45</fb>
    <v>13</v>
  </rv>
  <rv s="7">
    <fb>171.36</fb>
    <v>13</v>
  </rv>
  <rv s="7">
    <fb>44.86</fb>
    <v>13</v>
  </rv>
  <rv s="7">
    <fb>148.62</fb>
    <v>13</v>
  </rv>
  <rv s="7">
    <fb>45517</fb>
    <v>14</v>
  </rv>
  <rv s="7">
    <fb>207.83</fb>
    <v>13</v>
  </rv>
  <rv s="7">
    <fb>170.23</fb>
    <v>13</v>
  </rv>
  <rv s="7">
    <fb>414.01</fb>
    <v>13</v>
  </rv>
  <rv s="7">
    <fb>349.08</fb>
    <v>13</v>
  </rv>
  <rv s="7">
    <fb>167.29</fb>
    <v>13</v>
  </rv>
  <rv s="7">
    <fb>207.94</fb>
    <v>13</v>
  </rv>
  <rv s="7">
    <fb>574.24</fb>
    <v>13</v>
  </rv>
  <rv s="7">
    <fb>117.86</fb>
    <v>13</v>
  </rv>
  <rv s="7">
    <fb>17.812000000000001</fb>
    <v>13</v>
  </rv>
  <rv s="7">
    <fb>36.982500000000002</fb>
    <v>13</v>
  </rv>
  <rv s="7">
    <fb>116.14</fb>
    <v>13</v>
  </rv>
  <rv s="7">
    <fb>45.37</fb>
    <v>13</v>
  </rv>
  <rv s="7">
    <fb>156.16</fb>
    <v>13</v>
  </rv>
  <rv s="7">
    <fb>45518</fb>
    <v>14</v>
  </rv>
  <rv s="7">
    <fb>201.38</fb>
    <v>13</v>
  </rv>
  <rv s="7">
    <fb>170.1</fb>
    <v>13</v>
  </rv>
  <rv s="7">
    <fb>416.86</fb>
    <v>13</v>
  </rv>
  <rv s="7">
    <fb>352.15</fb>
    <v>13</v>
  </rv>
  <rv s="7">
    <fb>168.8</fb>
    <v>13</v>
  </rv>
  <rv s="7">
    <fb>210.24</fb>
    <v>13</v>
  </rv>
  <rv s="7">
    <fb>579.66999999999996</fb>
    <v>13</v>
  </rv>
  <rv s="7">
    <fb>118.95</fb>
    <v>13</v>
  </rv>
  <rv s="7">
    <fb>17.797999999999998</fb>
    <v>13</v>
  </rv>
  <rv s="7">
    <fb>37.090000000000003</fb>
    <v>13</v>
  </rv>
  <rv s="7">
    <fb>180.95</fb>
    <v>13</v>
  </rv>
  <rv s="7">
    <fb>118.08</fb>
    <v>13</v>
  </rv>
  <rv s="7">
    <fb>45.44</fb>
    <v>13</v>
  </rv>
  <rv s="7">
    <fb>157.69</fb>
    <v>13</v>
  </rv>
  <rv s="7">
    <fb>45519</fb>
    <v>14</v>
  </rv>
  <rv s="7">
    <fb>214.14</fb>
    <v>13</v>
  </rv>
  <rv s="7">
    <fb>177.59</fb>
    <v>13</v>
  </rv>
  <rv s="7">
    <fb>421.03</fb>
    <v>13</v>
  </rv>
  <rv s="7">
    <fb>356.47</fb>
    <v>13</v>
  </rv>
  <rv s="7">
    <fb>167.92</fb>
    <v>13</v>
  </rv>
  <rv s="7">
    <fb>211.55</fb>
    <v>13</v>
  </rv>
  <rv s="7">
    <fb>579.61</fb>
    <v>13</v>
  </rv>
  <rv s="7">
    <fb>118.73</fb>
    <v>13</v>
  </rv>
  <rv s="7">
    <fb>17.692</fb>
    <v>13</v>
  </rv>
  <rv s="7">
    <fb>37.57</fb>
    <v>13</v>
  </rv>
  <rv s="7">
    <fb>28.71</fb>
    <v>13</v>
  </rv>
  <rv s="7">
    <fb>178.11</fb>
    <v>13</v>
  </rv>
  <rv s="7">
    <fb>122.86</fb>
    <v>13</v>
  </rv>
  <rv s="7">
    <fb>48.53</fb>
    <v>13</v>
  </rv>
  <rv s="7">
    <fb>166.13</fb>
    <v>13</v>
  </rv>
  <rv s="7">
    <fb>45520</fb>
    <v>14</v>
  </rv>
  <rv s="7">
    <fb>216.12</fb>
    <v>13</v>
  </rv>
  <rv s="7">
    <fb>177.06</fb>
    <v>13</v>
  </rv>
  <rv s="7">
    <fb>418.47</fb>
    <v>13</v>
  </rv>
  <rv s="7">
    <fb>354.4</fb>
    <v>13</v>
  </rv>
  <rv s="7">
    <fb>167.89</fb>
    <v>13</v>
  </rv>
  <rv s="7">
    <fb>213.97</fb>
    <v>13</v>
  </rv>
  <rv s="7">
    <fb>577.67999999999995</fb>
    <v>13</v>
  </rv>
  <rv s="7">
    <fb>18.047999999999998</fb>
    <v>13</v>
  </rv>
  <rv s="7">
    <fb>37.909999999999997</fb>
    <v>13</v>
  </rv>
  <rv s="7">
    <fb>179.64</fb>
    <v>13</v>
  </rv>
  <rv s="7">
    <fb>124.58</fb>
    <v>13</v>
  </rv>
  <rv s="7">
    <fb>49.46</fb>
    <v>13</v>
  </rv>
  <rv s="7">
    <fb>165.72</fb>
    <v>13</v>
  </rv>
  <rv s="7">
    <fb>45523</fb>
    <v>14</v>
  </rv>
  <rv s="7">
    <fb>222.72</fb>
    <v>13</v>
  </rv>
  <rv s="7">
    <fb>421.53</fb>
    <v>13</v>
  </rv>
  <rv s="7">
    <fb>356</fb>
    <v>13</v>
  </rv>
  <rv s="7">
    <fb>168.42</fb>
    <v>13</v>
  </rv>
  <rv s="7">
    <fb>215.45</fb>
    <v>13</v>
  </rv>
  <rv s="7">
    <fb>578.78</fb>
    <v>13</v>
  </rv>
  <rv s="7">
    <fb>118.53</fb>
    <v>13</v>
  </rv>
  <rv s="7">
    <fb>18.29</fb>
    <v>13</v>
  </rv>
  <rv s="7">
    <fb>38.340000000000003</fb>
    <v>13</v>
  </rv>
  <rv s="7">
    <fb>180.62</fb>
    <v>13</v>
  </rv>
  <rv s="7">
    <fb>130</fb>
    <v>13</v>
  </rv>
  <rv s="7">
    <fb>49.98</fb>
    <v>13</v>
  </rv>
  <rv s="7">
    <fb>167.71</fb>
    <v>13</v>
  </rv>
  <rv s="7">
    <fb>45524</fb>
    <v>14</v>
  </rv>
  <rv s="7">
    <fb>221.1</fb>
    <v>13</v>
  </rv>
  <rv s="7">
    <fb>178.88</fb>
    <v>13</v>
  </rv>
  <rv s="7">
    <fb>424.8</fb>
    <v>13</v>
  </rv>
  <rv s="7">
    <fb>355.34</fb>
    <v>13</v>
  </rv>
  <rv s="7">
    <fb>170.41</fb>
    <v>13</v>
  </rv>
  <rv s="7">
    <fb>214.52</fb>
    <v>13</v>
  </rv>
  <rv s="7">
    <fb>580.65</fb>
    <v>13</v>
  </rv>
  <rv s="7">
    <fb>114.58</fb>
    <v>13</v>
  </rv>
  <rv s="7">
    <fb>18.158000000000001</fb>
    <v>13</v>
  </rv>
  <rv s="7">
    <fb>38.46</fb>
    <v>13</v>
  </rv>
  <rv s="7">
    <fb>28.9</fb>
    <v>13</v>
  </rv>
  <rv s="7">
    <fb>180.41</fb>
    <v>13</v>
  </rv>
  <rv s="7">
    <fb>127.25</fb>
    <v>13</v>
  </rv>
  <rv s="7">
    <fb>50.24</fb>
    <v>13</v>
  </rv>
  <rv s="7">
    <fb>165.95</fb>
    <v>13</v>
  </rv>
  <rv s="7">
    <fb>45525</fb>
    <v>14</v>
  </rv>
  <rv s="7">
    <fb>223.27</fb>
    <v>13</v>
  </rv>
  <rv s="7">
    <fb>424.14</fb>
    <v>13</v>
  </rv>
  <rv s="7">
    <fb>357.97</fb>
    <v>13</v>
  </rv>
  <rv s="7">
    <fb>170.16</fb>
    <v>13</v>
  </rv>
  <rv s="7">
    <fb>214.6</fb>
    <v>13</v>
  </rv>
  <rv s="7">
    <fb>578.07000000000005</fb>
    <v>13</v>
  </rv>
  <rv s="7">
    <fb>113.85</fb>
    <v>13</v>
  </rv>
  <rv s="7">
    <fb>18.558</fb>
    <v>13</v>
  </rv>
  <rv s="7">
    <fb>38.72</fb>
    <v>13</v>
  </rv>
  <rv s="7">
    <fb>29.03</fb>
    <v>13</v>
  </rv>
  <rv s="7">
    <fb>178.84</fb>
    <v>13</v>
  </rv>
  <rv s="7">
    <fb>128.5</fb>
    <v>13</v>
  </rv>
  <rv s="7">
    <fb>50.45</fb>
    <v>13</v>
  </rv>
  <rv s="7">
    <fb>165.78</fb>
    <v>13</v>
  </rv>
  <rv s="7">
    <fb>45526</fb>
    <v>14</v>
  </rv>
  <rv s="7">
    <fb>210.66</fb>
    <v>13</v>
  </rv>
  <rv s="7">
    <fb>176.13</fb>
    <v>13</v>
  </rv>
  <rv s="7">
    <fb>415.55</fb>
    <v>13</v>
  </rv>
  <rv s="7">
    <fb>357.91</fb>
    <v>13</v>
  </rv>
  <rv s="7">
    <fb>170.15</fb>
    <v>13</v>
  </rv>
  <rv s="7">
    <fb>216.63</fb>
    <v>13</v>
  </rv>
  <rv s="7">
    <fb>578.72</fb>
    <v>13</v>
  </rv>
  <rv s="7">
    <fb>114.73</fb>
    <v>13</v>
  </rv>
  <rv s="7">
    <fb>18.257999999999999</fb>
    <v>13</v>
  </rv>
  <rv s="7">
    <fb>38.4</fb>
    <v>13</v>
  </rv>
  <rv s="7">
    <fb>28.78</fb>
    <v>13</v>
  </rv>
  <rv s="7">
    <fb>181.23</fb>
    <v>13</v>
  </rv>
  <rv s="7">
    <fb>123.74</fb>
    <v>13</v>
  </rv>
  <rv s="7">
    <fb>162.34</fb>
    <v>13</v>
  </rv>
  <rv s="7">
    <fb>45527</fb>
    <v>14</v>
  </rv>
  <rv s="7">
    <fb>220.32</fb>
    <v>13</v>
  </rv>
  <rv s="7">
    <fb>177.04</fb>
    <v>13</v>
  </rv>
  <rv s="7">
    <fb>416.79</fb>
    <v>13</v>
  </rv>
  <rv s="7">
    <fb>358.73</fb>
    <v>13</v>
  </rv>
  <rv s="7">
    <fb>218.31</fb>
    <v>13</v>
  </rv>
  <rv s="7">
    <fb>584.51</fb>
    <v>13</v>
  </rv>
  <rv s="7">
    <fb>116.32</fb>
    <v>13</v>
  </rv>
  <rv s="7">
    <fb>18.478000000000002</fb>
    <v>13</v>
  </rv>
  <rv s="7">
    <fb>39.39</fb>
    <v>13</v>
  </rv>
  <rv s="7">
    <fb>180.51</fb>
    <v>13</v>
  </rv>
  <rv s="7">
    <fb>129.37</fb>
    <v>13</v>
  </rv>
  <rv s="7">
    <fb>50.74</fb>
    <v>13</v>
  </rv>
  <rv s="7">
    <fb>166.36</fb>
    <v>13</v>
  </rv>
  <rv s="7">
    <fb>45530</fb>
    <v>14</v>
  </rv>
  <rv s="7">
    <fb>213.21</fb>
    <v>13</v>
  </rv>
  <rv s="7">
    <fb>175.5</fb>
    <v>13</v>
  </rv>
  <rv s="7">
    <fb>413.49</fb>
    <v>13</v>
  </rv>
  <rv s="7">
    <fb>360.69</fb>
    <v>13</v>
  </rv>
  <rv s="7">
    <fb>170.35</fb>
    <v>13</v>
  </rv>
  <rv s="7">
    <fb>219.17</fb>
    <v>13</v>
  </rv>
  <rv s="7">
    <fb>587.13</fb>
    <v>13</v>
  </rv>
  <rv s="7">
    <fb>118.81</fb>
    <v>13</v>
  </rv>
  <rv s="7">
    <fb>39.36</fb>
    <v>13</v>
  </rv>
  <rv s="7">
    <fb>183.09</fb>
    <v>13</v>
  </rv>
  <rv s="7">
    <fb>126.46</fb>
    <v>13</v>
  </rv>
  <rv s="7">
    <fb>50.79</fb>
    <v>13</v>
  </rv>
  <rv s="7">
    <fb>159.62</fb>
    <v>13</v>
  </rv>
  <rv s="7">
    <fb>45531</fb>
    <v>14</v>
  </rv>
  <rv s="7">
    <fb>209.21</fb>
    <v>13</v>
  </rv>
  <rv s="7">
    <fb>173.12</fb>
    <v>13</v>
  </rv>
  <rv s="7">
    <fb>413.84</fb>
    <v>13</v>
  </rv>
  <rv s="7">
    <fb>359.98</fb>
    <v>13</v>
  </rv>
  <rv s="7">
    <fb>169.25</fb>
    <v>13</v>
  </rv>
  <rv s="7">
    <fb>220.18</fb>
    <v>13</v>
  </rv>
  <rv s="7">
    <fb>587.35</fb>
    <v>13</v>
  </rv>
  <rv s="7">
    <fb>117.68</fb>
    <v>13</v>
  </rv>
  <rv s="7">
    <fb>39.28</fb>
    <v>13</v>
  </rv>
  <rv s="7">
    <fb>185.14</fb>
    <v>13</v>
  </rv>
  <rv s="7">
    <fb>128.30000000000001</fb>
    <v>13</v>
  </rv>
  <rv s="7">
    <fb>50.71</fb>
    <v>13</v>
  </rv>
  <rv s="7">
    <fb>161.38999999999999</fb>
    <v>13</v>
  </rv>
  <rv s="7">
    <fb>45532</fb>
    <v>14</v>
  </rv>
  <rv s="7">
    <fb>205.75</fb>
    <v>13</v>
  </rv>
  <rv s="7">
    <fb>170.8</fb>
    <v>13</v>
  </rv>
  <rv s="7">
    <fb>410.6</fb>
    <v>13</v>
  </rv>
  <rv s="7">
    <fb>361.7</fb>
    <v>13</v>
  </rv>
  <rv s="7">
    <fb>169.06</fb>
    <v>13</v>
  </rv>
  <rv s="7">
    <fb>221.29</fb>
    <v>13</v>
  </rv>
  <rv s="7">
    <fb>588.54</fb>
    <v>13</v>
  </rv>
  <rv s="7">
    <fb>116.52</fb>
    <v>13</v>
  </rv>
  <rv s="7">
    <fb>19.350000000000001</fb>
    <v>13</v>
  </rv>
  <rv s="7">
    <fb>39.07</fb>
    <v>13</v>
  </rv>
  <rv s="7">
    <fb>28.75</fb>
    <v>13</v>
  </rv>
  <rv s="7">
    <fb>125.61</fb>
    <v>13</v>
  </rv>
  <rv s="7">
    <fb>49.85</fb>
    <v>13</v>
  </rv>
  <rv s="7">
    <fb>158.18</fb>
    <v>13</v>
  </rv>
  <rv s="7">
    <fb>45533</fb>
    <v>14</v>
  </rv>
  <rv s="7">
    <fb>206.28</fb>
    <v>13</v>
  </rv>
  <rv s="7">
    <fb>172.12</fb>
    <v>13</v>
  </rv>
  <rv s="7">
    <fb>413.12</fb>
    <v>13</v>
  </rv>
  <rv s="7">
    <fb>360.61</fb>
    <v>13</v>
  </rv>
  <rv s="7">
    <fb>170.03</fb>
    <v>13</v>
  </rv>
  <rv s="7">
    <fb>222.21</fb>
    <v>13</v>
  </rv>
  <rv s="7">
    <fb>591.57000000000005</fb>
    <v>13</v>
  </rv>
  <rv s="7">
    <fb>118.13</fb>
    <v>13</v>
  </rv>
  <rv s="7">
    <fb>19.361999999999998</fb>
    <v>13</v>
  </rv>
  <rv s="7">
    <fb>38.79</fb>
    <v>13</v>
  </rv>
  <rv s="7">
    <fb>28.72</fb>
    <v>13</v>
  </rv>
  <rv s="7">
    <fb>188.35</fb>
    <v>13</v>
  </rv>
  <rv s="7">
    <fb>117.59</fb>
    <v>13</v>
  </rv>
  <rv s="7">
    <fb>50.39</fb>
    <v>13</v>
  </rv>
  <rv s="7">
    <fb>156.93</fb>
    <v>13</v>
  </rv>
  <rv s="7">
    <fb>45534</fb>
    <v>14</v>
  </rv>
  <rv s="7">
    <fb>214.11</fb>
    <v>13</v>
  </rv>
  <rv s="7">
    <fb>178.5</fb>
    <v>13</v>
  </rv>
  <rv s="7">
    <fb>417.14</fb>
    <v>13</v>
  </rv>
  <rv s="7">
    <fb>369.37</fb>
    <v>13</v>
  </rv>
  <rv s="7">
    <fb>171.54</fb>
    <v>13</v>
  </rv>
  <rv s="7">
    <fb>224.8</fb>
    <v>13</v>
  </rv>
  <rv s="7">
    <fb>590.20000000000005</fb>
    <v>13</v>
  </rv>
  <rv s="7">
    <fb>117.94</fb>
    <v>13</v>
  </rv>
  <rv s="7">
    <fb>19.512</fb>
    <v>13</v>
  </rv>
  <rv s="7">
    <fb>29.01</fb>
    <v>13</v>
  </rv>
  <rv s="7">
    <fb>188.94</fb>
    <v>13</v>
  </rv>
  <rv s="7">
    <fb>119.37</fb>
    <v>13</v>
  </rv>
  <rv s="7">
    <fb>50.54</fb>
    <v>13</v>
  </rv>
  <rv s="7">
    <fb>162.82</fb>
    <v>13</v>
  </rv>
  <rv s="7">
    <fb>45538</fb>
    <v>14</v>
  </rv>
  <rv s="7">
    <fb>210.6</fb>
    <v>13</v>
  </rv>
  <rv s="7">
    <fb>176.25</fb>
    <v>13</v>
  </rv>
  <rv s="7">
    <fb>409.44</fb>
    <v>13</v>
  </rv>
  <rv s="7">
    <fb>363.75</fb>
    <v>13</v>
  </rv>
  <rv s="7">
    <fb>174.52</fb>
    <v>13</v>
  </rv>
  <rv s="7">
    <fb>220.3</fb>
    <v>13</v>
  </rv>
  <rv s="7">
    <fb>598.67999999999995</fb>
    <v>13</v>
  </rv>
  <rv s="7">
    <fb>115.47</fb>
    <v>13</v>
  </rv>
  <rv s="7">
    <fb>19.096</fb>
    <v>13</v>
  </rv>
  <rv s="7">
    <fb>36.99</fb>
    <v>13</v>
  </rv>
  <rv s="7">
    <fb>189.2</fb>
    <v>13</v>
  </rv>
  <rv s="7">
    <fb>108</fb>
    <v>13</v>
  </rv>
  <rv s="7">
    <fb>50.06</fb>
    <v>13</v>
  </rv>
  <rv s="7">
    <fb>152.79</fb>
    <v>13</v>
  </rv>
  <rv s="7">
    <fb>45539</fb>
    <v>14</v>
  </rv>
  <rv s="7">
    <fb>219.41</fb>
    <v>13</v>
  </rv>
  <rv s="7">
    <fb>173.33</fb>
    <v>13</v>
  </rv>
  <rv s="7">
    <fb>408.9</fb>
    <v>13</v>
  </rv>
  <rv s="7">
    <fb>362.7</fb>
    <v>13</v>
  </rv>
  <rv s="7">
    <fb>219.33</fb>
    <v>13</v>
  </rv>
  <rv s="7">
    <fb>604.17999999999995</fb>
    <v>13</v>
  </rv>
  <rv s="7">
    <fb>114.06</fb>
    <v>13</v>
  </rv>
  <rv s="7">
    <fb>18.891999999999999</fb>
    <v>13</v>
  </rv>
  <rv s="7">
    <fb>36.92</fb>
    <v>13</v>
  </rv>
  <rv s="7">
    <fb>28.39</fb>
    <v>13</v>
  </rv>
  <rv s="7">
    <fb>189.87</fb>
    <v>13</v>
  </rv>
  <rv s="7">
    <fb>106.21</fb>
    <v>13</v>
  </rv>
  <rv s="7">
    <fb>49.7</fb>
    <v>13</v>
  </rv>
  <rv s="7">
    <fb>154.12</fb>
    <v>13</v>
  </rv>
  <rv s="7">
    <fb>45540</fb>
    <v>14</v>
  </rv>
  <rv s="7">
    <fb>230.17</fb>
    <v>13</v>
  </rv>
  <rv s="7">
    <fb>177.89</fb>
    <v>13</v>
  </rv>
  <rv s="7">
    <fb>408.39</fb>
    <v>13</v>
  </rv>
  <rv s="7">
    <fb>360.08</fb>
    <v>13</v>
  </rv>
  <rv s="7">
    <fb>175.47</fb>
    <v>13</v>
  </rv>
  <rv s="7">
    <fb>217.63</fb>
    <v>13</v>
  </rv>
  <rv s="7">
    <fb>595.49</fb>
    <v>13</v>
  </rv>
  <rv s="7">
    <fb>113.17</fb>
    <v>13</v>
  </rv>
  <rv s="7">
    <fb>18.872</fb>
    <v>13</v>
  </rv>
  <rv s="7">
    <fb>36.619999999999997</fb>
    <v>13</v>
  </rv>
  <rv s="7">
    <fb>28.51</fb>
    <v>13</v>
  </rv>
  <rv s="7">
    <fb>185.76</fb>
    <v>13</v>
  </rv>
  <rv s="7">
    <fb>107.21</fb>
    <v>13</v>
  </rv>
  <rv s="7">
    <fb>152.82</fb>
    <v>13</v>
  </rv>
  <rv s="7">
    <fb>45541</fb>
    <v>14</v>
  </rv>
  <rv s="7">
    <fb>210.73</fb>
    <v>13</v>
  </rv>
  <rv s="7">
    <fb>171.39</fb>
    <v>13</v>
  </rv>
  <rv s="7">
    <fb>401.7</fb>
    <v>13</v>
  </rv>
  <rv s="7">
    <fb>360.83</fb>
    <v>13</v>
  </rv>
  <rv s="7">
    <fb>175.59</fb>
    <v>13</v>
  </rv>
  <rv s="7">
    <fb>212.46</fb>
    <v>13</v>
  </rv>
  <rv s="7">
    <fb>596.88</fb>
    <v>13</v>
  </rv>
  <rv s="7">
    <fb>112.64</fb>
    <v>13</v>
  </rv>
  <rv s="7">
    <fb>18.010000000000002</fb>
    <v>13</v>
  </rv>
  <rv s="7">
    <fb>35.450000000000003</fb>
    <v>13</v>
  </rv>
  <rv s="7">
    <fb>185.36</fb>
    <v>13</v>
  </rv>
  <rv s="7">
    <fb>102.83</fb>
    <v>13</v>
  </rv>
  <rv s="7">
    <fb>48.5</fb>
    <v>13</v>
  </rv>
  <rv s="7">
    <fb>136.995</fb>
    <v>13</v>
  </rv>
  <rv s="7">
    <fb>45544</fb>
    <v>14</v>
  </rv>
  <rv s="7">
    <fb>216.27</fb>
    <v>13</v>
  </rv>
  <rv s="7">
    <fb>175.4</fb>
    <v>13</v>
  </rv>
  <rv s="7">
    <fb>405.72</fb>
    <v>13</v>
  </rv>
  <rv s="7">
    <fb>363.9</fb>
    <v>13</v>
  </rv>
  <rv s="7">
    <fb>176.06</fb>
    <v>13</v>
  </rv>
  <rv s="7">
    <fb>216.81</fb>
    <v>13</v>
  </rv>
  <rv s="7">
    <fb>594.1</fb>
    <v>13</v>
  </rv>
  <rv s="7">
    <fb>18.21</fb>
    <v>13</v>
  </rv>
  <rv s="7">
    <fb>35.79</fb>
    <v>13</v>
  </rv>
  <rv s="7">
    <fb>29.41</fb>
    <v>13</v>
  </rv>
  <rv s="7">
    <fb>187.2</fb>
    <v>13</v>
  </rv>
  <rv s="7">
    <fb>106.47</fb>
    <v>13</v>
  </rv>
  <rv s="7">
    <fb>48.7</fb>
    <v>13</v>
  </rv>
  <rv s="7">
    <fb>140.82</fb>
    <v>13</v>
  </rv>
  <rv s="7">
    <fb>45545</fb>
    <v>14</v>
  </rv>
  <rv s="7">
    <fb>226.17</fb>
    <v>13</v>
  </rv>
  <rv s="7">
    <fb>179.55</fb>
    <v>13</v>
  </rv>
  <rv s="7">
    <fb>414.2</fb>
    <v>13</v>
  </rv>
  <rv s="7">
    <fb>371.85</fb>
    <v>13</v>
  </rv>
  <rv s="7">
    <fb>177.79</fb>
    <v>13</v>
  </rv>
  <rv s="7">
    <fb>205.56</fb>
    <v>13</v>
  </rv>
  <rv s="7">
    <fb>599.03</fb>
    <v>13</v>
  </rv>
  <rv s="7">
    <fb>110.82</fb>
    <v>13</v>
  </rv>
  <rv s="7">
    <fb>18.596</fb>
    <v>13</v>
  </rv>
  <rv s="7">
    <fb>35.979999999999997</fb>
    <v>13</v>
  </rv>
  <rv s="7">
    <fb>184.87</fb>
    <v>13</v>
  </rv>
  <rv s="7">
    <fb>108.1</fb>
    <v>13</v>
  </rv>
  <rv s="7">
    <fb>48.79</fb>
    <v>13</v>
  </rv>
  <rv s="7">
    <fb>148.21</fb>
    <v>13</v>
  </rv>
  <rv s="7">
    <fb>45546</fb>
    <v>14</v>
  </rv>
  <rv s="7">
    <fb>228.13</fb>
    <v>13</v>
  </rv>
  <rv s="7">
    <fb>184.52</fb>
    <v>13</v>
  </rv>
  <rv s="7">
    <fb>423.04</fb>
    <v>13</v>
  </rv>
  <rv s="7">
    <fb>371.6</fb>
    <v>13</v>
  </rv>
  <rv s="7">
    <fb>173.92</fb>
    <v>13</v>
  </rv>
  <rv s="7">
    <fb>207.23</fb>
    <v>13</v>
  </rv>
  <rv s="7">
    <fb>589.75</fb>
    <v>13</v>
  </rv>
  <rv s="7">
    <fb>109.72</fb>
    <v>13</v>
  </rv>
  <rv s="7">
    <fb>18.754000000000001</fb>
    <v>13</v>
  </rv>
  <rv s="7">
    <fb>36.22</fb>
    <v>13</v>
  </rv>
  <rv s="7">
    <fb>29.66</fb>
    <v>13</v>
  </rv>
  <rv s="7">
    <fb>184.39</fb>
    <v>13</v>
  </rv>
  <rv s="7">
    <fb>116.91</fb>
    <v>13</v>
  </rv>
  <rv s="7">
    <fb>49.11</fb>
    <v>13</v>
  </rv>
  <rv s="7">
    <fb>158.27000000000001</fb>
    <v>13</v>
  </rv>
  <rv s="7">
    <fb>45547</fb>
    <v>14</v>
  </rv>
  <rv s="7">
    <fb>229.81</fb>
    <v>13</v>
  </rv>
  <rv s="7">
    <fb>187</fb>
    <v>13</v>
  </rv>
  <rv s="7">
    <fb>373.97</fb>
    <v>13</v>
  </rv>
  <rv s="7">
    <fb>173.47</fb>
    <v>13</v>
  </rv>
  <rv s="7">
    <fb>206.6</fb>
    <v>13</v>
  </rv>
  <rv s="7">
    <fb>588.41999999999996</fb>
    <v>13</v>
  </rv>
  <rv s="7">
    <fb>111.23</fb>
    <v>13</v>
  </rv>
  <rv s="7">
    <fb>18.724</fb>
    <v>13</v>
  </rv>
  <rv s="7">
    <fb>29.16</fb>
    <v>13</v>
  </rv>
  <rv s="7">
    <fb>119.14</fb>
    <v>13</v>
  </rv>
  <rv s="7">
    <fb>49.61</fb>
    <v>13</v>
  </rv>
  <rv s="7">
    <fb>164.56</fb>
    <v>13</v>
  </rv>
  <rv s="7">
    <fb>45548</fb>
    <v>14</v>
  </rv>
  <rv s="7">
    <fb>230.29</fb>
    <v>13</v>
  </rv>
  <rv s="7">
    <fb>186.49</fb>
    <v>13</v>
  </rv>
  <rv s="7">
    <fb>430.59</fb>
    <v>13</v>
  </rv>
  <rv s="7">
    <fb>375.4</fb>
    <v>13</v>
  </rv>
  <rv s="7">
    <fb>174.08</fb>
    <v>13</v>
  </rv>
  <rv s="7">
    <fb>204.32</fb>
    <v>13</v>
  </rv>
  <rv s="7">
    <fb>594.32000000000005</fb>
    <v>13</v>
  </rv>
  <rv s="7">
    <fb>111.15</fb>
    <v>13</v>
  </rv>
  <rv s="7">
    <fb>18.687999999999999</fb>
    <v>13</v>
  </rv>
  <rv s="7">
    <fb>36.049999999999997</fb>
    <v>13</v>
  </rv>
  <rv s="7">
    <fb>29.27</fb>
    <v>13</v>
  </rv>
  <rv s="7">
    <fb>188.3</fb>
    <v>13</v>
  </rv>
  <rv s="7">
    <fb>119.1</fb>
    <v>13</v>
  </rv>
  <rv s="7">
    <fb>49.8</fb>
    <v>13</v>
  </rv>
  <rv s="7">
    <fb>167.69</fb>
    <v>13</v>
  </rv>
  <rv s="7">
    <fb>45551</fb>
    <v>14</v>
  </rv>
  <rv s="7">
    <fb>226.78</fb>
    <v>13</v>
  </rv>
  <rv s="7">
    <fb>184.89</fb>
    <v>13</v>
  </rv>
  <rv s="7">
    <fb>431.34</fb>
    <v>13</v>
  </rv>
  <rv s="7">
    <fb>379.06</fb>
    <v>13</v>
  </rv>
  <rv s="7">
    <fb>177.24</fb>
    <v>13</v>
  </rv>
  <rv s="7">
    <fb>207.86</fb>
    <v>13</v>
  </rv>
  <rv s="7">
    <fb>589.14</fb>
    <v>13</v>
  </rv>
  <rv s="7">
    <fb>112.71</fb>
    <v>13</v>
  </rv>
  <rv s="7">
    <fb>18.622</fb>
    <v>13</v>
  </rv>
  <rv s="7">
    <fb>36.119999999999997</fb>
    <v>13</v>
  </rv>
  <rv s="7">
    <fb>30.07</fb>
    <v>13</v>
  </rv>
  <rv s="7">
    <fb>190.56</fb>
    <v>13</v>
  </rv>
  <rv s="7">
    <fb>116.78</fb>
    <v>13</v>
  </rv>
  <rv s="7">
    <fb>51.03</fb>
    <v>13</v>
  </rv>
  <rv s="7">
    <fb>164.02</fb>
    <v>13</v>
  </rv>
  <rv s="7">
    <fb>45552</fb>
    <v>14</v>
  </rv>
  <rv s="7">
    <fb>227.87</fb>
    <v>13</v>
  </rv>
  <rv s="7">
    <fb>186.88</fb>
    <v>13</v>
  </rv>
  <rv s="7">
    <fb>435.15</fb>
    <v>13</v>
  </rv>
  <rv s="7">
    <fb>378</fb>
    <v>13</v>
  </rv>
  <rv s="7">
    <fb>175.88</fb>
    <v>13</v>
  </rv>
  <rv s="7">
    <fb>209.25</fb>
    <v>13</v>
  </rv>
  <rv s="7">
    <fb>577.96</fb>
    <v>13</v>
  </rv>
  <rv s="7">
    <fb>18.11</fb>
    <v>13</v>
  </rv>
  <rv s="7">
    <fb>29.83</fb>
    <v>13</v>
  </rv>
  <rv s="7">
    <fb>190.26</fb>
    <v>13</v>
  </rv>
  <rv s="7">
    <fb>115.59</fb>
    <v>13</v>
  </rv>
  <rv s="7">
    <fb>50.61</fb>
    <v>13</v>
  </rv>
  <rv s="7">
    <fb>162.47</fb>
    <v>13</v>
  </rv>
  <rv s="7">
    <fb>45553</fb>
    <v>14</v>
  </rv>
  <rv s="7">
    <fb>227.2</fb>
    <v>13</v>
  </rv>
  <rv s="7">
    <fb>186.43</fb>
    <v>13</v>
  </rv>
  <rv s="7">
    <fb>430.81</fb>
    <v>13</v>
  </rv>
  <rv s="7">
    <fb>375.31</fb>
    <v>13</v>
  </rv>
  <rv s="7">
    <fb>207.53</fb>
    <v>13</v>
  </rv>
  <rv s="7">
    <fb>18.097999999999999</fb>
    <v>13</v>
  </rv>
  <rv s="7">
    <fb>35.814999999999998</fb>
    <v>13</v>
  </rv>
  <rv s="7">
    <fb>29.75</fb>
    <v>13</v>
  </rv>
  <rv s="7">
    <fb>191.01</fb>
    <v>13</v>
  </rv>
  <rv s="7">
    <fb>50.57</fb>
    <v>13</v>
  </rv>
  <rv s="7">
    <fb>161.66999999999999</fb>
    <v>13</v>
  </rv>
  <rv s="7">
    <fb>45554</fb>
    <v>14</v>
  </rv>
  <rv s="7">
    <fb>243.92</fb>
    <v>13</v>
  </rv>
  <rv s="7">
    <fb>438.69</fb>
    <v>13</v>
  </rv>
  <rv s="7">
    <fb>379.75</fb>
    <v>13</v>
  </rv>
  <rv s="7">
    <fb>210.48</fb>
    <v>13</v>
  </rv>
  <rv s="7">
    <fb>577.07000000000005</fb>
    <v>13</v>
  </rv>
  <rv s="7">
    <fb>18.646000000000001</fb>
    <v>13</v>
  </rv>
  <rv s="7">
    <fb>37.29</fb>
    <v>13</v>
  </rv>
  <rv s="7">
    <fb>190.68</fb>
    <v>13</v>
  </rv>
  <rv s="7">
    <fb>51.44</fb>
    <v>13</v>
  </rv>
  <rv s="7">
    <fb>167.42</fb>
    <v>13</v>
  </rv>
  <rv s="7">
    <fb>45555</fb>
    <v>14</v>
  </rv>
  <rv s="7">
    <fb>238.25</fb>
    <v>13</v>
  </rv>
  <rv s="7">
    <fb>191.6</fb>
    <v>13</v>
  </rv>
  <rv s="7">
    <fb>435.27</fb>
    <v>13</v>
  </rv>
  <rv s="7">
    <fb>378.52</fb>
    <v>13</v>
  </rv>
  <rv s="7">
    <fb>174.22</fb>
    <v>13</v>
  </rv>
  <rv s="7">
    <fb>211.09</fb>
    <v>13</v>
  </rv>
  <rv s="7">
    <fb>575</fb>
    <v>13</v>
  </rv>
  <rv s="7">
    <fb>18.617999999999999</fb>
    <v>13</v>
  </rv>
  <rv s="7">
    <fb>36.5</fb>
    <v>13</v>
  </rv>
  <rv s="7">
    <fb>29.42</fb>
    <v>13</v>
  </rv>
  <rv s="7">
    <fb>191</fb>
    <v>13</v>
  </rv>
  <rv s="7">
    <fb>51.97</fb>
    <v>13</v>
  </rv>
  <rv s="7">
    <fb>171.1</fb>
    <v>13</v>
  </rv>
  <rv s="7">
    <fb>45558</fb>
    <v>14</v>
  </rv>
  <rv s="7">
    <fb>250</fb>
    <v>13</v>
  </rv>
  <rv s="7">
    <fb>193.88</fb>
    <v>13</v>
  </rv>
  <rv s="7">
    <fb>433.51</fb>
    <v>13</v>
  </rv>
  <rv s="7">
    <fb>381.87</fb>
    <v>13</v>
  </rv>
  <rv s="7">
    <fb>173.77</fb>
    <v>13</v>
  </rv>
  <rv s="7">
    <fb>211.44</fb>
    <v>13</v>
  </rv>
  <rv s="7">
    <fb>573.41</fb>
    <v>13</v>
  </rv>
  <rv s="7">
    <fb>117.36</fb>
    <v>13</v>
  </rv>
  <rv s="7">
    <fb>18.841999999999999</fb>
    <v>13</v>
  </rv>
  <rv s="7">
    <fb>37.03</fb>
    <v>13</v>
  </rv>
  <rv s="7">
    <fb>192.89</fb>
    <v>13</v>
  </rv>
  <rv s="7">
    <fb>116.26</fb>
    <v>13</v>
  </rv>
  <rv s="7">
    <fb>52.19</fb>
    <v>13</v>
  </rv>
  <rv s="7">
    <fb>172.94</fb>
    <v>13</v>
  </rv>
  <rv s="7">
    <fb>45559</fb>
    <v>14</v>
  </rv>
  <rv s="7">
    <fb>254.27</fb>
    <v>13</v>
  </rv>
  <rv s="7">
    <fb>193.96</fb>
    <v>13</v>
  </rv>
  <rv s="7">
    <fb>381.56</fb>
    <v>13</v>
  </rv>
  <rv s="7">
    <fb>173.24</fb>
    <v>13</v>
  </rv>
  <rv s="7">
    <fb>211.59</fb>
    <v>13</v>
  </rv>
  <rv s="7">
    <fb>575.19000000000005</fb>
    <v>13</v>
  </rv>
  <rv s="7">
    <fb>117.05</fb>
    <v>13</v>
  </rv>
  <rv s="7">
    <fb>19.111999999999998</fb>
    <v>13</v>
  </rv>
  <rv s="7">
    <fb>37.619999999999997</fb>
    <v>13</v>
  </rv>
  <rv s="7">
    <fb>191.82</fb>
    <v>13</v>
  </rv>
  <rv s="7">
    <fb>120.87</fb>
    <v>13</v>
  </rv>
  <rv s="7">
    <fb>52.52</fb>
    <v>13</v>
  </rv>
  <rv s="7">
    <fb>45560</fb>
    <v>14</v>
  </rv>
  <rv s="7">
    <fb>257.02</fb>
    <v>13</v>
  </rv>
  <rv s="7">
    <fb>192.53</fb>
    <v>13</v>
  </rv>
  <rv s="7">
    <fb>432.11</fb>
    <v>13</v>
  </rv>
  <rv s="7">
    <fb>381.18</fb>
    <v>13</v>
  </rv>
  <rv s="7">
    <fb>172.26</fb>
    <v>13</v>
  </rv>
  <rv s="7">
    <fb>210.19</fb>
    <v>13</v>
  </rv>
  <rv s="7">
    <fb>576.30999999999995</fb>
    <v>13</v>
  </rv>
  <rv s="7">
    <fb>19.202000000000002</fb>
    <v>13</v>
  </rv>
  <rv s="7">
    <fb>37.020000000000003</fb>
    <v>13</v>
  </rv>
  <rv s="7">
    <fb>28.93</fb>
    <v>13</v>
  </rv>
  <rv s="7">
    <fb>190</fb>
    <v>13</v>
  </rv>
  <rv s="7">
    <fb>123.51</fb>
    <v>13</v>
  </rv>
  <rv s="7">
    <fb>52.65</fb>
    <v>13</v>
  </rv>
  <rv s="7">
    <fb>175.52</fb>
    <v>13</v>
  </rv>
  <rv s="7">
    <fb>45561</fb>
    <v>14</v>
  </rv>
  <rv s="7">
    <fb>254.22</fb>
    <v>13</v>
  </rv>
  <rv s="7">
    <fb>191.16</fb>
    <v>13</v>
  </rv>
  <rv s="7">
    <fb>431.31</fb>
    <v>13</v>
  </rv>
  <rv s="7">
    <fb>383.93</fb>
    <v>13</v>
  </rv>
  <rv s="7">
    <fb>173.21</fb>
    <v>13</v>
  </rv>
  <rv s="7">
    <fb>574.80999999999995</fb>
    <v>13</v>
  </rv>
  <rv s="7">
    <fb>112.8</fb>
    <v>13</v>
  </rv>
  <rv s="7">
    <fb>19.73</fb>
    <v>13</v>
  </rv>
  <rv s="7">
    <fb>37.6</fb>
    <v>13</v>
  </rv>
  <rv s="7">
    <fb>28.97</fb>
    <v>13</v>
  </rv>
  <rv s="7">
    <fb>188.69</fb>
    <v>13</v>
  </rv>
  <rv s="7">
    <fb>124.04</fb>
    <v>13</v>
  </rv>
  <rv s="7">
    <fb>52.85</fb>
    <v>13</v>
  </rv>
  <rv s="7">
    <fb>178.09</fb>
    <v>13</v>
  </rv>
  <rv s="7">
    <fb>45562</fb>
    <v>14</v>
  </rv>
  <rv s="7">
    <fb>260.45999999999998</fb>
    <v>13</v>
  </rv>
  <rv s="7">
    <fb>428.02</fb>
    <v>13</v>
  </rv>
  <rv s="7">
    <fb>382.73</fb>
    <v>13</v>
  </rv>
  <rv s="7">
    <fb>173.55</fb>
    <v>13</v>
  </rv>
  <rv s="7">
    <fb>210.5</fb>
    <v>13</v>
  </rv>
  <rv s="7">
    <fb>581.85</fb>
    <v>13</v>
  </rv>
  <rv s="7">
    <fb>115.82</fb>
    <v>13</v>
  </rv>
  <rv s="7">
    <fb>19.231999999999999</fb>
    <v>13</v>
  </rv>
  <rv s="7">
    <fb>37.229999999999997</fb>
    <v>13</v>
  </rv>
  <rv s="7">
    <fb>29.09</fb>
    <v>13</v>
  </rv>
  <rv s="7">
    <fb>188.36</fb>
    <v>13</v>
  </rv>
  <rv s="7">
    <fb>121.4</fb>
    <v>13</v>
  </rv>
  <rv s="7">
    <fb>53.02</fb>
    <v>13</v>
  </rv>
  <rv s="7">
    <fb>172.69</fb>
    <v>13</v>
  </rv>
  <rv s="7">
    <fb>45565</fb>
    <v>14</v>
  </rv>
  <rv s="7">
    <fb>261.63</fb>
    <v>13</v>
  </rv>
  <rv s="7">
    <fb>186.33</fb>
    <v>13</v>
  </rv>
  <rv s="7">
    <fb>430.3</fb>
    <v>13</v>
  </rv>
  <rv s="7">
    <fb>381.67</fb>
    <v>13</v>
  </rv>
  <rv s="7">
    <fb>173.2</fb>
    <v>13</v>
  </rv>
  <rv s="7">
    <fb>210.86</fb>
    <v>13</v>
  </rv>
  <rv s="7">
    <fb>584.67999999999995</fb>
    <v>13</v>
  </rv>
  <rv s="7">
    <fb>117.22</fb>
    <v>13</v>
  </rv>
  <rv s="7">
    <fb>19.314</fb>
    <v>13</v>
  </rv>
  <rv s="7">
    <fb>36.53</fb>
    <v>13</v>
  </rv>
  <rv s="7">
    <fb>28.94</fb>
    <v>13</v>
  </rv>
  <rv s="7">
    <fb>189.65</fb>
    <v>13</v>
  </rv>
  <rv s="7">
    <fb>121.44</fb>
    <v>13</v>
  </rv>
  <rv s="7">
    <fb>53.22</fb>
    <v>13</v>
  </rv>
  <rv s="7">
    <fb>172.5</fb>
    <v>13</v>
  </rv>
  <rv s="7">
    <fb>45566</fb>
    <v>14</v>
  </rv>
  <rv s="7">
    <fb>258.02</fb>
    <v>13</v>
  </rv>
  <rv s="7">
    <fb>185.13</fb>
    <v>13</v>
  </rv>
  <rv s="7">
    <fb>420.69</fb>
    <v>13</v>
  </rv>
  <rv s="7">
    <fb>380.58</fb>
    <v>13</v>
  </rv>
  <rv s="7">
    <fb>173.04</fb>
    <v>13</v>
  </rv>
  <rv s="7">
    <fb>207.04</fb>
    <v>13</v>
  </rv>
  <rv s="7">
    <fb>583.29999999999995</fb>
    <v>13</v>
  </rv>
  <rv s="7">
    <fb>119.93</fb>
    <v>13</v>
  </rv>
  <rv s="7">
    <fb>19.36</fb>
    <v>13</v>
  </rv>
  <rv s="7">
    <fb>28.67</fb>
    <v>13</v>
  </rv>
  <rv s="7">
    <fb>189.88</fb>
    <v>13</v>
  </rv>
  <rv s="7">
    <fb>117</fb>
    <v>13</v>
  </rv>
  <rv s="7">
    <fb>52.74</fb>
    <v>13</v>
  </rv>
  <rv s="7">
    <fb>167.47</fb>
    <v>13</v>
  </rv>
  <rv s="7">
    <fb>45567</fb>
    <v>14</v>
  </rv>
  <rv s="7">
    <fb>249.02</fb>
    <v>13</v>
  </rv>
  <rv s="7">
    <fb>417.13</fb>
    <v>13</v>
  </rv>
  <rv s="7">
    <fb>378.16</fb>
    <v>13</v>
  </rv>
  <rv s="7">
    <fb>171.92</fb>
    <v>13</v>
  </rv>
  <rv s="7">
    <fb>207.29</fb>
    <v>13</v>
  </rv>
  <rv s="7">
    <fb>592.30999999999995</fb>
    <v>13</v>
  </rv>
  <rv s="7">
    <fb>121.52</fb>
    <v>13</v>
  </rv>
  <rv s="7">
    <fb>18.989999999999998</fb>
    <v>13</v>
  </rv>
  <rv s="7">
    <fb>35.11</fb>
    <v>13</v>
  </rv>
  <rv s="7">
    <fb>28.61</fb>
    <v>13</v>
  </rv>
  <rv s="7">
    <fb>190.22</fb>
    <v>13</v>
  </rv>
  <rv s="7">
    <fb>52.62</fb>
    <v>13</v>
  </rv>
  <rv s="7">
    <fb>45568</fb>
    <v>14</v>
  </rv>
  <rv s="7">
    <fb>240.66</fb>
    <v>13</v>
  </rv>
  <rv s="7">
    <fb>181.96</fb>
    <v>13</v>
  </rv>
  <rv s="7">
    <fb>416.54</fb>
    <v>13</v>
  </rv>
  <rv s="7">
    <fb>373.1</fb>
    <v>13</v>
  </rv>
  <rv s="7">
    <fb>170.12</fb>
    <v>13</v>
  </rv>
  <rv s="7">
    <fb>205.23</fb>
    <v>13</v>
  </rv>
  <rv s="7">
    <fb>592.75</fb>
    <v>13</v>
  </rv>
  <rv s="7">
    <fb>122.58</fb>
    <v>13</v>
  </rv>
  <rv s="7">
    <fb>18.8</fb>
    <v>13</v>
  </rv>
  <rv s="7">
    <fb>34.78</fb>
    <v>13</v>
  </rv>
  <rv s="7">
    <fb>28.34</fb>
    <v>13</v>
  </rv>
  <rv s="7">
    <fb>187.84</fb>
    <v>13</v>
  </rv>
  <rv s="7">
    <fb>122.85</fb>
    <v>13</v>
  </rv>
  <rv s="7">
    <fb>52.43</fb>
    <v>13</v>
  </rv>
  <rv s="7">
    <fb>45569</fb>
    <v>14</v>
  </rv>
  <rv s="7">
    <fb>250.08</fb>
    <v>13</v>
  </rv>
  <rv s="7">
    <fb>186.51</fb>
    <v>13</v>
  </rv>
  <rv s="7">
    <fb>416.06</fb>
    <v>13</v>
  </rv>
  <rv s="7">
    <fb>371.3</fb>
    <v>13</v>
  </rv>
  <rv s="7">
    <fb>168.88</fb>
    <v>13</v>
  </rv>
  <rv s="7">
    <fb>211.22</fb>
    <v>13</v>
  </rv>
  <rv s="7">
    <fb>591.20000000000005</fb>
    <v>13</v>
  </rv>
  <rv s="7">
    <fb>124.83</fb>
    <v>13</v>
  </rv>
  <rv s="7">
    <fb>18.97</fb>
    <v>13</v>
  </rv>
  <rv s="7">
    <fb>34.979999999999997</fb>
    <v>13</v>
  </rv>
  <rv s="7">
    <fb>190.57</fb>
    <v>13</v>
  </rv>
  <rv s="7">
    <fb>52.75</fb>
    <v>13</v>
  </rv>
  <rv s="7">
    <fb>176.64</fb>
    <v>13</v>
  </rv>
  <rv s="7">
    <fb>45572</fb>
    <v>14</v>
  </rv>
  <rv s="7">
    <fb>240.83</fb>
    <v>13</v>
  </rv>
  <rv s="7">
    <fb>409.54</fb>
    <v>13</v>
  </rv>
  <rv s="7">
    <fb>367.78</fb>
    <v>13</v>
  </rv>
  <rv s="7">
    <fb>167.12</fb>
    <v>13</v>
  </rv>
  <rv s="7">
    <fb>210.93</fb>
    <v>13</v>
  </rv>
  <rv s="7">
    <fb>583.55999999999995</fb>
    <v>13</v>
  </rv>
  <rv s="7">
    <fb>125.37</fb>
    <v>13</v>
  </rv>
  <rv s="7">
    <fb>19.132000000000001</fb>
    <v>13</v>
  </rv>
  <rv s="7">
    <fb>34.74</fb>
    <v>13</v>
  </rv>
  <rv s="7">
    <fb>29.2</fb>
    <v>13</v>
  </rv>
  <rv s="7">
    <fb>127.72</fb>
    <v>13</v>
  </rv>
  <rv s="7">
    <fb>52.51</fb>
    <v>13</v>
  </rv>
  <rv s="7">
    <fb>175.08</fb>
    <v>13</v>
  </rv>
  <rv s="7">
    <fb>45573</fb>
    <v>14</v>
  </rv>
  <rv s="7">
    <fb>244.5</fb>
    <v>13</v>
  </rv>
  <rv s="7">
    <fb>182.72</fb>
    <v>13</v>
  </rv>
  <rv s="7">
    <fb>414.71</fb>
    <v>13</v>
  </rv>
  <rv s="7">
    <fb>373.4</fb>
    <v>13</v>
  </rv>
  <rv s="7">
    <fb>168.16</fb>
    <v>13</v>
  </rv>
  <rv s="7">
    <fb>210.75</fb>
    <v>13</v>
  </rv>
  <rv s="7">
    <fb>581.58000000000004</fb>
    <v>13</v>
  </rv>
  <rv s="7">
    <fb>122.04</fb>
    <v>13</v>
  </rv>
  <rv s="7">
    <fb>19.027999999999999</fb>
    <v>13</v>
  </rv>
  <rv s="7">
    <fb>34.68</fb>
    <v>13</v>
  </rv>
  <rv s="7">
    <fb>29.18</fb>
    <v>13</v>
  </rv>
  <rv s="7">
    <fb>182.87</fb>
    <v>13</v>
  </rv>
  <rv s="7">
    <fb>132.88999999999999</fb>
    <v>13</v>
  </rv>
  <rv s="7">
    <fb>52.73</fb>
    <v>13</v>
  </rv>
  <rv s="7">
    <fb>180.73</fb>
    <v>13</v>
  </rv>
  <rv s="7">
    <fb>45574</fb>
    <v>14</v>
  </rv>
  <rv s="7">
    <fb>241.05</fb>
    <v>13</v>
  </rv>
  <rv s="7">
    <fb>185.17</fb>
    <v>13</v>
  </rv>
  <rv s="7">
    <fb>417.46</fb>
    <v>13</v>
  </rv>
  <rv s="7">
    <fb>378.96</fb>
    <v>13</v>
  </rv>
  <rv s="7">
    <fb>169.27</fb>
    <v>13</v>
  </rv>
  <rv s="7">
    <fb>213.42</fb>
    <v>13</v>
  </rv>
  <rv s="7">
    <fb>591.22</fb>
    <v>13</v>
  </rv>
  <rv s="7">
    <fb>122.09</fb>
    <v>13</v>
  </rv>
  <rv s="7">
    <fb>19.05</fb>
    <v>13</v>
  </rv>
  <rv s="7">
    <fb>34.86</fb>
    <v>13</v>
  </rv>
  <rv s="7">
    <fb>30.19</fb>
    <v>13</v>
  </rv>
  <rv s="7">
    <fb>184.91</fb>
    <v>13</v>
  </rv>
  <rv s="7">
    <fb>132.65</fb>
    <v>13</v>
  </rv>
  <rv s="7">
    <fb>53.56</fb>
    <v>13</v>
  </rv>
  <rv s="7">
    <fb>45575</fb>
    <v>14</v>
  </rv>
  <rv s="7">
    <fb>238.77</fb>
    <v>13</v>
  </rv>
  <rv s="7">
    <fb>186.65</fb>
    <v>13</v>
  </rv>
  <rv s="7">
    <fb>415.84</fb>
    <v>13</v>
  </rv>
  <rv s="7">
    <fb>376.45</fb>
    <v>13</v>
  </rv>
  <rv s="7">
    <fb>168.95</fb>
    <v>13</v>
  </rv>
  <rv s="7">
    <fb>212.84</fb>
    <v>13</v>
  </rv>
  <rv s="7">
    <fb>597.70000000000005</fb>
    <v>13</v>
  </rv>
  <rv s="7">
    <fb>123.14</fb>
    <v>13</v>
  </rv>
  <rv s="7">
    <fb>18.86</fb>
    <v>13</v>
  </rv>
  <rv s="7">
    <fb>29.34</fb>
    <v>13</v>
  </rv>
  <rv s="7">
    <fb>185.79</fb>
    <v>13</v>
  </rv>
  <rv s="7">
    <fb>134.81</fb>
    <v>13</v>
  </rv>
  <rv s="7">
    <fb>53.54</fb>
    <v>13</v>
  </rv>
  <rv s="7">
    <fb>185.69</fb>
    <v>13</v>
  </rv>
  <rv s="7">
    <fb>45576</fb>
    <v>14</v>
  </rv>
  <rv s="7">
    <fb>217.8</fb>
    <v>13</v>
  </rv>
  <rv s="7">
    <fb>188.82</fb>
    <v>13</v>
  </rv>
  <rv s="7">
    <fb>416.32</fb>
    <v>13</v>
  </rv>
  <rv s="7">
    <fb>378.99</fb>
    <v>13</v>
  </rv>
  <rv s="7">
    <fb>171.09</fb>
    <v>13</v>
  </rv>
  <rv s="7">
    <fb>222.29</fb>
    <v>13</v>
  </rv>
  <rv s="7">
    <fb>598.04999999999995</fb>
    <v>13</v>
  </rv>
  <rv s="7">
    <fb>123.61</fb>
    <v>13</v>
  </rv>
  <rv s="7">
    <fb>18.98</fb>
    <v>13</v>
  </rv>
  <rv s="7">
    <fb>188.28</fb>
    <v>13</v>
  </rv>
  <rv s="7">
    <fb>54.25</fb>
    <v>13</v>
  </rv>
  <rv s="7">
    <fb>181.48</fb>
    <v>13</v>
  </rv>
  <rv s="7">
    <fb>45579</fb>
    <v>14</v>
  </rv>
  <rv s="7">
    <fb>219.16</fb>
    <v>13</v>
  </rv>
  <rv s="7">
    <fb>187.54</fb>
    <v>13</v>
  </rv>
  <rv s="7">
    <fb>419.14</fb>
    <v>13</v>
  </rv>
  <rv s="7">
    <fb>384.16</fb>
    <v>13</v>
  </rv>
  <rv s="7">
    <fb>172.51</fb>
    <v>13</v>
  </rv>
  <rv s="7">
    <fb>221.48</fb>
    <v>13</v>
  </rv>
  <rv s="7">
    <fb>605.4</fb>
    <v>13</v>
  </rv>
  <rv s="7">
    <fb>124.08</fb>
    <v>13</v>
  </rv>
  <rv s="7">
    <fb>19.09</fb>
    <v>13</v>
  </rv>
  <rv s="7">
    <fb>36.840000000000003</fb>
    <v>13</v>
  </rv>
  <rv s="7">
    <fb>29.08</fb>
    <v>13</v>
  </rv>
  <rv s="7">
    <fb>190.53</fb>
    <v>13</v>
  </rv>
  <rv s="7">
    <fb>138.07</fb>
    <v>13</v>
  </rv>
  <rv s="7">
    <fb>54.27</fb>
    <v>13</v>
  </rv>
  <rv s="7">
    <fb>182.31</fb>
    <v>13</v>
  </rv>
  <rv s="7">
    <fb>45580</fb>
    <v>14</v>
  </rv>
  <rv s="7">
    <fb>219.57</fb>
    <v>13</v>
  </rv>
  <rv s="7">
    <fb>187.69</fb>
    <v>13</v>
  </rv>
  <rv s="7">
    <fb>418.74</fb>
    <v>13</v>
  </rv>
  <rv s="7">
    <fb>388.55</fb>
    <v>13</v>
  </rv>
  <rv s="7">
    <fb>173.57</fb>
    <v>13</v>
  </rv>
  <rv s="7">
    <fb>222.39</fb>
    <v>13</v>
  </rv>
  <rv s="7">
    <fb>556.29</fb>
    <v>13</v>
  </rv>
  <rv s="7">
    <fb>120.35</fb>
    <v>13</v>
  </rv>
  <rv s="7">
    <fb>18.66</fb>
    <v>13</v>
  </rv>
  <rv s="7">
    <fb>36.85</fb>
    <v>13</v>
  </rv>
  <rv s="7">
    <fb>29.44</fb>
    <v>13</v>
  </rv>
  <rv s="7">
    <fb>193.01</fb>
    <v>13</v>
  </rv>
  <rv s="7">
    <fb>131.6</fb>
    <v>13</v>
  </rv>
  <rv s="7">
    <fb>54.08</fb>
    <v>13</v>
  </rv>
  <rv s="7">
    <fb>175.98</fb>
    <v>13</v>
  </rv>
  <rv s="7">
    <fb>45581</fb>
    <v>14</v>
  </rv>
  <rv s="7">
    <fb>221.33</fb>
    <v>13</v>
  </rv>
  <rv s="7">
    <fb>416.12</fb>
    <v>13</v>
  </rv>
  <rv s="7">
    <fb>389.39</fb>
    <v>13</v>
  </rv>
  <rv s="7">
    <fb>172.38</fb>
    <v>13</v>
  </rv>
  <rv s="7">
    <fb>223.64</fb>
    <v>13</v>
  </rv>
  <rv s="7">
    <fb>571.34</fb>
    <v>13</v>
  </rv>
  <rv s="7">
    <fb>120.66</fb>
    <v>13</v>
  </rv>
  <rv s="7">
    <fb>18.68</fb>
    <v>13</v>
  </rv>
  <rv s="7">
    <fb>29.67</fb>
    <v>13</v>
  </rv>
  <rv s="7">
    <fb>135.72</fb>
    <v>13</v>
  </rv>
  <rv s="7">
    <fb>56.38</fb>
    <v>13</v>
  </rv>
  <rv s="7">
    <fb>45582</fb>
    <v>14</v>
  </rv>
  <rv s="7">
    <fb>220.89</fb>
    <v>13</v>
  </rv>
  <rv s="7">
    <fb>187.53</fb>
    <v>13</v>
  </rv>
  <rv s="7">
    <fb>416.72</fb>
    <v>13</v>
  </rv>
  <rv s="7">
    <fb>389.08</fb>
    <v>13</v>
  </rv>
  <rv s="7">
    <fb>172.28</fb>
    <v>13</v>
  </rv>
  <rv s="7">
    <fb>224.42</fb>
    <v>13</v>
  </rv>
  <rv s="7">
    <fb>566.03</fb>
    <v>13</v>
  </rv>
  <rv s="7">
    <fb>18.510000000000002</fb>
    <v>13</v>
  </rv>
  <rv s="7">
    <fb>38.130000000000003</fb>
    <v>13</v>
  </rv>
  <rv s="7">
    <fb>195.51</fb>
    <v>13</v>
  </rv>
  <rv s="7">
    <fb>136.93</fb>
    <v>13</v>
  </rv>
  <rv s="7">
    <fb>56.4</fb>
    <v>13</v>
  </rv>
  <rv s="7">
    <fb>181.53</fb>
    <v>13</v>
  </rv>
  <rv s="7">
    <fb>45583</fb>
    <v>14</v>
  </rv>
  <rv s="7">
    <fb>220.7</fb>
    <v>13</v>
  </rv>
  <rv s="7">
    <fb>188.99</fb>
    <v>13</v>
  </rv>
  <rv s="7">
    <fb>418.16</fb>
    <v>13</v>
  </rv>
  <rv s="7">
    <fb>388.36</fb>
    <v>13</v>
  </rv>
  <rv s="7">
    <fb>171.28</fb>
    <v>13</v>
  </rv>
  <rv s="7">
    <fb>225.37</fb>
    <v>13</v>
  </rv>
  <rv s="7">
    <fb>569.61</fb>
    <v>13</v>
  </rv>
  <rv s="7">
    <fb>120.01</fb>
    <v>13</v>
  </rv>
  <rv s="7">
    <fb>18.22</fb>
    <v>13</v>
  </rv>
  <rv s="7">
    <fb>38.07</fb>
    <v>13</v>
  </rv>
  <rv s="7">
    <fb>29.22</fb>
    <v>13</v>
  </rv>
  <rv s="7">
    <fb>195.37</fb>
    <v>13</v>
  </rv>
  <rv s="7">
    <fb>138</fb>
    <v>13</v>
  </rv>
  <rv s="7">
    <fb>56.76</fb>
    <v>13</v>
  </rv>
  <rv s="7">
    <fb>179.89</fb>
    <v>13</v>
  </rv>
  <rv s="7">
    <fb>45586</fb>
    <v>14</v>
  </rv>
  <rv s="7">
    <fb>218.85</fb>
    <v>13</v>
  </rv>
  <rv s="7">
    <fb>189.07</fb>
    <v>13</v>
  </rv>
  <rv s="7">
    <fb>418.78</fb>
    <v>13</v>
  </rv>
  <rv s="7">
    <fb>381.75</fb>
    <v>13</v>
  </rv>
  <rv s="7">
    <fb>169.54</fb>
    <v>13</v>
  </rv>
  <rv s="7">
    <fb>223</fb>
    <v>13</v>
  </rv>
  <rv s="7">
    <fb>571.47</fb>
    <v>13</v>
  </rv>
  <rv s="7">
    <fb>120.08</fb>
    <v>13</v>
  </rv>
  <rv s="7">
    <fb>18.100000000000001</fb>
    <v>13</v>
  </rv>
  <rv s="7">
    <fb>37.590000000000003</fb>
    <v>13</v>
  </rv>
  <rv s="7">
    <fb>192.64</fb>
    <v>13</v>
  </rv>
  <rv s="7">
    <fb>143.71</fb>
    <v>13</v>
  </rv>
  <rv s="7">
    <fb>56.59</fb>
    <v>13</v>
  </rv>
  <rv s="7">
    <fb>45587</fb>
    <v>14</v>
  </rv>
  <rv s="7">
    <fb>217.97</fb>
    <v>13</v>
  </rv>
  <rv s="7">
    <fb>189.7</fb>
    <v>13</v>
  </rv>
  <rv s="7">
    <fb>427.51</fb>
    <v>13</v>
  </rv>
  <rv s="7">
    <fb>361.38</fb>
    <v>13</v>
  </rv>
  <rv s="7">
    <fb>169.7</fb>
    <v>13</v>
  </rv>
  <rv s="7">
    <fb>224.12</fb>
    <v>13</v>
  </rv>
  <rv s="7">
    <fb>569.86</fb>
    <v>13</v>
  </rv>
  <rv s="7">
    <fb>120.7</fb>
    <v>13</v>
  </rv>
  <rv s="7">
    <fb>17.89</fb>
    <v>13</v>
  </rv>
  <rv s="7">
    <fb>38.229999999999997</fb>
    <v>13</v>
  </rv>
  <rv s="7">
    <fb>28.84</fb>
    <v>13</v>
  </rv>
  <rv s="7">
    <fb>192.78</fb>
    <v>13</v>
  </rv>
  <rv s="7">
    <fb>143.59</fb>
    <v>13</v>
  </rv>
  <rv s="7">
    <fb>56.6</fb>
    <v>13</v>
  </rv>
  <rv s="7">
    <fb>179.38</fb>
    <v>13</v>
  </rv>
  <rv s="7">
    <fb>45588</fb>
    <v>14</v>
  </rv>
  <rv s="7">
    <fb>213.65</fb>
    <v>13</v>
  </rv>
  <rv s="7">
    <fb>184.71</fb>
    <v>13</v>
  </rv>
  <rv s="7">
    <fb>424.6</fb>
    <v>13</v>
  </rv>
  <rv s="7">
    <fb>362.72</fb>
    <v>13</v>
  </rv>
  <rv s="7">
    <fb>223.41</fb>
    <v>13</v>
  </rv>
  <rv s="7">
    <fb>564.64</fb>
    <v>13</v>
  </rv>
  <rv s="7">
    <fb>120.27</fb>
    <v>13</v>
  </rv>
  <rv s="7">
    <fb>17.53</fb>
    <v>13</v>
  </rv>
  <rv s="7">
    <fb>37.93</fb>
    <v>13</v>
  </rv>
  <rv s="7">
    <fb>28.86</fb>
    <v>13</v>
  </rv>
  <rv s="7">
    <fb>139.56</fb>
    <v>13</v>
  </rv>
  <rv s="7">
    <fb>56.28</fb>
    <v>13</v>
  </rv>
  <rv s="7">
    <fb>45589</fb>
    <v>14</v>
  </rv>
  <rv s="7">
    <fb>260.48</fb>
    <v>13</v>
  </rv>
  <rv s="7">
    <fb>186.38</fb>
    <v>13</v>
  </rv>
  <rv s="7">
    <fb>424.73</fb>
    <v>13</v>
  </rv>
  <rv s="7">
    <fb>361.59</fb>
    <v>13</v>
  </rv>
  <rv s="7">
    <fb>169.62</fb>
    <v>13</v>
  </rv>
  <rv s="7">
    <fb>224.98</fb>
    <v>13</v>
  </rv>
  <rv s="7">
    <fb>560.80999999999995</fb>
    <v>13</v>
  </rv>
  <rv s="7">
    <fb>119.59</fb>
    <v>13</v>
  </rv>
  <rv s="7">
    <fb>17.690000000000001</fb>
    <v>13</v>
  </rv>
  <rv s="7">
    <fb>38.1</fb>
    <v>13</v>
  </rv>
  <rv s="7">
    <fb>140.41</fb>
    <v>13</v>
  </rv>
  <rv s="7">
    <fb>55.96</fb>
    <v>13</v>
  </rv>
  <rv s="7">
    <fb>171.35</fb>
    <v>13</v>
  </rv>
  <rv s="7">
    <fb>45590</fb>
    <v>14</v>
  </rv>
  <rv s="7">
    <fb>269.19</fb>
    <v>13</v>
  </rv>
  <rv s="7">
    <fb>187.83</fb>
    <v>13</v>
  </rv>
  <rv s="7">
    <fb>428.15</fb>
    <v>13</v>
  </rv>
  <rv s="7">
    <fb>359.04</fb>
    <v>13</v>
  </rv>
  <rv s="7">
    <fb>168.22</fb>
    <v>13</v>
  </rv>
  <rv s="7">
    <fb>222.31</fb>
    <v>13</v>
  </rv>
  <rv s="7">
    <fb>564.55999999999995</fb>
    <v>13</v>
  </rv>
  <rv s="7">
    <fb>119.49</fb>
    <v>13</v>
  </rv>
  <rv s="7">
    <fb>17.62</fb>
    <v>13</v>
  </rv>
  <rv s="7">
    <fb>37.9</fb>
    <v>13</v>
  </rv>
  <rv s="7">
    <fb>188.12</fb>
    <v>13</v>
  </rv>
  <rv s="7">
    <fb>141.54</fb>
    <v>13</v>
  </rv>
  <rv s="7">
    <fb>55.74</fb>
    <v>13</v>
  </rv>
  <rv s="7">
    <fb>173</fb>
    <v>13</v>
  </rv>
  <rv s="7">
    <fb>45593</fb>
    <v>14</v>
  </rv>
  <rv s="7">
    <fb>262.51</fb>
    <v>13</v>
  </rv>
  <rv s="7">
    <fb>188.39</fb>
    <v>13</v>
  </rv>
  <rv s="7">
    <fb>426.59</fb>
    <v>13</v>
  </rv>
  <rv s="7">
    <fb>363.27</fb>
    <v>13</v>
  </rv>
  <rv s="7">
    <fb>169.3</fb>
    <v>13</v>
  </rv>
  <rv s="7">
    <fb>225.5</fb>
    <v>13</v>
  </rv>
  <rv s="7">
    <fb>565.24</fb>
    <v>13</v>
  </rv>
  <rv s="7">
    <fb>118.9</fb>
    <v>13</v>
  </rv>
  <rv s="7">
    <fb>17.75</fb>
    <v>13</v>
  </rv>
  <rv s="7">
    <fb>37.85</fb>
    <v>13</v>
  </rv>
  <rv s="7">
    <fb>189.21</fb>
    <v>13</v>
  </rv>
  <rv s="7">
    <fb>140.52000000000001</fb>
    <v>13</v>
  </rv>
  <rv s="7">
    <fb>55.28</fb>
    <v>13</v>
  </rv>
  <rv s="7">
    <fb>172.02</fb>
    <v>13</v>
  </rv>
  <rv s="7">
    <fb>45594</fb>
    <v>14</v>
  </rv>
  <rv s="7">
    <fb>259.52</fb>
    <v>13</v>
  </rv>
  <rv s="7">
    <fb>190.83</fb>
    <v>13</v>
  </rv>
  <rv s="7">
    <fb>431.95</fb>
    <v>13</v>
  </rv>
  <rv s="7">
    <fb>361.62</fb>
    <v>13</v>
  </rv>
  <rv s="7">
    <fb>167.17</fb>
    <v>13</v>
  </rv>
  <rv s="7">
    <fb>222.9</fb>
    <v>13</v>
  </rv>
  <rv s="7">
    <fb>562.13</fb>
    <v>13</v>
  </rv>
  <rv s="7">
    <fb>117.28</fb>
    <v>13</v>
  </rv>
  <rv s="7">
    <fb>17.850000000000001</fb>
    <v>13</v>
  </rv>
  <rv s="7">
    <fb>38.01</fb>
    <v>13</v>
  </rv>
  <rv s="7">
    <fb>28.46</fb>
    <v>13</v>
  </rv>
  <rv s="7">
    <fb>141.25</fb>
    <v>13</v>
  </rv>
  <rv s="7">
    <fb>55.68</fb>
    <v>13</v>
  </rv>
  <rv s="7">
    <fb>45595</fb>
    <v>14</v>
  </rv>
  <rv s="7">
    <fb>257.55</fb>
    <v>13</v>
  </rv>
  <rv s="7">
    <fb>192.73</fb>
    <v>13</v>
  </rv>
  <rv s="7">
    <fb>432.53</fb>
    <v>13</v>
  </rv>
  <rv s="7">
    <fb>361.89</fb>
    <v>13</v>
  </rv>
  <rv s="7">
    <fb>166.16</fb>
    <v>13</v>
  </rv>
  <rv s="7">
    <fb>224.41</fb>
    <v>13</v>
  </rv>
  <rv s="7">
    <fb>562.96</fb>
    <v>13</v>
  </rv>
  <rv s="7">
    <fb>116.69</fb>
    <v>13</v>
  </rv>
  <rv s="7">
    <fb>17.98</fb>
    <v>13</v>
  </rv>
  <rv s="7">
    <fb>39.340000000000003</fb>
    <v>13</v>
  </rv>
  <rv s="7">
    <fb>28.52</fb>
    <v>13</v>
  </rv>
  <rv s="7">
    <fb>189.44</fb>
    <v>13</v>
  </rv>
  <rv s="7">
    <fb>139.33500000000001</fb>
    <v>13</v>
  </rv>
  <rv s="7">
    <fb>55.59</fb>
    <v>13</v>
  </rv>
  <rv s="7">
    <fb>45596</fb>
    <v>14</v>
  </rv>
  <rv s="7">
    <fb>249.85</fb>
    <v>13</v>
  </rv>
  <rv s="7">
    <fb>186.4</fb>
    <v>13</v>
  </rv>
  <rv s="7">
    <fb>406.35</fb>
    <v>13</v>
  </rv>
  <rv s="7">
    <fb>358.77</fb>
    <v>13</v>
  </rv>
  <rv s="7">
    <fb>221.92</fb>
    <v>13</v>
  </rv>
  <rv s="7">
    <fb>564.5</fb>
    <v>13</v>
  </rv>
  <rv s="7">
    <fb>17.600000000000001</fb>
    <v>13</v>
  </rv>
  <rv s="7">
    <fb>38.049999999999997</fb>
    <v>13</v>
  </rv>
  <rv s="7">
    <fb>186.52</fb>
    <v>13</v>
  </rv>
  <rv s="7">
    <fb>132.76</fb>
    <v>13</v>
  </rv>
  <rv s="7">
    <fb>54.77</fb>
    <v>13</v>
  </rv>
  <rv s="7">
    <fb>169.77</fb>
    <v>13</v>
  </rv>
  <rv s="7">
    <fb>45597</fb>
    <v>14</v>
  </rv>
  <rv s="7">
    <fb>248.98</fb>
    <v>13</v>
  </rv>
  <rv s="7">
    <fb>197.93</fb>
    <v>13</v>
  </rv>
  <rv s="7">
    <fb>410.37</fb>
    <v>13</v>
  </rv>
  <rv s="7">
    <fb>165.1</fb>
    <v>13</v>
  </rv>
  <rv s="7">
    <fb>222.94</fb>
    <v>13</v>
  </rv>
  <rv s="7">
    <fb>567.55999999999995</fb>
    <v>13</v>
  </rv>
  <rv s="7">
    <fb>114.95</fb>
    <v>13</v>
  </rv>
  <rv s="7">
    <fb>17.73</fb>
    <v>13</v>
  </rv>
  <rv s="7">
    <fb>38.409999999999997</fb>
    <v>13</v>
  </rv>
  <rv s="7">
    <fb>28.09</fb>
    <v>13</v>
  </rv>
  <rv s="7">
    <fb>184.15</fb>
    <v>13</v>
  </rv>
  <rv s="7">
    <fb>135.4</fb>
    <v>13</v>
  </rv>
  <rv s="7">
    <fb>55.5</fb>
    <v>13</v>
  </rv>
  <rv s="7">
    <fb>168.92</fb>
    <v>13</v>
  </rv>
  <rv s="7">
    <fb>45600</fb>
    <v>14</v>
  </rv>
  <rv s="7">
    <fb>242.84</fb>
    <v>13</v>
  </rv>
  <rv s="7">
    <fb>195.78</fb>
    <v>13</v>
  </rv>
  <rv s="7">
    <fb>408.46</fb>
    <v>13</v>
  </rv>
  <rv s="7">
    <fb>374.4</fb>
    <v>13</v>
  </rv>
  <rv s="7">
    <fb>165.08</fb>
    <v>13</v>
  </rv>
  <rv s="7">
    <fb>219.78</fb>
    <v>13</v>
  </rv>
  <rv s="7">
    <fb>557.77</fb>
    <v>13</v>
  </rv>
  <rv s="7">
    <fb>118.61</fb>
    <v>13</v>
  </rv>
  <rv s="7">
    <fb>17.739999999999998</fb>
    <v>13</v>
  </rv>
  <rv s="7">
    <fb>27.76</fb>
    <v>13</v>
  </rv>
  <rv s="7">
    <fb>182.37</fb>
    <v>13</v>
  </rv>
  <rv s="7">
    <fb>136.05000000000001</fb>
    <v>13</v>
  </rv>
  <rv s="7">
    <fb>55.83</fb>
    <v>13</v>
  </rv>
  <rv s="7">
    <fb>168.55</fb>
    <v>13</v>
  </rv>
  <rv s="7">
    <fb>45601</fb>
    <v>14</v>
  </rv>
  <rv s="7">
    <fb>251.44</fb>
    <v>13</v>
  </rv>
  <rv s="7">
    <fb>411.46</fb>
    <v>13</v>
  </rv>
  <rv s="7">
    <fb>378.21</fb>
    <v>13</v>
  </rv>
  <rv s="7">
    <fb>221.49</fb>
    <v>13</v>
  </rv>
  <rv s="7">
    <fb>567.03</fb>
    <v>13</v>
  </rv>
  <rv s="7">
    <fb>118.96</fb>
    <v>13</v>
  </rv>
  <rv s="7">
    <fb>18.05</fb>
    <v>13</v>
  </rv>
  <rv s="7">
    <fb>38.826999999999998</fb>
    <v>13</v>
  </rv>
  <rv s="7">
    <fb>185.06</fb>
    <v>13</v>
  </rv>
  <rv s="7">
    <fb>139.91</fb>
    <v>13</v>
  </rv>
  <rv s="7">
    <fb>56.16</fb>
    <v>13</v>
  </rv>
  <rv s="7">
    <fb>173.9</fb>
    <v>13</v>
  </rv>
  <rv s="7">
    <fb>45602</fb>
    <v>14</v>
  </rv>
  <rv s="7">
    <fb>288.52999999999997</fb>
    <v>13</v>
  </rv>
  <rv s="7">
    <fb>207.09</fb>
    <v>13</v>
  </rv>
  <rv s="7">
    <fb>420.18</fb>
    <v>13</v>
  </rv>
  <rv s="7">
    <fb>380.73</fb>
    <v>13</v>
  </rv>
  <rv s="7">
    <fb>161.05000000000001</fb>
    <v>13</v>
  </rv>
  <rv s="7">
    <fb>247.06</fb>
    <v>13</v>
  </rv>
  <rv s="7">
    <fb>596.69000000000005</fb>
    <v>13</v>
  </rv>
  <rv s="7">
    <fb>121</fb>
    <v>13</v>
  </rv>
  <rv s="7">
    <fb>17.989999999999998</fb>
    <v>13</v>
  </rv>
  <rv s="7">
    <fb>38.21</fb>
    <v>13</v>
  </rv>
  <rv s="7">
    <fb>188.79</fb>
    <v>13</v>
  </rv>
  <rv s="7">
    <fb>145.61000000000001</fb>
    <v>13</v>
  </rv>
  <rv s="7">
    <fb>57.87</fb>
    <v>13</v>
  </rv>
  <rv s="7">
    <fb>45603</fb>
    <v>14</v>
  </rv>
  <rv s="7">
    <fb>296.91000000000003</fb>
    <v>13</v>
  </rv>
  <rv s="7">
    <fb>425.43</fb>
    <v>13</v>
  </rv>
  <rv s="7">
    <fb>384</fb>
    <v>13</v>
  </rv>
  <rv s="7">
    <fb>163.41</fb>
    <v>13</v>
  </rv>
  <rv s="7">
    <fb>236.38</fb>
    <v>13</v>
  </rv>
  <rv s="7">
    <fb>605.45000000000005</fb>
    <v>13</v>
  </rv>
  <rv s="7">
    <fb>121.15</fb>
    <v>13</v>
  </rv>
  <rv s="7">
    <fb>18.27</fb>
    <v>13</v>
  </rv>
  <rv s="7">
    <fb>39.1</fb>
    <v>13</v>
  </rv>
  <rv s="7">
    <fb>27.46</fb>
    <v>13</v>
  </rv>
  <rv s="7">
    <fb>190.55</fb>
    <v>13</v>
  </rv>
  <rv s="7">
    <fb>148.88</fb>
    <v>13</v>
  </rv>
  <rv s="7">
    <fb>58.08</fb>
    <v>13</v>
  </rv>
  <rv s="7">
    <fb>183.81</fb>
    <v>13</v>
  </rv>
  <rv s="7">
    <fb>45604</fb>
    <v>14</v>
  </rv>
  <rv s="7">
    <fb>321.22000000000003</fb>
    <v>13</v>
  </rv>
  <rv s="7">
    <fb>208.18</fb>
    <v>13</v>
  </rv>
  <rv s="7">
    <fb>422.54</fb>
    <v>13</v>
  </rv>
  <rv s="7">
    <fb>386.67</fb>
    <v>13</v>
  </rv>
  <rv s="7">
    <fb>236.98</fb>
    <v>13</v>
  </rv>
  <rv s="7">
    <fb>615.80999999999995</fb>
    <v>13</v>
  </rv>
  <rv s="7">
    <fb>121.11</fb>
    <v>13</v>
  </rv>
  <rv s="7">
    <fb>19.91</fb>
    <v>13</v>
  </rv>
  <rv s="7">
    <fb>38.19</fb>
    <v>13</v>
  </rv>
  <rv s="7">
    <fb>26.72</fb>
    <v>13</v>
  </rv>
  <rv s="7">
    <fb>196.9</fb>
    <v>13</v>
  </rv>
  <rv s="7">
    <fb>147.63</fb>
    <v>13</v>
  </rv>
  <rv s="7">
    <fb>58.06</fb>
    <v>13</v>
  </rv>
  <rv s="7">
    <fb>183.64</fb>
    <v>13</v>
  </rv>
  <rv s="7">
    <fb>45607</fb>
    <v>14</v>
  </rv>
  <rv s="7">
    <fb>350</fb>
    <v>13</v>
  </rv>
  <rv s="7">
    <fb>206.84</fb>
    <v>13</v>
  </rv>
  <rv s="7">
    <fb>418.01</fb>
    <v>13</v>
  </rv>
  <rv s="7">
    <fb>389.25</fb>
    <v>13</v>
  </rv>
  <rv s="7">
    <fb>166.03</fb>
    <v>13</v>
  </rv>
  <rv s="7">
    <fb>239.29</fb>
    <v>13</v>
  </rv>
  <rv s="7">
    <fb>625.25</fb>
    <v>13</v>
  </rv>
  <rv s="7">
    <fb>120.47</fb>
    <v>13</v>
  </rv>
  <rv s="7">
    <fb>19.12</fb>
    <v>13</v>
  </rv>
  <rv s="7">
    <fb>38.6325</fb>
    <v>13</v>
  </rv>
  <rv s="7">
    <fb>26.24</fb>
    <v>13</v>
  </rv>
  <rv s="7">
    <fb>197.52</fb>
    <v>13</v>
  </rv>
  <rv s="7">
    <fb>145.26</fb>
    <v>13</v>
  </rv>
  <rv s="7">
    <fb>58.63</fb>
    <v>13</v>
  </rv>
  <rv s="7">
    <fb>178.91</fb>
    <v>13</v>
  </rv>
  <rv s="7">
    <fb>45608</fb>
    <v>14</v>
  </rv>
  <rv s="7">
    <fb>328.49</fb>
    <v>13</v>
  </rv>
  <rv s="7">
    <fb>208.91</fb>
    <v>13</v>
  </rv>
  <rv s="7">
    <fb>423.03</fb>
    <v>13</v>
  </rv>
  <rv s="7">
    <fb>383.67</fb>
    <v>13</v>
  </rv>
  <rv s="7">
    <fb>165.84</fb>
    <v>13</v>
  </rv>
  <rv s="7">
    <fb>239.56</fb>
    <v>13</v>
  </rv>
  <rv s="7">
    <fb>614.66999999999996</fb>
    <v>13</v>
  </rv>
  <rv s="7">
    <fb>18.670000000000002</fb>
    <v>13</v>
  </rv>
  <rv s="7">
    <fb>37.409999999999997</fb>
    <v>13</v>
  </rv>
  <rv s="7">
    <fb>26.19</fb>
    <v>13</v>
  </rv>
  <rv s="7">
    <fb>198.1</fb>
    <v>13</v>
  </rv>
  <rv s="7">
    <fb>148.29</fb>
    <v>13</v>
  </rv>
  <rv s="7">
    <fb>58.71</fb>
    <v>13</v>
  </rv>
  <rv s="7">
    <fb>176.22</fb>
    <v>13</v>
  </rv>
  <rv s="7">
    <fb>45609</fb>
    <v>14</v>
  </rv>
  <rv s="7">
    <fb>330.24</fb>
    <v>13</v>
  </rv>
  <rv s="7">
    <fb>214.1</fb>
    <v>13</v>
  </rv>
  <rv s="7">
    <fb>425.2</fb>
    <v>13</v>
  </rv>
  <rv s="7">
    <fb>387.29</fb>
    <v>13</v>
  </rv>
  <rv s="7">
    <fb>166.58</fb>
    <v>13</v>
  </rv>
  <rv s="7">
    <fb>241.16</fb>
    <v>13</v>
  </rv>
  <rv s="7">
    <fb>605.87</fb>
    <v>13</v>
  </rv>
  <rv s="7">
    <fb>121.47</fb>
    <v>13</v>
  </rv>
  <rv s="7">
    <fb>18.5</fb>
    <v>13</v>
  </rv>
  <rv s="7">
    <fb>36.65</fb>
    <v>13</v>
  </rv>
  <rv s="7">
    <fb>197.3</fb>
    <v>13</v>
  </rv>
  <rv s="7">
    <fb>146.27000000000001</fb>
    <v>13</v>
  </rv>
  <rv s="7">
    <fb>59.18</fb>
    <v>13</v>
  </rv>
  <rv s="7">
    <fb>173.58</fb>
    <v>13</v>
  </rv>
  <rv s="7">
    <fb>45610</fb>
    <v>14</v>
  </rv>
  <rv s="7">
    <fb>311.18</fb>
    <v>13</v>
  </rv>
  <rv s="7">
    <fb>211.48</fb>
    <v>13</v>
  </rv>
  <rv s="7">
    <fb>426.89</fb>
    <v>13</v>
  </rv>
  <rv s="7">
    <fb>388.46</fb>
    <v>13</v>
  </rv>
  <rv s="7">
    <fb>167.08</fb>
    <v>13</v>
  </rv>
  <rv s="7">
    <fb>241.87</fb>
    <v>13</v>
  </rv>
  <rv s="7">
    <fb>593.15</fb>
    <v>13</v>
  </rv>
  <rv s="7">
    <fb>18.489999999999998</fb>
    <v>13</v>
  </rv>
  <rv s="7">
    <fb>36.340000000000003</fb>
    <v>13</v>
  </rv>
  <rv s="7">
    <fb>26.02</fb>
    <v>13</v>
  </rv>
  <rv s="7">
    <fb>146.76</fb>
    <v>13</v>
  </rv>
  <rv s="7">
    <fb>57.92</fb>
    <v>13</v>
  </rv>
  <rv s="7">
    <fb>170.38</fb>
    <v>13</v>
  </rv>
  <rv s="7">
    <fb>45611</fb>
    <v>14</v>
  </rv>
  <rv s="7">
    <fb>320.72000000000003</fb>
    <v>13</v>
  </rv>
  <rv s="7">
    <fb>202.61</fb>
    <v>13</v>
  </rv>
  <rv s="7">
    <fb>415</fb>
    <v>13</v>
  </rv>
  <rv s="7">
    <fb>245.31</fb>
    <v>13</v>
  </rv>
  <rv s="7">
    <fb>592.23</fb>
    <v>13</v>
  </rv>
  <rv s="7">
    <fb>119.31</fb>
    <v>13</v>
  </rv>
  <rv s="7">
    <fb>18.46</fb>
    <v>13</v>
  </rv>
  <rv s="7">
    <fb>36.270000000000003</fb>
    <v>13</v>
  </rv>
  <rv s="7">
    <fb>24.8</fb>
    <v>13</v>
  </rv>
  <rv s="7">
    <fb>196.88</fb>
    <v>13</v>
  </rv>
  <rv s="7">
    <fb>141.97999999999999</fb>
    <v>13</v>
  </rv>
  <rv s="7">
    <fb>57.46</fb>
    <v>13</v>
  </rv>
  <rv s="7">
    <fb>45614</fb>
    <v>14</v>
  </rv>
  <rv s="7">
    <fb>338.74</fb>
    <v>13</v>
  </rv>
  <rv s="7">
    <fb>201.7</fb>
    <v>13</v>
  </rv>
  <rv s="7">
    <fb>415.76</fb>
    <v>13</v>
  </rv>
  <rv s="7">
    <fb>375.35</fb>
    <v>13</v>
  </rv>
  <rv s="7">
    <fb>170.75</fb>
    <v>13</v>
  </rv>
  <rv s="7">
    <fb>245.03</fb>
    <v>13</v>
  </rv>
  <rv s="7">
    <fb>589.65</fb>
    <v>13</v>
  </rv>
  <rv s="7">
    <fb>120.31</fb>
    <v>13</v>
  </rv>
  <rv s="7">
    <fb>36.450000000000003</fb>
    <v>13</v>
  </rv>
  <rv s="7">
    <fb>24.86</fb>
    <v>13</v>
  </rv>
  <rv s="7">
    <fb>199.97</fb>
    <v>13</v>
  </rv>
  <rv s="7">
    <fb>140.15</fb>
    <v>13</v>
  </rv>
  <rv s="7">
    <fb>57.31</fb>
    <v>13</v>
  </rv>
  <rv s="7">
    <fb>165.67</fb>
    <v>13</v>
  </rv>
  <rv s="7">
    <fb>45615</fb>
    <v>14</v>
  </rv>
  <rv s="7">
    <fb>346</fb>
    <v>13</v>
  </rv>
  <rv s="7">
    <fb>204.61</fb>
    <v>13</v>
  </rv>
  <rv s="7">
    <fb>417.79</fb>
    <v>13</v>
  </rv>
  <rv s="7">
    <fb>373.5</fb>
    <v>13</v>
  </rv>
  <rv s="7">
    <fb>170.76</fb>
    <v>13</v>
  </rv>
  <rv s="7">
    <fb>243.09</fb>
    <v>13</v>
  </rv>
  <rv s="7">
    <fb>577</fb>
    <v>13</v>
  </rv>
  <rv s="7">
    <fb>18.920000000000002</fb>
    <v>13</v>
  </rv>
  <rv s="7">
    <fb>36.33</fb>
    <v>13</v>
  </rv>
  <rv s="7">
    <fb>25.1</fb>
    <v>13</v>
  </rv>
  <rv s="7">
    <fb>196.6</fb>
    <v>13</v>
  </rv>
  <rv s="7">
    <fb>147.01</fb>
    <v>13</v>
  </rv>
  <rv s="7">
    <fb>57.01</fb>
    <v>13</v>
  </rv>
  <rv s="7">
    <fb>165.35</fb>
    <v>13</v>
  </rv>
  <rv s="7">
    <fb>45616</fb>
    <v>14</v>
  </rv>
  <rv s="7">
    <fb>342.03</fb>
    <v>13</v>
  </rv>
  <rv s="7">
    <fb>202.88</fb>
    <v>13</v>
  </rv>
  <rv s="7">
    <fb>415.49</fb>
    <v>13</v>
  </rv>
  <rv s="7">
    <fb>371.66</fb>
    <v>13</v>
  </rv>
  <rv s="7">
    <fb>170.89</fb>
    <v>13</v>
  </rv>
  <rv s="7">
    <fb>240.78</fb>
    <v>13</v>
  </rv>
  <rv s="7">
    <fb>600.5</fb>
    <v>13</v>
  </rv>
  <rv s="7">
    <fb>120.32</fb>
    <v>13</v>
  </rv>
  <rv s="7">
    <fb>19.18</fb>
    <v>13</v>
  </rv>
  <rv s="7">
    <fb>36.39</fb>
    <v>13</v>
  </rv>
  <rv s="7">
    <fb>24.94</fb>
    <v>13</v>
  </rv>
  <rv s="7">
    <fb>197.29</fb>
    <v>13</v>
  </rv>
  <rv s="7">
    <fb>145.88999999999999</fb>
    <v>13</v>
  </rv>
  <rv s="7">
    <fb>57.5</fb>
    <v>13</v>
  </rv>
  <rv s="7">
    <fb>163.25</fb>
    <v>13</v>
  </rv>
  <rv s="7">
    <fb>45617</fb>
    <v>14</v>
  </rv>
  <rv s="7">
    <fb>339.64</fb>
    <v>13</v>
  </rv>
  <rv s="7">
    <fb>198.38</fb>
    <v>13</v>
  </rv>
  <rv s="7">
    <fb>412.87</fb>
    <v>13</v>
  </rv>
  <rv s="7">
    <fb>383.32</fb>
    <v>13</v>
  </rv>
  <rv s="7">
    <fb>172.75</fb>
    <v>13</v>
  </rv>
  <rv s="7">
    <fb>244.76</fb>
    <v>13</v>
  </rv>
  <rv s="7">
    <fb>597.49</fb>
    <v>13</v>
  </rv>
  <rv s="7">
    <fb>121.93</fb>
    <v>13</v>
  </rv>
  <rv s="7">
    <fb>19.07</fb>
    <v>13</v>
  </rv>
  <rv s="7">
    <fb>36.590000000000003</fb>
    <v>13</v>
  </rv>
  <rv s="7">
    <fb>25.13</fb>
    <v>13</v>
  </rv>
  <rv s="7">
    <fb>203.48</fb>
    <v>13</v>
  </rv>
  <rv s="7">
    <fb>146.66999999999999</fb>
    <v>13</v>
  </rv>
  <rv s="7">
    <fb>57.56</fb>
    <v>13</v>
  </rv>
  <rv s="7">
    <fb>163.94</fb>
    <v>13</v>
  </rv>
  <rv s="7">
    <fb>45618</fb>
    <v>14</v>
  </rv>
  <rv s="7">
    <fb>352.56</fb>
    <v>13</v>
  </rv>
  <rv s="7">
    <fb>197.12</fb>
    <v>13</v>
  </rv>
  <rv s="7">
    <fb>417</fb>
    <v>13</v>
  </rv>
  <rv s="7">
    <fb>388.3</fb>
    <v>13</v>
  </rv>
  <rv s="7">
    <fb>176.28</fb>
    <v>13</v>
  </rv>
  <rv s="7">
    <fb>248.55</fb>
    <v>13</v>
  </rv>
  <rv s="7">
    <fb>590.87</fb>
    <v>13</v>
  </rv>
  <rv s="7">
    <fb>19.059999999999999</fb>
    <v>13</v>
  </rv>
  <rv s="7">
    <fb>35.92</fb>
    <v>13</v>
  </rv>
  <rv s="7">
    <fb>25.65</fb>
    <v>13</v>
  </rv>
  <rv s="7">
    <fb>203.8</fb>
    <v>13</v>
  </rv>
  <rv s="7">
    <fb>141.94999999999999</fb>
    <v>13</v>
  </rv>
  <rv s="7">
    <fb>58.55</fb>
    <v>13</v>
  </rv>
  <rv s="7">
    <fb>164.23</fb>
    <v>13</v>
  </rv>
  <rv s="7">
    <fb>45621</fb>
    <v>14</v>
  </rv>
  <rv s="7">
    <fb>338.59</fb>
    <v>13</v>
  </rv>
  <rv s="7">
    <fb>201.45</fb>
    <v>13</v>
  </rv>
  <rv s="7">
    <fb>418.79</fb>
    <v>13</v>
  </rv>
  <rv s="7">
    <fb>399.71</fb>
    <v>13</v>
  </rv>
  <rv s="7">
    <fb>177.39</fb>
    <v>13</v>
  </rv>
  <rv s="7">
    <fb>250.29</fb>
    <v>13</v>
  </rv>
  <rv s="7">
    <fb>605.83000000000004</fb>
    <v>13</v>
  </rv>
  <rv s="7">
    <fb>119.97</fb>
    <v>13</v>
  </rv>
  <rv s="7">
    <fb>19.420000000000002</fb>
    <v>13</v>
  </rv>
  <rv s="7">
    <fb>26.17</fb>
    <v>13</v>
  </rv>
  <rv s="7">
    <fb>202.03</fb>
    <v>13</v>
  </rv>
  <rv s="7">
    <fb>136.02000000000001</fb>
    <v>13</v>
  </rv>
  <rv s="7">
    <fb>58.74</fb>
    <v>13</v>
  </rv>
  <rv s="7">
    <fb>164.82</fb>
    <v>13</v>
  </rv>
  <rv s="7">
    <fb>45622</fb>
    <v>14</v>
  </rv>
  <rv s="7">
    <fb>338.23</fb>
    <v>13</v>
  </rv>
  <rv s="7">
    <fb>427.99</fb>
    <v>13</v>
  </rv>
  <rv s="7">
    <fb>396.14</fb>
    <v>13</v>
  </rv>
  <rv s="7">
    <fb>179.31</fb>
    <v>13</v>
  </rv>
  <rv s="7">
    <fb>249.97</fb>
    <v>13</v>
  </rv>
  <rv s="7">
    <fb>606.79</fb>
    <v>13</v>
  </rv>
  <rv s="7">
    <fb>117.97</fb>
    <v>13</v>
  </rv>
  <rv s="7">
    <fb>19.37</fb>
    <v>13</v>
  </rv>
  <rv s="7">
    <fb>35.65</fb>
    <v>13</v>
  </rv>
  <rv s="7">
    <fb>25.77</fb>
    <v>13</v>
  </rv>
  <rv s="7">
    <fb>207.87</fb>
    <v>13</v>
  </rv>
  <rv s="7">
    <fb>136.91999999999999</fb>
    <v>13</v>
  </rv>
  <rv s="7">
    <fb>59.59</fb>
    <v>13</v>
  </rv>
  <rv s="7">
    <fb>164.74</fb>
    <v>13</v>
  </rv>
  <rv s="7">
    <fb>45623</fb>
    <v>14</v>
  </rv>
  <rv s="7">
    <fb>332.89</fb>
    <v>13</v>
  </rv>
  <rv s="7">
    <fb>205.74</fb>
    <v>13</v>
  </rv>
  <rv s="7">
    <fb>422.99</fb>
    <v>13</v>
  </rv>
  <rv s="7">
    <fb>393.96</fb>
    <v>13</v>
  </rv>
  <rv s="7">
    <fb>179.36</fb>
    <v>13</v>
  </rv>
  <rv s="7">
    <fb>249.79</fb>
    <v>13</v>
  </rv>
  <rv s="7">
    <fb>608.38</fb>
    <v>13</v>
  </rv>
  <rv s="7">
    <fb>117.66</fb>
    <v>13</v>
  </rv>
  <rv s="7">
    <fb>19.760000000000002</fb>
    <v>13</v>
  </rv>
  <rv s="7">
    <fb>25.83</fb>
    <v>13</v>
  </rv>
  <rv s="7">
    <fb>208.2</fb>
    <v>13</v>
  </rv>
  <rv s="7">
    <fb>135.34</fb>
    <v>13</v>
  </rv>
  <rv s="7">
    <fb>59.29</fb>
    <v>13</v>
  </rv>
  <rv s="7">
    <fb>159.66999999999999</fb>
    <v>13</v>
  </rv>
  <rv s="7">
    <fb>45625</fb>
    <v>14</v>
  </rv>
  <rv s="7">
    <fb>345.16</fb>
    <v>13</v>
  </rv>
  <rv s="7">
    <fb>207.89</fb>
    <v>13</v>
  </rv>
  <rv s="7">
    <fb>423.46</fb>
    <v>13</v>
  </rv>
  <rv s="7">
    <fb>397.4</fb>
    <v>13</v>
  </rv>
  <rv s="7">
    <fb>179.26</fb>
    <v>13</v>
  </rv>
  <rv s="7">
    <fb>249.72</fb>
    <v>13</v>
  </rv>
  <rv s="7">
    <fb>610.20000000000005</fb>
    <v>13</v>
  </rv>
  <rv s="7">
    <fb>20.05</fb>
    <v>13</v>
  </rv>
  <rv s="7">
    <fb>39</fb>
    <v>13</v>
  </rv>
  <rv s="7">
    <fb>26.21</fb>
    <v>13</v>
  </rv>
  <rv s="7">
    <fb>207.39</fb>
    <v>13</v>
  </rv>
  <rv s="7">
    <fb>138.25</fb>
    <v>13</v>
  </rv>
  <rv s="7">
    <fb>59.21</fb>
    <v>13</v>
  </rv>
  <rv s="7">
    <fb>162.08000000000001</fb>
    <v>13</v>
  </rv>
  <rv s="7">
    <fb>45628</fb>
    <v>14</v>
  </rv>
  <rv s="7">
    <fb>357.09</fb>
    <v>13</v>
  </rv>
  <rv s="7">
    <fb>210.71</fb>
    <v>13</v>
  </rv>
  <rv s="7">
    <fb>430.98</fb>
    <v>13</v>
  </rv>
  <rv s="7">
    <fb>395.58</fb>
    <v>13</v>
  </rv>
  <rv s="7">
    <fb>179.7</fb>
    <v>13</v>
  </rv>
  <rv s="7">
    <fb>246.25</fb>
    <v>13</v>
  </rv>
  <rv s="7">
    <fb>608.52</fb>
    <v>13</v>
  </rv>
  <rv s="7">
    <fb>20.010000000000002</fb>
    <v>13</v>
  </rv>
  <rv s="7">
    <fb>39.43</fb>
    <v>13</v>
  </rv>
  <rv s="7">
    <fb>25.82</fb>
    <v>13</v>
  </rv>
  <rv s="7">
    <fb>204.39</fb>
    <v>13</v>
  </rv>
  <rv s="7">
    <fb>138.63</fb>
    <v>13</v>
  </rv>
  <rv s="7">
    <fb>59.43</fb>
    <v>13</v>
  </rv>
  <rv s="7">
    <fb>45629</fb>
    <v>14</v>
  </rv>
  <rv s="7">
    <fb>351.42</fb>
    <v>13</v>
  </rv>
  <rv s="7">
    <fb>213.44</fb>
    <v>13</v>
  </rv>
  <rv s="7">
    <fb>431.2</fb>
    <v>13</v>
  </rv>
  <rv s="7">
    <fb>395.32</fb>
    <v>13</v>
  </rv>
  <rv s="7">
    <fb>175.42</fb>
    <v>13</v>
  </rv>
  <rv s="7">
    <fb>244.82</fb>
    <v>13</v>
  </rv>
  <rv s="7">
    <fb>605.23</fb>
    <v>13</v>
  </rv>
  <rv s="7">
    <fb>20.47</fb>
    <v>13</v>
  </rv>
  <rv s="7">
    <fb>39.840000000000003</fb>
    <v>13</v>
  </rv>
  <rv s="7">
    <fb>25.56</fb>
    <v>13</v>
  </rv>
  <rv s="7">
    <fb>203.4</fb>
    <v>13</v>
  </rv>
  <rv s="7">
    <fb>140.26</fb>
    <v>13</v>
  </rv>
  <rv s="7">
    <fb>59.48</fb>
    <v>13</v>
  </rv>
  <rv s="7">
    <fb>168.15</fb>
    <v>13</v>
  </rv>
  <rv s="7">
    <fb>45630</fb>
    <v>14</v>
  </rv>
  <rv s="7">
    <fb>357.93</fb>
    <v>13</v>
  </rv>
  <rv s="7">
    <fb>218.16</fb>
    <v>13</v>
  </rv>
  <rv s="7">
    <fb>437.42</fb>
    <v>13</v>
  </rv>
  <rv s="7">
    <fb>392.07</fb>
    <v>13</v>
  </rv>
  <rv s="7">
    <fb>175.11</fb>
    <v>13</v>
  </rv>
  <rv s="7">
    <fb>243.4</fb>
    <v>13</v>
  </rv>
  <rv s="7">
    <fb>610.79</fb>
    <v>13</v>
  </rv>
  <rv s="7">
    <fb>114.28</fb>
    <v>13</v>
  </rv>
  <rv s="7">
    <fb>20.99</fb>
    <v>13</v>
  </rv>
  <rv s="7">
    <fb>40.31</fb>
    <v>13</v>
  </rv>
  <rv s="7">
    <fb>25.23</fb>
    <v>13</v>
  </rv>
  <rv s="7">
    <fb>204.95</fb>
    <v>13</v>
  </rv>
  <rv s="7">
    <fb>145.13999999999999</fb>
    <v>13</v>
  </rv>
  <rv s="7">
    <fb>59.62</fb>
    <v>13</v>
  </rv>
  <rv s="7">
    <fb>170.56</fb>
    <v>13</v>
  </rv>
  <rv s="7">
    <fb>45631</fb>
    <v>14</v>
  </rv>
  <rv s="7">
    <fb>369.49</fb>
    <v>13</v>
  </rv>
  <rv s="7">
    <fb>220.55</fb>
    <v>13</v>
  </rv>
  <rv s="7">
    <fb>442.62</fb>
    <v>13</v>
  </rv>
  <rv s="7">
    <fb>385.24</fb>
    <v>13</v>
  </rv>
  <rv s="7">
    <fb>176.03</fb>
    <v>13</v>
  </rv>
  <rv s="7">
    <fb>245.48</fb>
    <v>13</v>
  </rv>
  <rv s="7">
    <fb>578.97</fb>
    <v>13</v>
  </rv>
  <rv s="7">
    <fb>114.78</fb>
    <v>13</v>
  </rv>
  <rv s="7">
    <fb>20.9</fb>
    <v>13</v>
  </rv>
  <rv s="7">
    <fb>40.42</fb>
    <v>13</v>
  </rv>
  <rv s="7">
    <fb>25.7</fb>
    <v>13</v>
  </rv>
  <rv s="7">
    <fb>204.23</fb>
    <v>13</v>
  </rv>
  <rv s="7">
    <fb>145.06</fb>
    <v>13</v>
  </rv>
  <rv s="7">
    <fb>60.02</fb>
    <v>13</v>
  </rv>
  <rv s="7">
    <fb>170.47</fb>
    <v>13</v>
  </rv>
  <rv s="7">
    <fb>45632</fb>
    <v>14</v>
  </rv>
  <rv s="7">
    <fb>389.22</fb>
    <v>13</v>
  </rv>
  <rv s="7">
    <fb>227.03</fb>
    <v>13</v>
  </rv>
  <rv s="7">
    <fb>443.57</fb>
    <v>13</v>
  </rv>
  <rv s="7">
    <fb>384.96</fb>
    <v>13</v>
  </rv>
  <rv s="7">
    <fb>173.82</fb>
    <v>13</v>
  </rv>
  <rv s="7">
    <fb>247.36</fb>
    <v>13</v>
  </rv>
  <rv s="7">
    <fb>549.62</fb>
    <v>13</v>
  </rv>
  <rv s="7">
    <fb>113.57</fb>
    <v>13</v>
  </rv>
  <rv s="7">
    <fb>20.94</fb>
    <v>13</v>
  </rv>
  <rv s="7">
    <fb>40.880000000000003</fb>
    <v>13</v>
  </rv>
  <rv s="7">
    <fb>25.73</fb>
    <v>13</v>
  </rv>
  <rv s="7">
    <fb>203.64</fb>
    <v>13</v>
  </rv>
  <rv s="7">
    <fb>142.44</fb>
    <v>13</v>
  </rv>
  <rv s="7">
    <fb>59.89</fb>
    <v>13</v>
  </rv>
  <rv s="7">
    <fb>179.53</fb>
    <v>13</v>
  </rv>
  <rv s="7">
    <fb>45635</fb>
    <v>14</v>
  </rv>
  <rv s="7">
    <fb>389.79</fb>
    <v>13</v>
  </rv>
  <rv s="7">
    <fb>226.09</fb>
    <v>13</v>
  </rv>
  <rv s="7">
    <fb>446.02</fb>
    <v>13</v>
  </rv>
  <rv s="7">
    <fb>170.79</fb>
    <v>13</v>
  </rv>
  <rv s="7">
    <fb>243.81</fb>
    <v>13</v>
  </rv>
  <rv s="7">
    <fb>560.62</fb>
    <v>13</v>
  </rv>
  <rv s="7">
    <fb>112.9</fb>
    <v>13</v>
  </rv>
  <rv s="7">
    <fb>21.1</fb>
    <v>13</v>
  </rv>
  <rv s="7">
    <fb>26.1</fb>
    <v>13</v>
  </rv>
  <rv s="7">
    <fb>199.04</fb>
    <v>13</v>
  </rv>
  <rv s="7">
    <fb>138.81</fb>
    <v>13</v>
  </rv>
  <rv s="7">
    <fb>58.95</fb>
    <v>13</v>
  </rv>
  <rv s="7">
    <fb>178.94</fb>
    <v>13</v>
  </rv>
  <rv s="7">
    <fb>45636</fb>
    <v>14</v>
  </rv>
  <rv s="7">
    <fb>400.99</fb>
    <v>13</v>
  </rv>
  <rv s="7">
    <fb>225.04</fb>
    <v>13</v>
  </rv>
  <rv s="7">
    <fb>443.33</fb>
    <v>13</v>
  </rv>
  <rv s="7">
    <fb>242.86</fb>
    <v>13</v>
  </rv>
  <rv s="7">
    <fb>565.19000000000005</fb>
    <v>13</v>
  </rv>
  <rv s="7">
    <fb>21.77</fb>
    <v>13</v>
  </rv>
  <rv s="7">
    <fb>41</fb>
    <v>13</v>
  </rv>
  <rv s="7">
    <fb>25.57</fb>
    <v>13</v>
  </rv>
  <rv s="7">
    <fb>195.06</fb>
    <v>13</v>
  </rv>
  <rv s="7">
    <fb>135.07</fb>
    <v>13</v>
  </rv>
  <rv s="7">
    <fb>58.72</fb>
    <v>13</v>
  </rv>
  <rv s="7">
    <fb>171.81</fb>
    <v>13</v>
  </rv>
  <rv s="7">
    <fb>45637</fb>
    <v>14</v>
  </rv>
  <rv s="7">
    <fb>424.77</fb>
    <v>13</v>
  </rv>
  <rv s="7">
    <fb>230.26</fb>
    <v>13</v>
  </rv>
  <rv s="7">
    <fb>448.99</fb>
    <v>13</v>
  </rv>
  <rv s="7">
    <fb>371.94</fb>
    <v>13</v>
  </rv>
  <rv s="7">
    <fb>170.63</fb>
    <v>13</v>
  </rv>
  <rv s="7">
    <fb>243.53</fb>
    <v>13</v>
  </rv>
  <rv s="7">
    <fb>533.53</fb>
    <v>13</v>
  </rv>
  <rv s="7">
    <fb>22.17</fb>
    <v>13</v>
  </rv>
  <rv s="7">
    <fb>193.3</fb>
    <v>13</v>
  </rv>
  <rv s="7">
    <fb>139.31</fb>
    <v>13</v>
  </rv>
  <rv s="7">
    <fb>58.59</fb>
    <v>13</v>
  </rv>
  <rv s="7">
    <fb>45638</fb>
    <v>14</v>
  </rv>
  <rv s="7">
    <fb>418.1</fb>
    <v>13</v>
  </rv>
  <rv s="7">
    <fb>228.97</fb>
    <v>13</v>
  </rv>
  <rv s="7">
    <fb>449.56</fb>
    <v>13</v>
  </rv>
  <rv s="7">
    <fb>366.85</fb>
    <v>13</v>
  </rv>
  <rv s="7">
    <fb>170.85</fb>
    <v>13</v>
  </rv>
  <rv s="7">
    <fb>241.53</fb>
    <v>13</v>
  </rv>
  <rv s="7">
    <fb>515.76</fb>
    <v>13</v>
  </rv>
  <rv s="7">
    <fb>111.82</fb>
    <v>13</v>
  </rv>
  <rv s="7">
    <fb>22.38</fb>
    <v>13</v>
  </rv>
  <rv s="7">
    <fb>41.56</fb>
    <v>13</v>
  </rv>
  <rv s="7">
    <fb>25.37</fb>
    <v>13</v>
  </rv>
  <rv s="7">
    <fb>192.3</fb>
    <v>13</v>
  </rv>
  <rv s="7">
    <fb>137.34</fb>
    <v>13</v>
  </rv>
  <rv s="7">
    <fb>58.85</fb>
    <v>13</v>
  </rv>
  <rv s="7">
    <fb>180.66</fb>
    <v>13</v>
  </rv>
  <rv s="7">
    <fb>45639</fb>
    <v>14</v>
  </rv>
  <rv s="7">
    <fb>436.23</fb>
    <v>13</v>
  </rv>
  <rv s="7">
    <fb>227.46</fb>
    <v>13</v>
  </rv>
  <rv s="7">
    <fb>447.27</fb>
    <v>13</v>
  </rv>
  <rv s="7">
    <fb>364.5</fb>
    <v>13</v>
  </rv>
  <rv s="7">
    <fb>171.06</fb>
    <v>13</v>
  </rv>
  <rv s="7">
    <fb>239.94</fb>
    <v>13</v>
  </rv>
  <rv s="7">
    <fb>520.48</fb>
    <v>13</v>
  </rv>
  <rv s="7">
    <fb>110.84</fb>
    <v>13</v>
  </rv>
  <rv s="7">
    <fb>21.69</fb>
    <v>13</v>
  </rv>
  <rv s="7">
    <fb>42.02</fb>
    <v>13</v>
  </rv>
  <rv s="7">
    <fb>25.58</fb>
    <v>13</v>
  </rv>
  <rv s="7">
    <fb>196.26</fb>
    <v>13</v>
  </rv>
  <rv s="7">
    <fb>134.25</fb>
    <v>13</v>
  </rv>
  <rv s="7">
    <fb>58.62</fb>
    <v>13</v>
  </rv>
  <rv s="7">
    <fb>45642</fb>
    <v>14</v>
  </rv>
  <rv s="7">
    <fb>463.02</fb>
    <v>13</v>
  </rv>
  <rv s="7">
    <fb>232.93</fb>
    <v>13</v>
  </rv>
  <rv s="7">
    <fb>451.59</fb>
    <v>13</v>
  </rv>
  <rv s="7">
    <fb>365.03</fb>
    <v>13</v>
  </rv>
  <rv s="7">
    <fb>171.14</fb>
    <v>13</v>
  </rv>
  <rv s="7">
    <fb>239.58</fb>
    <v>13</v>
  </rv>
  <rv s="7">
    <fb>498.5</fb>
    <v>13</v>
  </rv>
  <rv s="7">
    <fb>108.47</fb>
    <v>13</v>
  </rv>
  <rv s="7">
    <fb>21.49</fb>
    <v>13</v>
  </rv>
  <rv s="7">
    <fb>41.44</fb>
    <v>13</v>
  </rv>
  <rv s="7">
    <fb>25.25</fb>
    <v>13</v>
  </rv>
  <rv s="7">
    <fb>195.02</fb>
    <v>13</v>
  </rv>
  <rv s="7">
    <fb>132</fb>
    <v>13</v>
  </rv>
  <rv s="7">
    <fb>58.35</fb>
    <v>13</v>
  </rv>
  <rv s="7">
    <fb>45643</fb>
    <v>14</v>
  </rv>
  <rv s="7">
    <fb>479.86</fb>
    <v>13</v>
  </rv>
  <rv s="7">
    <fb>231.15</fb>
    <v>13</v>
  </rv>
  <rv s="7">
    <fb>454.46</fb>
    <v>13</v>
  </rv>
  <rv s="7">
    <fb>362.79</fb>
    <v>13</v>
  </rv>
  <rv s="7">
    <fb>170.33</fb>
    <v>13</v>
  </rv>
  <rv s="7">
    <fb>238.36</fb>
    <v>13</v>
  </rv>
  <rv s="7">
    <fb>485.52</fb>
    <v>13</v>
  </rv>
  <rv s="7">
    <fb>108.01</fb>
    <v>13</v>
  </rv>
  <rv s="7">
    <fb>21.73</fb>
    <v>13</v>
  </rv>
  <rv s="7">
    <fb>41.46</fb>
    <v>13</v>
  </rv>
  <rv s="7">
    <fb>193.4</fb>
    <v>13</v>
  </rv>
  <rv s="7">
    <fb>130.38999999999999</fb>
    <v>13</v>
  </rv>
  <rv s="7">
    <fb>58.52</fb>
    <v>13</v>
  </rv>
  <rv s="7">
    <fb>240.23</fb>
    <v>13</v>
  </rv>
  <rv s="7">
    <fb>45644</fb>
    <v>14</v>
  </rv>
  <rv s="7">
    <fb>440.13</fb>
    <v>13</v>
  </rv>
  <rv s="7">
    <fb>220.52</fb>
    <v>13</v>
  </rv>
  <rv s="7">
    <fb>437.39</fb>
    <v>13</v>
  </rv>
  <rv s="7">
    <fb>348.66</fb>
    <v>13</v>
  </rv>
  <rv s="7">
    <fb>230.37</fb>
    <v>13</v>
  </rv>
  <rv s="7">
    <fb>499.72</fb>
    <v>13</v>
  </rv>
  <rv s="7">
    <fb>106.42</fb>
    <v>13</v>
  </rv>
  <rv s="7">
    <fb>20.91</fb>
    <v>13</v>
  </rv>
  <rv s="7">
    <fb>40.69</fb>
    <v>13</v>
  </rv>
  <rv s="7">
    <fb>189.25</fb>
    <v>13</v>
  </rv>
  <rv s="7">
    <fb>128.91</fb>
    <v>13</v>
  </rv>
  <rv s="7">
    <fb>57.53</fb>
    <v>13</v>
  </rv>
  <rv s="7">
    <fb>223.62</fb>
    <v>13</v>
  </rv>
  <rv s="7">
    <fb>45645</fb>
    <v>14</v>
  </rv>
  <rv s="7">
    <fb>436.17</fb>
    <v>13</v>
  </rv>
  <rv s="7">
    <fb>223.29</fb>
    <v>13</v>
  </rv>
  <rv s="7">
    <fb>437.03</fb>
    <v>13</v>
  </rv>
  <rv s="7">
    <fb>342.38</fb>
    <v>13</v>
  </rv>
  <rv s="7">
    <fb>169.19</fb>
    <v>13</v>
  </rv>
  <rv s="7">
    <fb>232.96</fb>
    <v>13</v>
  </rv>
  <rv s="7">
    <fb>489.25</fb>
    <v>13</v>
  </rv>
  <rv s="7">
    <fb>105.51</fb>
    <v>13</v>
  </rv>
  <rv s="7">
    <fb>20.66</fb>
    <v>13</v>
  </rv>
  <rv s="7">
    <fb>40.46</fb>
    <v>13</v>
  </rv>
  <rv s="7">
    <fb>189.79</fb>
    <v>13</v>
  </rv>
  <rv s="7">
    <fb>130.68</fb>
    <v>13</v>
  </rv>
  <rv s="7">
    <fb>57.63</fb>
    <v>13</v>
  </rv>
  <rv s="7">
    <fb>218.32</fb>
    <v>13</v>
  </rv>
  <rv s="7">
    <fb>45646</fb>
    <v>14</v>
  </rv>
  <rv s="7">
    <fb>421.06</fb>
    <v>13</v>
  </rv>
  <rv s="7">
    <fb>224.92</fb>
    <v>13</v>
  </rv>
  <rv s="7">
    <fb>436.6</fb>
    <v>13</v>
  </rv>
  <rv s="7">
    <fb>345.47</fb>
    <v>13</v>
  </rv>
  <rv s="7">
    <fb>237.6</fb>
    <v>13</v>
  </rv>
  <rv s="7">
    <fb>500.13</fb>
    <v>13</v>
  </rv>
  <rv s="7">
    <fb>105.87</fb>
    <v>13</v>
  </rv>
  <rv s="7">
    <fb>21.02</fb>
    <v>13</v>
  </rv>
  <rv s="7">
    <fb>26.36</fb>
    <v>13</v>
  </rv>
  <rv s="7">
    <fb>193.56</fb>
    <v>13</v>
  </rv>
  <rv s="7">
    <fb>134.69999999999999</fb>
    <v>13</v>
  </rv>
  <rv s="7">
    <fb>220.79</fb>
    <v>13</v>
  </rv>
  <rv s="7">
    <fb>45649</fb>
    <v>14</v>
  </rv>
  <rv s="7">
    <fb>430.6</fb>
    <v>13</v>
  </rv>
  <rv s="7">
    <fb>225.06</fb>
    <v>13</v>
  </rv>
  <rv s="7">
    <fb>435.25</fb>
    <v>13</v>
  </rv>
  <rv s="7">
    <fb>344.84</fb>
    <v>13</v>
  </rv>
  <rv s="7">
    <fb>168.11</fb>
    <v>13</v>
  </rv>
  <rv s="7">
    <fb>238.39</fb>
    <v>13</v>
  </rv>
  <rv s="7">
    <fb>506.34</fb>
    <v>13</v>
  </rv>
  <rv s="7">
    <fb>106.3</fb>
    <v>13</v>
  </rv>
  <rv s="7">
    <fb>21.16</fb>
    <v>13</v>
  </rv>
  <rv s="7">
    <fb>40.06</fb>
    <v>13</v>
  </rv>
  <rv s="7">
    <fb>26.71</fb>
    <v>13</v>
  </rv>
  <rv s="7">
    <fb>193.63</fb>
    <v>13</v>
  </rv>
  <rv s="7">
    <fb>139.66999999999999</fb>
    <v>13</v>
  </rv>
  <rv s="7">
    <fb>58.98</fb>
    <v>13</v>
  </rv>
  <rv s="7">
    <fb>232.35</fb>
    <v>13</v>
  </rv>
  <rv s="7">
    <fb>45650</fb>
    <v>14</v>
  </rv>
  <rv s="7">
    <fb>462.28</fb>
    <v>13</v>
  </rv>
  <rv s="7">
    <fb>229.05</fb>
    <v>13</v>
  </rv>
  <rv s="7">
    <fb>439.33</fb>
    <v>13</v>
  </rv>
  <rv s="7">
    <fb>346.52</fb>
    <v>13</v>
  </rv>
  <rv s="7">
    <fb>168.94</fb>
    <v>13</v>
  </rv>
  <rv s="7">
    <fb>242.31</fb>
    <v>13</v>
  </rv>
  <rv s="7">
    <fb>506.1</fb>
    <v>13</v>
  </rv>
  <rv s="7">
    <fb>106.4</fb>
    <v>13</v>
  </rv>
  <rv s="7">
    <fb>21.14</fb>
    <v>13</v>
  </rv>
  <rv s="7">
    <fb>40.15</fb>
    <v>13</v>
  </rv>
  <rv s="7">
    <fb>26.74</fb>
    <v>13</v>
  </rv>
  <rv s="7">
    <fb>195.52</fb>
    <v>13</v>
  </rv>
  <rv s="7">
    <fb>140.22</fb>
    <v>13</v>
  </rv>
  <rv s="7">
    <fb>59.85</fb>
    <v>13</v>
  </rv>
  <rv s="7">
    <fb>239.68</fb>
    <v>13</v>
  </rv>
  <rv s="7">
    <fb>45652</fb>
    <v>14</v>
  </rv>
  <rv s="7">
    <fb>454.13</fb>
    <v>13</v>
  </rv>
  <rv s="7">
    <fb>227.05</fb>
    <v>13</v>
  </rv>
  <rv s="7">
    <fb>438.11</fb>
    <v>13</v>
  </rv>
  <rv s="7">
    <fb>345.51</fb>
    <v>13</v>
  </rv>
  <rv s="7">
    <fb>243.14</fb>
    <v>13</v>
  </rv>
  <rv s="7">
    <fb>511.15</fb>
    <v>13</v>
  </rv>
  <rv s="7">
    <fb>106.49</fb>
    <v>13</v>
  </rv>
  <rv s="7">
    <fb>21.18</fb>
    <v>13</v>
  </rv>
  <rv s="7">
    <fb>40.4</fb>
    <v>13</v>
  </rv>
  <rv s="7">
    <fb>195.62</fb>
    <v>13</v>
  </rv>
  <rv s="7">
    <fb>139.93</fb>
    <v>13</v>
  </rv>
  <rv s="7">
    <fb>59.98</fb>
    <v>13</v>
  </rv>
  <rv s="7">
    <fb>245.36</fb>
    <v>13</v>
  </rv>
  <rv s="7">
    <fb>45653</fb>
    <v>14</v>
  </rv>
  <rv s="7">
    <fb>431.66</fb>
    <v>13</v>
  </rv>
  <rv s="7">
    <fb>223.75</fb>
    <v>13</v>
  </rv>
  <rv s="7">
    <fb>430.53</fb>
    <v>13</v>
  </rv>
  <rv s="7">
    <fb>343.29</fb>
    <v>13</v>
  </rv>
  <rv s="7">
    <fb>169.53</fb>
    <v>13</v>
  </rv>
  <rv s="7">
    <fb>241.17</fb>
    <v>13</v>
  </rv>
  <rv s="7">
    <fb>509.99</fb>
    <v>13</v>
  </rv>
  <rv s="7">
    <fb>106.48</fb>
    <v>13</v>
  </rv>
  <rv s="7">
    <fb>21.46</fb>
    <v>13</v>
  </rv>
  <rv s="7">
    <fb>40.340000000000003</fb>
    <v>13</v>
  </rv>
  <rv s="7">
    <fb>26.62</fb>
    <v>13</v>
  </rv>
  <rv s="7">
    <fb>193.8</fb>
    <v>13</v>
  </rv>
  <rv s="7">
    <fb>137.01</fb>
    <v>13</v>
  </rv>
  <rv s="7">
    <fb>59.61</fb>
    <v>13</v>
  </rv>
  <rv s="7">
    <fb>241.75</fb>
    <v>13</v>
  </rv>
  <rv s="7">
    <fb>45656</fb>
    <v>14</v>
  </rv>
  <rv s="7">
    <fb>417.41</fb>
    <v>13</v>
  </rv>
  <rv s="7">
    <fb>221.3</fb>
    <v>13</v>
  </rv>
  <rv s="7">
    <fb>424.83</fb>
    <v>13</v>
  </rv>
  <rv s="7">
    <fb>338.75</fb>
    <v>13</v>
  </rv>
  <rv s="7">
    <fb>167.09</fb>
    <v>13</v>
  </rv>
  <rv s="7">
    <fb>239.32</fb>
    <v>13</v>
  </rv>
  <rv s="7">
    <fb>507.8</fb>
    <v>13</v>
  </rv>
  <rv s="7">
    <fb>105.76</fb>
    <v>13</v>
  </rv>
  <rv s="7">
    <fb>21.21</fb>
    <v>13</v>
  </rv>
  <rv s="7">
    <fb>40.1</fb>
    <v>13</v>
  </rv>
  <rv s="7">
    <fb>26.42</fb>
    <v>13</v>
  </rv>
  <rv s="7">
    <fb>192.55</fb>
    <v>13</v>
  </rv>
  <rv s="7">
    <fb>137.49</fb>
    <v>13</v>
  </rv>
  <rv s="7">
    <fb>59.19</fb>
    <v>13</v>
  </rv>
  <rv s="7">
    <fb>235.58</fb>
    <v>13</v>
  </rv>
  <rv s="7">
    <fb>45657</fb>
    <v>14</v>
  </rv>
  <rv s="7">
    <fb>403.84</fb>
    <v>13</v>
  </rv>
  <rv s="7">
    <fb>219.39</fb>
    <v>13</v>
  </rv>
  <rv s="7">
    <fb>421.5</fb>
    <v>13</v>
  </rv>
  <rv s="7">
    <fb>339.93</fb>
    <v>13</v>
  </rv>
  <rv s="7">
    <fb>167.65</fb>
    <v>13</v>
  </rv>
  <rv s="7">
    <fb>239.71</fb>
    <v>13</v>
  </rv>
  <rv s="7">
    <fb>505.86</fb>
    <v>13</v>
  </rv>
  <rv s="7">
    <fb>107.57</fb>
    <v>13</v>
  </rv>
  <rv s="7">
    <fb>39.835000000000001</fb>
    <v>13</v>
  </rv>
  <rv s="7">
    <fb>26.53</fb>
    <v>13</v>
  </rv>
  <rv s="7">
    <fb>192.79</fb>
    <v>13</v>
  </rv>
  <rv s="7">
    <fb>134.29</fb>
    <v>13</v>
  </rv>
  <rv s="7">
    <fb>59.2</fb>
    <v>13</v>
  </rv>
  <rv s="7">
    <fb>231.84</fb>
    <v>13</v>
  </rv>
  <rv s="7">
    <fb>45659</fb>
    <v>14</v>
  </rv>
  <rv s="7">
    <fb>379.28</fb>
    <v>13</v>
  </rv>
  <rv s="7">
    <fb>220.22</fb>
    <v>13</v>
  </rv>
  <rv s="7">
    <fb>418.58</fb>
    <v>13</v>
  </rv>
  <rv s="7">
    <fb>333.16</fb>
    <v>13</v>
  </rv>
  <rv s="7">
    <fb>165.98</fb>
    <v>13</v>
  </rv>
  <rv s="7">
    <fb>240</fb>
    <v>13</v>
  </rv>
  <rv s="7">
    <fb>504.51</fb>
    <v>13</v>
  </rv>
  <rv s="7">
    <fb>107.31</fb>
    <v>13</v>
  </rv>
  <rv s="7">
    <fb>21.09</fb>
    <v>13</v>
  </rv>
  <rv s="7">
    <fb>40.869999999999997</fb>
    <v>13</v>
  </rv>
  <rv s="7">
    <fb>26.61</fb>
    <v>13</v>
  </rv>
  <rv s="7">
    <fb>191.95</fb>
    <v>13</v>
  </rv>
  <rv s="7">
    <fb>138.31</fb>
    <v>13</v>
  </rv>
  <rv s="7">
    <fb>59.1</fb>
    <v>13</v>
  </rv>
  <rv s="7">
    <fb>231.98</fb>
    <v>13</v>
  </rv>
  <rv s="7">
    <fb>45660</fb>
    <v>14</v>
  </rv>
  <rv s="7">
    <fb>410.44</fb>
    <v>13</v>
  </rv>
  <rv s="7">
    <fb>224.19</fb>
    <v>13</v>
  </rv>
  <rv s="7">
    <fb>423.35</fb>
    <v>13</v>
  </rv>
  <rv s="7">
    <fb>336.54</fb>
    <v>13</v>
  </rv>
  <rv s="7">
    <fb>165.13</fb>
    <v>13</v>
  </rv>
  <rv s="7">
    <fb>243.28</fb>
    <v>13</v>
  </rv>
  <rv s="7">
    <fb>513</fb>
    <v>13</v>
  </rv>
  <rv s="7">
    <fb>107.86</fb>
    <v>13</v>
  </rv>
  <rv s="7">
    <fb>21.32</fb>
    <v>13</v>
  </rv>
  <rv s="7">
    <fb>40.86</fb>
    <v>13</v>
  </rv>
  <rv s="7">
    <fb>191.45</fb>
    <v>13</v>
  </rv>
  <rv s="7">
    <fb>144.47</fb>
    <v>13</v>
  </rv>
  <rv s="7">
    <fb>58.86</fb>
    <v>13</v>
  </rv>
  <rv s="7">
    <fb>232.55</fb>
    <v>13</v>
  </rv>
  <rv s="7">
    <fb>45663</fb>
    <v>14</v>
  </rv>
  <rv s="7">
    <fb>411.05</fb>
    <v>13</v>
  </rv>
  <rv s="7">
    <fb>227.61</fb>
    <v>13</v>
  </rv>
  <rv s="7">
    <fb>427.85</fb>
    <v>13</v>
  </rv>
  <rv s="7">
    <fb>337.82</fb>
    <v>13</v>
  </rv>
  <rv s="7">
    <fb>160.6</fb>
    <v>13</v>
  </rv>
  <rv s="7">
    <fb>240.85</fb>
    <v>13</v>
  </rv>
  <rv s="7">
    <fb>513.66999999999996</fb>
    <v>13</v>
  </rv>
  <rv s="7">
    <fb>107.74</fb>
    <v>13</v>
  </rv>
  <rv s="7">
    <fb>41.26</fb>
    <v>13</v>
  </rv>
  <rv s="7">
    <fb>185.91</fb>
    <v>13</v>
  </rv>
  <rv s="7">
    <fb>149.43</fb>
    <v>13</v>
  </rv>
  <rv s="7">
    <fb>58.77</fb>
    <v>13</v>
  </rv>
  <rv s="7">
    <fb>236.41</fb>
    <v>13</v>
  </rv>
  <rv s="7">
    <fb>45664</fb>
    <v>14</v>
  </rv>
  <rv s="7">
    <fb>394.36</fb>
    <v>13</v>
  </rv>
  <rv s="7">
    <fb>222.11</fb>
    <v>13</v>
  </rv>
  <rv s="7">
    <fb>422.37</fb>
    <v>13</v>
  </rv>
  <rv s="7">
    <fb>334.4</fb>
    <v>13</v>
  </rv>
  <rv s="7">
    <fb>161.30000000000001</fb>
    <v>13</v>
  </rv>
  <rv s="7">
    <fb>243.17</fb>
    <v>13</v>
  </rv>
  <rv s="7">
    <fb>514.25</fb>
    <v>13</v>
  </rv>
  <rv s="7">
    <fb>108.75</fb>
    <v>13</v>
  </rv>
  <rv s="7">
    <fb>40.83</fb>
    <v>13</v>
  </rv>
  <rv s="7">
    <fb>27.13</fb>
    <v>13</v>
  </rv>
  <rv s="7">
    <fb>186.04</fb>
    <v>13</v>
  </rv>
  <rv s="7">
    <fb>140.13999999999999</fb>
    <v>13</v>
  </rv>
  <rv s="7">
    <fb>58.93</fb>
    <v>13</v>
  </rv>
  <rv s="7">
    <fb>228.64</fb>
    <v>13</v>
  </rv>
  <rv s="7">
    <fb>45665</fb>
    <v>14</v>
  </rv>
  <rv s="7">
    <fb>222.13</fb>
    <v>13</v>
  </rv>
  <rv s="7">
    <fb>424.56</fb>
    <v>13</v>
  </rv>
  <rv s="7">
    <fb>337.54</fb>
    <v>13</v>
  </rv>
  <rv s="7">
    <fb>162.1</fb>
    <v>13</v>
  </rv>
  <rv s="7">
    <fb>243.13</fb>
    <v>13</v>
  </rv>
  <rv s="7">
    <fb>524.52</fb>
    <v>13</v>
  </rv>
  <rv s="7">
    <fb>106.93</fb>
    <v>13</v>
  </rv>
  <rv s="7">
    <fb>20.77</fb>
    <v>13</v>
  </rv>
  <rv s="7">
    <fb>26.86</fb>
    <v>13</v>
  </rv>
  <rv s="7">
    <fb>191.8</fb>
    <v>13</v>
  </rv>
  <rv s="7">
    <fb>140.11000000000001</fb>
    <v>13</v>
  </rv>
  <rv s="7">
    <fb>229.31</fb>
    <v>13</v>
  </rv>
  <rv s="7">
    <fb>45667</fb>
    <v>14</v>
  </rv>
  <rv s="7">
    <fb>394.74</fb>
    <v>13</v>
  </rv>
  <rv s="7">
    <fb>218.94</fb>
    <v>13</v>
  </rv>
  <rv s="7">
    <fb>418.95</fb>
    <v>13</v>
  </rv>
  <rv s="7">
    <fb>330.16</fb>
    <v>13</v>
  </rv>
  <rv s="7">
    <fb>158.56</fb>
    <v>13</v>
  </rv>
  <rv s="7">
    <fb>239.87</fb>
    <v>13</v>
  </rv>
  <rv s="7">
    <fb>520.69000000000005</fb>
    <v>13</v>
  </rv>
  <rv s="7">
    <fb>106.54</fb>
    <v>13</v>
  </rv>
  <rv s="7">
    <fb>20.350000000000001</fb>
    <v>13</v>
  </rv>
  <rv s="7">
    <fb>40.450000000000003</fb>
    <v>13</v>
  </rv>
  <rv s="7">
    <fb>180.99</fb>
    <v>13</v>
  </rv>
  <rv s="7">
    <fb>135.91</fb>
    <v>13</v>
  </rv>
  <rv s="7">
    <fb>224.31</fb>
    <v>13</v>
  </rv>
  <rv s="7">
    <fb>45670</fb>
    <v>14</v>
  </rv>
  <rv s="7">
    <fb>403.31</fb>
    <v>13</v>
  </rv>
  <rv s="7">
    <fb>218.46</fb>
    <v>13</v>
  </rv>
  <rv s="7">
    <fb>417.19</fb>
    <v>13</v>
  </rv>
  <rv s="7">
    <fb>336.12</fb>
    <v>13</v>
  </rv>
  <rv s="7">
    <fb>158.84</fb>
    <v>13</v>
  </rv>
  <rv s="7">
    <fb>244.21</fb>
    <v>13</v>
  </rv>
  <rv s="7">
    <fb>541.14</fb>
    <v>13</v>
  </rv>
  <rv s="7">
    <fb>109.29</fb>
    <v>13</v>
  </rv>
  <rv s="7">
    <fb>20.21</fb>
    <v>13</v>
  </rv>
  <rv s="7">
    <fb>39.79</fb>
    <v>13</v>
  </rv>
  <rv s="7">
    <fb>26.8</fb>
    <v>13</v>
  </rv>
  <rv s="7">
    <fb>182.54</fb>
    <v>13</v>
  </rv>
  <rv s="7">
    <fb>133.22999999999999</fb>
    <v>13</v>
  </rv>
  <rv s="7">
    <fb>58.76</fb>
    <v>13</v>
  </rv>
  <rv s="7">
    <fb>225.29</fb>
    <v>13</v>
  </rv>
  <rv s="7">
    <fb>45671</fb>
    <v>14</v>
  </rv>
  <rv s="7">
    <fb>396.36</fb>
    <v>13</v>
  </rv>
  <rv s="7">
    <fb>217.76</fb>
    <v>13</v>
  </rv>
  <rv s="7">
    <fb>415.67</fb>
    <v>13</v>
  </rv>
  <rv s="7">
    <fb>341.64</fb>
    <v>13</v>
  </rv>
  <rv s="7">
    <fb>159.74</fb>
    <v>13</v>
  </rv>
  <rv s="7">
    <fb>247.47</fb>
    <v>13</v>
  </rv>
  <rv s="7">
    <fb>543.74</fb>
    <v>13</v>
  </rv>
  <rv s="7">
    <fb>19.88</fb>
    <v>13</v>
  </rv>
  <rv s="7">
    <fb>40.229999999999997</fb>
    <v>13</v>
  </rv>
  <rv s="7">
    <fb>26.41</fb>
    <v>13</v>
  </rv>
  <rv s="7">
    <fb>186.81</fb>
    <v>13</v>
  </rv>
  <rv s="7">
    <fb>131.76</fb>
    <v>13</v>
  </rv>
  <rv s="7">
    <fb>59.33</fb>
    <v>13</v>
  </rv>
  <rv s="7">
    <fb>224.7</fb>
    <v>13</v>
  </rv>
  <rv s="7">
    <fb>45672</fb>
    <v>14</v>
  </rv>
  <rv s="7">
    <fb>428.22</fb>
    <v>13</v>
  </rv>
  <rv s="7">
    <fb>223.35</fb>
    <v>13</v>
  </rv>
  <rv s="7">
    <fb>426.31</fb>
    <v>13</v>
  </rv>
  <rv s="7">
    <fb>346.93</fb>
    <v>13</v>
  </rv>
  <rv s="7">
    <fb>159.65</fb>
    <v>13</v>
  </rv>
  <rv s="7">
    <fb>252.35</fb>
    <v>13</v>
  </rv>
  <rv s="7">
    <fb>543.41999999999996</fb>
    <v>13</v>
  </rv>
  <rv s="7">
    <fb>111.51</fb>
    <v>13</v>
  </rv>
  <rv s="7">
    <fb>20.5</fb>
    <v>13</v>
  </rv>
  <rv s="7">
    <fb>26.22</fb>
    <v>13</v>
  </rv>
  <rv s="7">
    <fb>188.03</fb>
    <v>13</v>
  </rv>
  <rv s="7">
    <fb>136.24</fb>
    <v>13</v>
  </rv>
  <rv s="7">
    <fb>228</fb>
    <v>13</v>
  </rv>
  <rv s="7">
    <fb>45673</fb>
    <v>14</v>
  </rv>
  <rv s="7">
    <fb>413.82</fb>
    <v>13</v>
  </rv>
  <rv s="7">
    <fb>220.66</fb>
    <v>13</v>
  </rv>
  <rv s="7">
    <fb>424.58</fb>
    <v>13</v>
  </rv>
  <rv s="7">
    <fb>354.17</fb>
    <v>13</v>
  </rv>
  <rv s="7">
    <fb>160.5</fb>
    <v>13</v>
  </rv>
  <rv s="7">
    <fb>510.59</fb>
    <v>13</v>
  </rv>
  <rv s="7">
    <fb>111.32</fb>
    <v>13</v>
  </rv>
  <rv s="7">
    <fb>20.329999999999998</fb>
    <v>13</v>
  </rv>
  <rv s="7">
    <fb>40.36</fb>
    <v>13</v>
  </rv>
  <rv s="7">
    <fb>26.49</fb>
    <v>13</v>
  </rv>
  <rv s="7">
    <fb>191.1</fb>
    <v>13</v>
  </rv>
  <rv s="7">
    <fb>133.57</fb>
    <v>13</v>
  </rv>
  <rv s="7">
    <fb>59.82</fb>
    <v>13</v>
  </rv>
  <rv s="7">
    <fb>229.41</fb>
    <v>13</v>
  </rv>
  <rv s="7">
    <fb>45674</fb>
    <v>14</v>
  </rv>
  <rv s="7">
    <fb>426.5</fb>
    <v>13</v>
  </rv>
  <rv s="7">
    <fb>225.94</fb>
    <v>13</v>
  </rv>
  <rv s="7">
    <fb>429.03</fb>
    <v>13</v>
  </rv>
  <rv s="7">
    <fb>353.98</fb>
    <v>13</v>
  </rv>
  <rv s="7">
    <fb>161.13</fb>
    <v>13</v>
  </rv>
  <rv s="7">
    <fb>259.16000000000003</fb>
    <v>13</v>
  </rv>
  <rv s="7">
    <fb>509.76</fb>
    <v>13</v>
  </rv>
  <rv s="7">
    <fb>112.32</fb>
    <v>13</v>
  </rv>
  <rv s="7">
    <fb>20.64</fb>
    <v>13</v>
  </rv>
  <rv s="7">
    <fb>41.3</fb>
    <v>13</v>
  </rv>
  <rv s="7">
    <fb>26.3</fb>
    <v>13</v>
  </rv>
  <rv s="7">
    <fb>188.9</fb>
    <v>13</v>
  </rv>
  <rv s="7">
    <fb>137.71</fb>
    <v>13</v>
  </rv>
  <rv s="7">
    <fb>60.23</fb>
    <v>13</v>
  </rv>
  <rv s="7">
    <fb>237.44</fb>
    <v>13</v>
  </rv>
  <rv s="7">
    <fb>45678</fb>
    <v>14</v>
  </rv>
  <rv s="7">
    <fb>424.07</fb>
    <v>13</v>
  </rv>
  <rv s="7">
    <fb>230.71</fb>
    <v>13</v>
  </rv>
  <rv s="7">
    <fb>428.5</fb>
    <v>13</v>
  </rv>
  <rv s="7">
    <fb>361.52</fb>
    <v>13</v>
  </rv>
  <rv s="7">
    <fb>161.72</fb>
    <v>13</v>
  </rv>
  <rv s="7">
    <fb>263.02999999999997</fb>
    <v>13</v>
  </rv>
  <rv s="7">
    <fb>524.99</fb>
    <v>13</v>
  </rv>
  <rv s="7">
    <fb>26.64</fb>
    <v>13</v>
  </rv>
  <rv s="7">
    <fb>189.75</fb>
    <v>13</v>
  </rv>
  <rv s="7">
    <fb>140.83000000000001</fb>
    <v>13</v>
  </rv>
  <rv s="7">
    <fb>61.03</fb>
    <v>13</v>
  </rv>
  <rv s="7">
    <fb>240.31</fb>
    <v>13</v>
  </rv>
  <rv s="7">
    <fb>45679</fb>
    <v>14</v>
  </rv>
  <rv s="7">
    <fb>415.11</fb>
    <v>13</v>
  </rv>
  <rv s="7">
    <fb>235.01</fb>
    <v>13</v>
  </rv>
  <rv s="7">
    <fb>446.2</fb>
    <v>13</v>
  </rv>
  <rv s="7">
    <fb>357.74</fb>
    <v>13</v>
  </rv>
  <rv s="7">
    <fb>262.83999999999997</fb>
    <v>13</v>
  </rv>
  <rv s="7">
    <fb>519.72</fb>
    <v>13</v>
  </rv>
  <rv s="7">
    <fb>20.92</fb>
    <v>13</v>
  </rv>
  <rv s="7">
    <fb>42.85</fb>
    <v>13</v>
  </rv>
  <rv s="7">
    <fb>26.01</fb>
    <v>13</v>
  </rv>
  <rv s="7">
    <fb>185.25</fb>
    <v>13</v>
  </rv>
  <rv s="7">
    <fb>147.07</fb>
    <v>13</v>
  </rv>
  <rv s="7">
    <fb>61.63</fb>
    <v>13</v>
  </rv>
  <rv s="7">
    <fb>240.91</fb>
    <v>13</v>
  </rv>
  <rv s="7">
    <fb>45680</fb>
    <v>14</v>
  </rv>
  <rv s="7">
    <fb>412.38</fb>
    <v>13</v>
  </rv>
  <rv s="7">
    <fb>235.42</fb>
    <v>13</v>
  </rv>
  <rv s="7">
    <fb>446.71</fb>
    <v>13</v>
  </rv>
  <rv s="7">
    <fb>361.11</fb>
    <v>13</v>
  </rv>
  <rv s="7">
    <fb>166.15</fb>
    <v>13</v>
  </rv>
  <rv s="7">
    <fb>265.95</fb>
    <v>13</v>
  </rv>
  <rv s="7">
    <fb>529.77</fb>
    <v>13</v>
  </rv>
  <rv s="7">
    <fb>110.15</fb>
    <v>13</v>
  </rv>
  <rv s="7">
    <fb>21.37</fb>
    <v>13</v>
  </rv>
  <rv s="7">
    <fb>43.4</fb>
    <v>13</v>
  </rv>
  <rv s="7">
    <fb>26.44</fb>
    <v>13</v>
  </rv>
  <rv s="7">
    <fb>184.66</fb>
    <v>13</v>
  </rv>
  <rv s="7">
    <fb>147.22</fb>
    <v>13</v>
  </rv>
  <rv s="7">
    <fb>62.23</fb>
    <v>13</v>
  </rv>
  <rv s="7">
    <fb>240.28</fb>
    <v>13</v>
  </rv>
  <rv s="7">
    <fb>45681</fb>
    <v>14</v>
  </rv>
  <rv s="7">
    <fb>406.58</fb>
    <v>13</v>
  </rv>
  <rv s="7">
    <fb>234.85</fb>
    <v>13</v>
  </rv>
  <rv s="7">
    <fb>444.06</fb>
    <v>13</v>
  </rv>
  <rv s="7">
    <fb>360.15</fb>
    <v>13</v>
  </rv>
  <rv s="7">
    <fb>264.83999999999997</fb>
    <v>13</v>
  </rv>
  <rv s="7">
    <fb>532.51</fb>
    <v>13</v>
  </rv>
  <rv s="7">
    <fb>108.66</fb>
    <v>13</v>
  </rv>
  <rv s="7">
    <fb>20.83</fb>
    <v>13</v>
  </rv>
  <rv s="7">
    <fb>43.65</fb>
    <v>13</v>
  </rv>
  <rv s="7">
    <fb>26.09</fb>
    <v>13</v>
  </rv>
  <rv s="7">
    <fb>186.07</fb>
    <v>13</v>
  </rv>
  <rv s="7">
    <fb>142.62</fb>
    <v>13</v>
  </rv>
  <rv s="7">
    <fb>244.7</fb>
    <v>13</v>
  </rv>
  <rv s="7">
    <fb>45684</fb>
    <v>14</v>
  </rv>
  <rv s="7">
    <fb>397.15</fb>
    <v>13</v>
  </rv>
  <rv s="7">
    <fb>434.56</fb>
    <v>13</v>
  </rv>
  <rv s="7">
    <fb>364.17</fb>
    <v>13</v>
  </rv>
  <rv s="7">
    <fb>169.66</fb>
    <v>13</v>
  </rv>
  <rv s="7">
    <fb>265.85000000000002</fb>
    <v>13</v>
  </rv>
  <rv s="7">
    <fb>543.52</fb>
    <v>13</v>
  </rv>
  <rv s="7">
    <fb>110.17</fb>
    <v>13</v>
  </rv>
  <rv s="7">
    <fb>21</fb>
    <v>13</v>
  </rv>
  <rv s="7">
    <fb>193.19</fb>
    <v>13</v>
  </rv>
  <rv s="7">
    <fb>118.42</fb>
    <v>13</v>
  </rv>
  <rv s="7">
    <fb>59.08</fb>
    <v>13</v>
  </rv>
  <rv s="7">
    <fb>202.13</fb>
    <v>13</v>
  </rv>
  <rv s="7">
    <fb>45685</fb>
    <v>14</v>
  </rv>
  <rv s="7">
    <fb>398.09</fb>
    <v>13</v>
  </rv>
  <rv s="7">
    <fb>238.15</fb>
    <v>13</v>
  </rv>
  <rv s="7">
    <fb>447.2</fb>
    <v>13</v>
  </rv>
  <rv s="7">
    <fb>166.19</fb>
    <v>13</v>
  </rv>
  <rv s="7">
    <fb>267.14</fb>
    <v>13</v>
  </rv>
  <rv s="7">
    <fb>542.48</fb>
    <v>13</v>
  </rv>
  <rv s="7">
    <fb>108.04</fb>
    <v>13</v>
  </rv>
  <rv s="7">
    <fb>21.81</fb>
    <v>13</v>
  </rv>
  <rv s="7">
    <fb>43.51</fb>
    <v>13</v>
  </rv>
  <rv s="7">
    <fb>26.75</fb>
    <v>13</v>
  </rv>
  <rv s="7">
    <fb>190.96</fb>
    <v>13</v>
  </rv>
  <rv s="7">
    <fb>128.99</fb>
    <v>13</v>
  </rv>
  <rv s="7">
    <fb>207.36</fb>
    <v>13</v>
  </rv>
  <rv s="7">
    <fb>45686</fb>
    <v>14</v>
  </rv>
  <rv s="7">
    <fb>389.1</fb>
    <v>13</v>
  </rv>
  <rv s="7">
    <fb>237.07</fb>
    <v>13</v>
  </rv>
  <rv s="7">
    <fb>442.33</fb>
    <v>13</v>
  </rv>
  <rv s="7">
    <fb>360.41</fb>
    <v>13</v>
  </rv>
  <rv s="7">
    <fb>166.23</fb>
    <v>13</v>
  </rv>
  <rv s="7">
    <fb>266.58</fb>
    <v>13</v>
  </rv>
  <rv s="7">
    <fb>538.1</fb>
    <v>13</v>
  </rv>
  <rv s="7">
    <fb>108.67</fb>
    <v>13</v>
  </rv>
  <rv s="7">
    <fb>22.13</fb>
    <v>13</v>
  </rv>
  <rv s="7">
    <fb>43.18</fb>
    <v>13</v>
  </rv>
  <rv s="7">
    <fb>190.81</fb>
    <v>13</v>
  </rv>
  <rv s="7">
    <fb>123.7</fb>
    <v>13</v>
  </rv>
  <rv s="7">
    <fb>59.55</fb>
    <v>13</v>
  </rv>
  <rv s="7">
    <fb>206.35</fb>
    <v>13</v>
  </rv>
  <rv s="7">
    <fb>45687</fb>
    <v>14</v>
  </rv>
  <rv s="7">
    <fb>400.28</fb>
    <v>13</v>
  </rv>
  <rv s="7">
    <fb>234.64</fb>
    <v>13</v>
  </rv>
  <rv s="7">
    <fb>414.99</fb>
    <v>13</v>
  </rv>
  <rv s="7">
    <fb>365.55</fb>
    <v>13</v>
  </rv>
  <rv s="7">
    <fb>167.41</fb>
    <v>13</v>
  </rv>
  <rv s="7">
    <fb>268.23</fb>
    <v>13</v>
  </rv>
  <rv s="7">
    <fb>545.57000000000005</fb>
    <v>13</v>
  </rv>
  <rv s="7">
    <fb>109.57</fb>
    <v>13</v>
  </rv>
  <rv s="7">
    <fb>22.3</fb>
    <v>13</v>
  </rv>
  <rv s="7">
    <fb>43.14</fb>
    <v>13</v>
  </rv>
  <rv s="7">
    <fb>26.91</fb>
    <v>13</v>
  </rv>
  <rv s="7">
    <fb>193.83</fb>
    <v>13</v>
  </rv>
  <rv s="7">
    <fb>124.65</fb>
    <v>13</v>
  </rv>
  <rv s="7">
    <fb>60.47</fb>
    <v>13</v>
  </rv>
  <rv s="7">
    <fb>215.66</fb>
    <v>13</v>
  </rv>
  <rv s="7">
    <fb>45688</fb>
    <v>14</v>
  </rv>
  <rv s="7">
    <fb>404.6</fb>
    <v>13</v>
  </rv>
  <rv s="7">
    <fb>237.68</fb>
    <v>13</v>
  </rv>
  <rv s="7">
    <fb>415.06</fb>
    <v>13</v>
  </rv>
  <rv s="7">
    <fb>358.16</fb>
    <v>13</v>
  </rv>
  <rv s="7">
    <fb>165.99</fb>
    <v>13</v>
  </rv>
  <rv s="7">
    <fb>267.3</fb>
    <v>13</v>
  </rv>
  <rv s="7">
    <fb>542.49</fb>
    <v>13</v>
  </rv>
  <rv s="7">
    <fb>106.83</fb>
    <v>13</v>
  </rv>
  <rv s="7">
    <fb>22.01</fb>
    <v>13</v>
  </rv>
  <rv s="7">
    <fb>43.15</fb>
    <v>13</v>
  </rv>
  <rv s="7">
    <fb>26.52</fb>
    <v>13</v>
  </rv>
  <rv s="7">
    <fb>192.33</fb>
    <v>13</v>
  </rv>
  <rv s="7">
    <fb>120.07</fb>
    <v>13</v>
  </rv>
  <rv s="7">
    <fb>60.6</fb>
    <v>13</v>
  </rv>
  <rv s="7">
    <fb>221.27</fb>
    <v>13</v>
  </rv>
  <rv s="7">
    <fb>45691</fb>
    <v>14</v>
  </rv>
  <rv s="7">
    <fb>383.68</fb>
    <v>13</v>
  </rv>
  <rv s="7">
    <fb>237.42</fb>
    <v>13</v>
  </rv>
  <rv s="7">
    <fb>410.92</fb>
    <v>13</v>
  </rv>
  <rv s="7">
    <fb>357.64</fb>
    <v>13</v>
  </rv>
  <rv s="7">
    <fb>168.76</fb>
    <v>13</v>
  </rv>
  <rv s="7">
    <fb>266.81</fb>
    <v>13</v>
  </rv>
  <rv s="7">
    <fb>548.17999999999995</fb>
    <v>13</v>
  </rv>
  <rv s="7">
    <fb>107.09</fb>
    <v>13</v>
  </rv>
  <rv s="7">
    <fb>21.89</fb>
    <v>13</v>
  </rv>
  <rv s="7">
    <fb>42.78</fb>
    <v>13</v>
  </rv>
  <rv s="7">
    <fb>26.2</fb>
    <v>13</v>
  </rv>
  <rv s="7">
    <fb>191.98</fb>
    <v>13</v>
  </rv>
  <rv s="7">
    <fb>116.66</fb>
    <v>13</v>
  </rv>
  <rv s="7">
    <fb>61.04</fb>
    <v>13</v>
  </rv>
  <rv s="7">
    <fb>217.73</fb>
    <v>13</v>
  </rv>
  <rv s="7">
    <fb>45692</fb>
    <v>14</v>
  </rv>
  <rv s="7">
    <fb>392.21</fb>
    <v>13</v>
  </rv>
  <rv s="7">
    <fb>242.06</fb>
    <v>13</v>
  </rv>
  <rv s="7">
    <fb>412.37</fb>
    <v>13</v>
  </rv>
  <rv s="7">
    <fb>357.59</fb>
    <v>13</v>
  </rv>
  <rv s="7">
    <fb>168.13</fb>
    <v>13</v>
  </rv>
  <rv s="7">
    <fb>267.94</fb>
    <v>13</v>
  </rv>
  <rv s="7">
    <fb>545.45000000000005</fb>
    <v>13</v>
  </rv>
  <rv s="7">
    <fb>109.96</fb>
    <v>13</v>
  </rv>
  <rv s="7">
    <fb>22.52</fb>
    <v>13</v>
  </rv>
  <rv s="7">
    <fb>25.87</fb>
    <v>13</v>
  </rv>
  <rv s="7">
    <fb>190.87</fb>
    <v>13</v>
  </rv>
  <rv s="7">
    <fb>118.65</fb>
    <v>13</v>
  </rv>
  <rv s="7">
    <fb>61.34</fb>
    <v>13</v>
  </rv>
  <rv s="7">
    <fb>222.43</fb>
    <v>13</v>
  </rv>
  <rv s="7">
    <fb>45693</fb>
    <v>14</v>
  </rv>
  <rv s="7">
    <fb>378.17</fb>
    <v>13</v>
  </rv>
  <rv s="7">
    <fb>236.17</fb>
    <v>13</v>
  </rv>
  <rv s="7">
    <fb>413.29</fb>
    <v>13</v>
  </rv>
  <rv s="7">
    <fb>364.48</fb>
    <v>13</v>
  </rv>
  <rv s="7">
    <fb>169.01</fb>
    <v>13</v>
  </rv>
  <rv s="7">
    <fb>270.43</fb>
    <v>13</v>
  </rv>
  <rv s="7">
    <fb>539.80999999999995</fb>
    <v>13</v>
  </rv>
  <rv s="7">
    <fb>109.88</fb>
    <v>13</v>
  </rv>
  <rv s="7">
    <fb>22.92</fb>
    <v>13</v>
  </rv>
  <rv s="7">
    <fb>43.48</fb>
    <v>13</v>
  </rv>
  <rv s="7">
    <fb>62.57</fb>
    <v>13</v>
  </rv>
  <rv s="7">
    <fb>232</fb>
    <v>13</v>
  </rv>
  <rv s="7">
    <fb>45694</fb>
    <v>14</v>
  </rv>
  <rv s="7">
    <fb>374.32</fb>
    <v>13</v>
  </rv>
  <rv s="7">
    <fb>238.83</fb>
    <v>13</v>
  </rv>
  <rv s="7">
    <fb>415.82</fb>
    <v>13</v>
  </rv>
  <rv s="7">
    <fb>365.22</fb>
    <v>13</v>
  </rv>
  <rv s="7">
    <fb>276.89999999999998</fb>
    <v>13</v>
  </rv>
  <rv s="7">
    <fb>530.04</fb>
    <v>13</v>
  </rv>
  <rv s="7">
    <fb>108.43</fb>
    <v>13</v>
  </rv>
  <rv s="7">
    <fb>23.01</fb>
    <v>13</v>
  </rv>
  <rv s="7">
    <fb>43.5</fb>
    <v>13</v>
  </rv>
  <rv s="7">
    <fb>191.88</fb>
    <v>13</v>
  </rv>
  <rv s="7">
    <fb>128.68</fb>
    <v>13</v>
  </rv>
  <rv s="7">
    <fb>62.27</fb>
    <v>13</v>
  </rv>
  <rv s="7">
    <fb>231.36</fb>
    <v>13</v>
  </rv>
  <rv s="7">
    <fb>45695</fb>
    <v>14</v>
  </rv>
  <rv s="7">
    <fb>229.15</fb>
    <v>13</v>
  </rv>
  <rv s="7">
    <fb>409.75</fb>
    <v>13</v>
  </rv>
  <rv s="7">
    <fb>360.57</fb>
    <v>13</v>
  </rv>
  <rv s="7">
    <fb>167.97</fb>
    <v>13</v>
  </rv>
  <rv s="7">
    <fb>275.8</fb>
    <v>13</v>
  </rv>
  <rv s="7">
    <fb>527.03</fb>
    <v>13</v>
  </rv>
  <rv s="7">
    <fb>108.89</fb>
    <v>13</v>
  </rv>
  <rv s="7">
    <fb>22.57</fb>
    <v>13</v>
  </rv>
  <rv s="7">
    <fb>42.82</fb>
    <v>13</v>
  </rv>
  <rv s="7">
    <fb>25.74</fb>
    <v>13</v>
  </rv>
  <rv s="7">
    <fb>190.24</fb>
    <v>13</v>
  </rv>
  <rv s="7">
    <fb>129.84</fb>
    <v>13</v>
  </rv>
  <rv s="7">
    <fb>224.87</fb>
    <v>13</v>
  </rv>
  <rv s="7">
    <fb>45698</fb>
    <v>14</v>
  </rv>
  <rv s="7">
    <fb>350.73</fb>
    <v>13</v>
  </rv>
  <rv s="7">
    <fb>233.14</fb>
    <v>13</v>
  </rv>
  <rv s="7">
    <fb>412.22</fb>
    <v>13</v>
  </rv>
  <rv s="7">
    <fb>359.16</fb>
    <v>13</v>
  </rv>
  <rv s="7">
    <fb>167.53</fb>
    <v>13</v>
  </rv>
  <rv s="7">
    <fb>271.04000000000002</fb>
    <v>13</v>
  </rv>
  <rv s="7">
    <fb>533.37</fb>
    <v>13</v>
  </rv>
  <rv s="7">
    <fb>110.97</fb>
    <v>13</v>
  </rv>
  <rv s="7">
    <fb>22.42</fb>
    <v>13</v>
  </rv>
  <rv s="7">
    <fb>43.09</fb>
    <v>13</v>
  </rv>
  <rv s="7">
    <fb>186.58</fb>
    <v>13</v>
  </rv>
  <rv s="7">
    <fb>62.81</fb>
    <v>13</v>
  </rv>
  <rv s="7">
    <fb>235.04</fb>
    <v>13</v>
  </rv>
  <rv s="7">
    <fb>45699</fb>
    <v>14</v>
  </rv>
  <rv s="7">
    <fb>328.5</fb>
    <v>13</v>
  </rv>
  <rv s="7">
    <fb>232.76</fb>
    <v>13</v>
  </rv>
  <rv s="7">
    <fb>411.44</fb>
    <v>13</v>
  </rv>
  <rv s="7">
    <fb>361.37</fb>
    <v>13</v>
  </rv>
  <rv s="7">
    <fb>169.43</fb>
    <v>13</v>
  </rv>
  <rv s="7">
    <fb>274.99</fb>
    <v>13</v>
  </rv>
  <rv s="7">
    <fb>533.91999999999996</fb>
    <v>13</v>
  </rv>
  <rv s="7">
    <fb>111.67</fb>
    <v>13</v>
  </rv>
  <rv s="7">
    <fb>22.36</fb>
    <v>13</v>
  </rv>
  <rv s="7">
    <fb>43.42</fb>
    <v>13</v>
  </rv>
  <rv s="7">
    <fb>25.53</fb>
    <v>13</v>
  </rv>
  <rv s="7">
    <fb>189.43</fb>
    <v>13</v>
  </rv>
  <rv s="7">
    <fb>132.80000000000001</fb>
    <v>13</v>
  </rv>
  <rv s="7">
    <fb>62.43</fb>
    <v>13</v>
  </rv>
  <rv s="7">
    <fb>45700</fb>
    <v>14</v>
  </rv>
  <rv s="7">
    <fb>336.51</fb>
    <v>13</v>
  </rv>
  <rv s="7">
    <fb>228.93</fb>
    <v>13</v>
  </rv>
  <rv s="7">
    <fb>409.04</fb>
    <v>13</v>
  </rv>
  <rv s="7">
    <fb>355.5</fb>
    <v>13</v>
  </rv>
  <rv s="7">
    <fb>275.45</fb>
    <v>13</v>
  </rv>
  <rv s="7">
    <fb>527.4</fb>
    <v>13</v>
  </rv>
  <rv s="7">
    <fb>107.35</fb>
    <v>13</v>
  </rv>
  <rv s="7">
    <fb>21.97</fb>
    <v>13</v>
  </rv>
  <rv s="7">
    <fb>44.36</fb>
    <v>13</v>
  </rv>
  <rv s="7">
    <fb>25.47</fb>
    <v>13</v>
  </rv>
  <rv s="7">
    <fb>189.33</fb>
    <v>13</v>
  </rv>
  <rv s="7">
    <fb>131.13999999999999</fb>
    <v>13</v>
  </rv>
  <rv s="7">
    <fb>62.53</fb>
    <v>13</v>
  </rv>
  <rv s="7">
    <fb>236.35</fb>
    <v>13</v>
  </rv>
  <rv s="7">
    <fb>45701</fb>
    <v>14</v>
  </rv>
  <rv s="7">
    <fb>355.94</fb>
    <v>13</v>
  </rv>
  <rv s="7">
    <fb>361.13</fb>
    <v>13</v>
  </rv>
  <rv s="7">
    <fb>171.02</fb>
    <v>13</v>
  </rv>
  <rv s="7">
    <fb>276.32</fb>
    <v>13</v>
  </rv>
  <rv s="7">
    <fb>531.17999999999995</fb>
    <v>13</v>
  </rv>
  <rv s="7">
    <fb>108.13</fb>
    <v>13</v>
  </rv>
  <rv s="7">
    <fb>23.19</fb>
    <v>13</v>
  </rv>
  <rv s="7">
    <fb>44.01</fb>
    <v>13</v>
  </rv>
  <rv s="7">
    <fb>192.77</fb>
    <v>13</v>
  </rv>
  <rv s="7">
    <fb>135.29</fb>
    <v>13</v>
  </rv>
  <rv s="7">
    <fb>63.84</fb>
    <v>13</v>
  </rv>
  <rv s="7">
    <fb>235.8</fb>
    <v>13</v>
  </rv>
  <rv s="7">
    <fb>45702</fb>
    <v>14</v>
  </rv>
  <rv s="7">
    <fb>355.84</fb>
    <v>13</v>
  </rv>
  <rv s="7">
    <fb>228.68</fb>
    <v>13</v>
  </rv>
  <rv s="7">
    <fb>408.43</fb>
    <v>13</v>
  </rv>
  <rv s="7">
    <fb>356.86</fb>
    <v>13</v>
  </rv>
  <rv s="7">
    <fb>162.88999999999999</fb>
    <v>13</v>
  </rv>
  <rv s="7">
    <fb>276.58999999999997</fb>
    <v>13</v>
  </rv>
  <rv s="7">
    <fb>523.51</fb>
    <v>13</v>
  </rv>
  <rv s="7">
    <fb>108.24</fb>
    <v>13</v>
  </rv>
  <rv s="7">
    <fb>24.14</fb>
    <v>13</v>
  </rv>
  <rv s="7">
    <fb>44.09</fb>
    <v>13</v>
  </rv>
  <rv s="7">
    <fb>187.63</fb>
    <v>13</v>
  </rv>
  <rv s="7">
    <fb>138.85</fb>
    <v>13</v>
  </rv>
  <rv s="7">
    <fb>64.87</fb>
    <v>13</v>
  </rv>
  <rv s="7">
    <fb>233.04</fb>
    <v>13</v>
  </rv>
  <rv s="7">
    <fb>45706</fb>
    <v>14</v>
  </rv>
  <rv s="7">
    <fb>354.11</fb>
    <v>13</v>
  </rv>
  <rv s="7">
    <fb>226.65</fb>
    <v>13</v>
  </rv>
  <rv s="7">
    <fb>409.64</fb>
    <v>13</v>
  </rv>
  <rv s="7">
    <fb>352.99</fb>
    <v>13</v>
  </rv>
  <rv s="7">
    <fb>165.43</fb>
    <v>13</v>
  </rv>
  <rv s="7">
    <fb>279.95</fb>
    <v>13</v>
  </rv>
  <rv s="7">
    <fb>500.73</fb>
    <v>13</v>
  </rv>
  <rv s="7">
    <fb>110.14</fb>
    <v>13</v>
  </rv>
  <rv s="7">
    <fb>24.52</fb>
    <v>13</v>
  </rv>
  <rv s="7">
    <fb>45.17</fb>
    <v>13</v>
  </rv>
  <rv s="7">
    <fb>188.95</fb>
    <v>13</v>
  </rv>
  <rv s="7">
    <fb>139.4</fb>
    <v>13</v>
  </rv>
  <rv s="7">
    <fb>64.59</fb>
    <v>13</v>
  </rv>
  <rv s="7">
    <fb>228.53</fb>
    <v>13</v>
  </rv>
  <rv s="7">
    <fb>45707</fb>
    <v>14</v>
  </rv>
  <rv s="7">
    <fb>360.56</fb>
    <v>13</v>
  </rv>
  <rv s="7">
    <fb>226.63</fb>
    <v>13</v>
  </rv>
  <rv s="7">
    <fb>414.77</fb>
    <v>13</v>
  </rv>
  <rv s="7">
    <fb>351.85</fb>
    <v>13</v>
  </rv>
  <rv s="7">
    <fb>166.49</fb>
    <v>13</v>
  </rv>
  <rv s="7">
    <fb>279.25</fb>
    <v>13</v>
  </rv>
  <rv s="7">
    <fb>511.04</fb>
    <v>13</v>
  </rv>
  <rv s="7">
    <fb>110.3</fb>
    <v>13</v>
  </rv>
  <rv s="7">
    <fb>24.72</fb>
    <v>13</v>
  </rv>
  <rv s="7">
    <fb>43.975000000000001</fb>
    <v>13</v>
  </rv>
  <rv s="7">
    <fb>139.22999999999999</fb>
    <v>13</v>
  </rv>
  <rv s="7">
    <fb>64.84</fb>
    <v>13</v>
  </rv>
  <rv s="7">
    <fb>228.73</fb>
    <v>13</v>
  </rv>
  <rv s="7">
    <fb>45708</fb>
    <v>14</v>
  </rv>
  <rv s="7">
    <fb>222.88</fb>
    <v>13</v>
  </rv>
  <rv s="7">
    <fb>416.13</fb>
    <v>13</v>
  </rv>
  <rv s="7">
    <fb>350.02</fb>
    <v>13</v>
  </rv>
  <rv s="7">
    <fb>167.21</fb>
    <v>13</v>
  </rv>
  <rv s="7">
    <fb>266.8</fb>
    <v>13</v>
  </rv>
  <rv s="7">
    <fb>502.42</fb>
    <v>13</v>
  </rv>
  <rv s="7">
    <fb>112</fb>
    <v>13</v>
  </rv>
  <rv s="7">
    <fb>24.92</fb>
    <v>13</v>
  </rv>
  <rv s="7">
    <fb>25.9</fb>
    <v>13</v>
  </rv>
  <rv s="7">
    <fb>189.18</fb>
    <v>13</v>
  </rv>
  <rv s="7">
    <fb>64.67</fb>
    <v>13</v>
  </rv>
  <rv s="7">
    <fb>226.74</fb>
    <v>13</v>
  </rv>
  <rv s="7">
    <fb>45709</fb>
    <v>14</v>
  </rv>
  <rv s="7">
    <fb>337.8</fb>
    <v>13</v>
  </rv>
  <rv s="7">
    <fb>216.58</fb>
    <v>13</v>
  </rv>
  <rv s="7">
    <fb>408.21</fb>
    <v>13</v>
  </rv>
  <rv s="7">
    <fb>344.57</fb>
    <v>13</v>
  </rv>
  <rv s="7">
    <fb>264.24</fb>
    <v>13</v>
  </rv>
  <rv s="7">
    <fb>466.42</fb>
    <v>13</v>
  </rv>
  <rv s="7">
    <fb>110.69</fb>
    <v>13</v>
  </rv>
  <rv s="7">
    <fb>24.78</fb>
    <v>13</v>
  </rv>
  <rv s="7">
    <fb>41.72</fb>
    <v>13</v>
  </rv>
  <rv s="7">
    <fb>185.66</fb>
    <v>13</v>
  </rv>
  <rv s="7">
    <fb>134.43</fb>
    <v>13</v>
  </rv>
  <rv s="7">
    <fb>63.98</fb>
    <v>13</v>
  </rv>
  <rv s="7">
    <fb>218.66</fb>
    <v>13</v>
  </rv>
  <rv s="7">
    <fb>45712</fb>
    <v>14</v>
  </rv>
  <rv s="7">
    <fb>330.53</fb>
    <v>13</v>
  </rv>
  <rv s="7">
    <fb>212.71</fb>
    <v>13</v>
  </rv>
  <rv s="7">
    <fb>404</fb>
    <v>13</v>
  </rv>
  <rv s="7">
    <fb>343.87</fb>
    <v>13</v>
  </rv>
  <rv s="7">
    <fb>261.33999999999997</fb>
    <v>13</v>
  </rv>
  <rv s="7">
    <fb>461.52</fb>
    <v>13</v>
  </rv>
  <rv s="7">
    <fb>42.8</fb>
    <v>13</v>
  </rv>
  <rv s="7">
    <fb>188.75</fb>
    <v>13</v>
  </rv>
  <rv s="7">
    <fb>130.28</fb>
    <v>13</v>
  </rv>
  <rv s="7">
    <fb>63.24</fb>
    <v>13</v>
  </rv>
  <rv s="7">
    <fb>207.93</fb>
    <v>13</v>
  </rv>
  <rv s="7">
    <fb>45713</fb>
    <v>14</v>
  </rv>
  <rv s="7">
    <fb>302.8</fb>
    <v>13</v>
  </rv>
  <rv s="7">
    <fb>397.9</fb>
    <v>13</v>
  </rv>
  <rv s="7">
    <fb>353.03</fb>
    <v>13</v>
  </rv>
  <rv s="7">
    <fb>172.65</fb>
    <v>13</v>
  </rv>
  <rv s="7">
    <fb>257.39999999999998</fb>
    <v>13</v>
  </rv>
  <rv s="7">
    <fb>470.38</fb>
    <v>13</v>
  </rv>
  <rv s="7">
    <fb>109.73</fb>
    <v>13</v>
  </rv>
  <rv s="7">
    <fb>25.07</fb>
    <v>13</v>
  </rv>
  <rv s="7">
    <fb>43.35</fb>
    <v>13</v>
  </rv>
  <rv s="7">
    <fb>190.48</fb>
    <v>13</v>
  </rv>
  <rv s="7">
    <fb>126.63</fb>
    <v>13</v>
  </rv>
  <rv s="7">
    <fb>64.27</fb>
    <v>13</v>
  </rv>
  <rv s="7">
    <fb>202.54</fb>
    <v>13</v>
  </rv>
  <rv s="7">
    <fb>45714</fb>
    <v>14</v>
  </rv>
  <rv s="7">
    <fb>290.8</fb>
    <v>13</v>
  </rv>
  <rv s="7">
    <fb>214.35</fb>
    <v>13</v>
  </rv>
  <rv s="7">
    <fb>399.73</fb>
    <v>13</v>
  </rv>
  <rv s="7">
    <fb>359.59</fb>
    <v>13</v>
  </rv>
  <rv s="7">
    <fb>171.3</fb>
    <v>13</v>
  </rv>
  <rv s="7">
    <fb>258.79000000000002</fb>
    <v>13</v>
  </rv>
  <rv s="7">
    <fb>463.59</fb>
    <v>13</v>
  </rv>
  <rv s="7">
    <fb>109.46</fb>
    <v>13</v>
  </rv>
  <rv s="7">
    <fb>25.46</fb>
    <v>13</v>
  </rv>
  <rv s="7">
    <fb>43.53</fb>
    <v>13</v>
  </rv>
  <rv s="7">
    <fb>188.43</fb>
    <v>13</v>
  </rv>
  <rv s="7">
    <fb>131.28</fb>
    <v>13</v>
  </rv>
  <rv s="7">
    <fb>64.08</fb>
    <v>13</v>
  </rv>
  <rv s="7">
    <fb>212.94</fb>
    <v>13</v>
  </rv>
  <rv s="7">
    <fb>45715</fb>
    <v>14</v>
  </rv>
  <rv s="7">
    <fb>281.95</fb>
    <v>13</v>
  </rv>
  <rv s="7">
    <fb>208.74</fb>
    <v>13</v>
  </rv>
  <rv s="7">
    <fb>392.53</fb>
    <v>13</v>
  </rv>
  <rv s="7">
    <fb>355.51</fb>
    <v>13</v>
  </rv>
  <rv s="7">
    <fb>259.05</fb>
    <v>13</v>
  </rv>
  <rv s="7">
    <fb>468.56</fb>
    <v>13</v>
  </rv>
  <rv s="7">
    <fb>25.03</fb>
    <v>13</v>
  </rv>
  <rv s="7">
    <fb>42.77</fb>
    <v>13</v>
  </rv>
  <rv s="7">
    <fb>120.15</fb>
    <v>13</v>
  </rv>
  <rv s="7">
    <fb>63.81</fb>
    <v>13</v>
  </rv>
  <rv s="7">
    <fb>197.8</fb>
    <v>13</v>
  </rv>
  <rv s="7">
    <fb>45716</fb>
    <v>14</v>
  </rv>
  <rv s="7">
    <fb>396.99</fb>
    <v>13</v>
  </rv>
  <rv s="8">
    <v>15</v>
    <v>a24kar</v>
    <v>Daily</v>
    <v>45349</v>
    <v>45716</v>
    <v>0</v>
    <v>1</v>
    <v>638762976000000000,639132591353996373,0</v>
    <v>0</v>
    <v>a24kar</v>
    <v>XNAS:TSLA</v>
    <v>1</v>
  </rv>
  <rv s="8">
    <v>15</v>
    <v>a1nhlh</v>
    <v>Daily</v>
    <v>45349</v>
    <v>45716</v>
    <v>0</v>
    <v>1</v>
    <v>638762976000000000,639132591352794059,0</v>
    <v>0</v>
    <v>a1nhlh</v>
    <v>XNAS:AMZN</v>
    <v>2</v>
  </rv>
  <rv s="8">
    <v>15</v>
    <v>a1xzim</v>
    <v>Daily</v>
    <v>45349</v>
    <v>45716</v>
    <v>0</v>
    <v>1</v>
    <v>638762976000000000,639132591354247925,0</v>
    <v>0</v>
    <v>a1xzim</v>
    <v>XNAS:MSFT</v>
    <v>3</v>
  </rv>
  <rv s="8">
    <v>15</v>
    <v>a1qe5r</v>
    <v>Daily</v>
    <v>45349</v>
    <v>45716</v>
    <v>0</v>
    <v>1</v>
    <v>638762976000000000,639132591353503673,0</v>
    <v>0</v>
    <v>a1qe5r</v>
    <v>XNAS:CSCO</v>
    <v>4</v>
  </rv>
  <rv s="8">
    <v>15</v>
    <v>a269ec</v>
    <v>Daily</v>
    <v>45349</v>
    <v>45716</v>
    <v>0</v>
    <v>1</v>
    <v>638762976000000000,639132591352050962,0</v>
    <v>0</v>
    <v>a269ec</v>
    <v>XNYS:XOM</v>
    <v>5</v>
  </rv>
  <rv s="8">
    <v>15</v>
    <v>a1nanm</v>
    <v>Daily</v>
    <v>45349</v>
    <v>45716</v>
    <v>0</v>
    <v>1</v>
    <v>638762976000000000,639132591353039112,0</v>
    <v>0</v>
    <v>a1nanm</v>
    <v>XNYS:ALL</v>
    <v>6</v>
  </rv>
  <rv s="8">
    <v>15</v>
    <v>a238cw</v>
    <v>Daily</v>
    <v>45349</v>
    <v>45716</v>
    <v>0</v>
    <v>1</v>
    <v>638762976000000000,639132591352760261,0</v>
    <v>0</v>
    <v>a238cw</v>
    <v>XNYS:SONY</v>
    <v>7</v>
  </rv>
  <rv s="8">
    <v>15</v>
    <v>a2eyjc</v>
    <v>Daily</v>
    <v>45349</v>
    <v>45716</v>
    <v>0</v>
    <v>1</v>
    <v>638762976000000000,639132591352312049,0</v>
    <v>0</v>
    <v>a2eyjc</v>
    <v>OTCM:EADSY</v>
    <v>8</v>
  </rv>
  <rv s="8">
    <v>15</v>
    <v>a1zqnm</v>
    <v>Daily</v>
    <v>45349</v>
    <v>45716</v>
    <v>0</v>
    <v>1</v>
    <v>638762976000000000,639132591353263026,0</v>
    <v>0</v>
    <v>a1zqnm</v>
    <v>XNYS:PFE</v>
    <v>9</v>
  </rv>
  <rv s="8">
    <v>15</v>
    <v>a22xk2</v>
    <v>Daily</v>
    <v>45349</v>
    <v>45716</v>
    <v>0</v>
    <v>1</v>
    <v>638762976000000000,639132591352551196,0</v>
    <v>0</v>
    <v>a22xk2</v>
    <v>XNYS:SHW</v>
    <v>10</v>
  </rv>
  <rv s="8">
    <v>15</v>
    <v>a1waa2</v>
    <v>Daily</v>
    <v>45349</v>
    <v>45716</v>
    <v>0</v>
    <v>1</v>
    <v>638762976000000000,639132591353745941,0</v>
    <v>0</v>
    <v>a1waa2</v>
    <v>XNYS:JPM</v>
    <v>11</v>
  </rv>
  <rv s="8">
    <v>15</v>
    <v>a24xlh</v>
    <v>Daily</v>
    <v>45349</v>
    <v>45716</v>
    <v>0</v>
    <v>1</v>
    <v>638762976000000000,639132591352528902,0</v>
    <v>0</v>
    <v>a24xlh</v>
    <v>XNYS:UNH</v>
    <v>12</v>
  </rv>
  <rv s="8">
    <v>15</v>
    <v>a1yv52</v>
    <v>Daily</v>
    <v>45349</v>
    <v>45716</v>
    <v>0</v>
    <v>1</v>
    <v>638762976000000000,639132591352282373,0</v>
    <v>0</v>
    <v>a1yv52</v>
    <v>XNAS:NVDA</v>
    <v>13</v>
  </rv>
  <rv s="8">
    <v>15</v>
    <v>a1nz8m</v>
    <v>Daily</v>
    <v>45349</v>
    <v>45716</v>
    <v>0</v>
    <v>1</v>
    <v>638762976000000000,639132591353013348,0</v>
    <v>0</v>
    <v>a1nz8m</v>
    <v>XNAS:AVGO</v>
    <v>14</v>
  </rv>
  <rv s="8">
    <v>15</v>
    <v>a1zsjc</v>
    <v>Daily</v>
    <v>45349</v>
    <v>45716</v>
    <v>0</v>
    <v>1</v>
    <v>638762976000000000,639132591352038139,0</v>
    <v>0</v>
    <v>a1zsjc</v>
    <v>XNYS:PG</v>
    <v>15</v>
  </rv>
</rvData>
</file>

<file path=xl/richData/rdrichvaluestructure.xml><?xml version="1.0" encoding="utf-8"?>
<rvStructures xmlns="http://schemas.microsoft.com/office/spreadsheetml/2017/richdata" count="9">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mage" t="r"/>
    <k n="Industry" t="s"/>
    <k n="Instrument type" t="s"/>
    <k n="Last trade time"/>
    <k n="LearnMoreOnLink" t="r"/>
    <k n="Low"/>
    <k n="Name" t="s"/>
    <k n="Official name" t="s"/>
    <k n="Open"/>
    <k n="P/E"/>
    <k n="Previous close"/>
    <k n="Price"/>
    <k n="Ticker symbol" t="s"/>
    <k n="UniqueName" t="s"/>
    <k n="Volume"/>
    <k n="Year incorporated"/>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3">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Description</v>
      <v t="s">Headquarters</v>
      <v t="s">Industry</v>
      <v t="s">Instrument type</v>
      <v t="s">Year incorporated</v>
      <v t="s">_Flags</v>
      <v t="s">UniqueName</v>
      <v t="s">_DisplayString</v>
      <v t="s">LearnMoreOnLink</v>
      <v t="s">Image</v>
      <v t="s">ExchangeID</v>
      <v t="s">%ProviderInfo</v>
    </a>
  </spbArrays>
  <spbData count="16">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2</v>
      <v>2</v>
      <v>1</v>
      <v>3</v>
      <v>1</v>
      <v>10</v>
      <v>1</v>
      <v>1</v>
      <v>4</v>
      <v>5</v>
      <v>1</v>
      <v>1</v>
      <v>1</v>
      <v>7</v>
      <v>8</v>
      <v>9</v>
    </spb>
    <spb s="10">
      <v>Delayed 15 minutes</v>
      <v>from previous close</v>
      <v>from previous close</v>
      <v>GMT</v>
    </spb>
    <spb s="11">
      <v>1</v>
    </spb>
    <spb s="11">
      <v>11</v>
    </spb>
    <spb s="12">
      <v>11</v>
      <v>1</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Image" t="i"/>
    <k n="Price" t="i"/>
    <k n="Change" t="i"/>
    <k n="Volume" t="i"/>
    <k n="Change (%)" t="i"/>
    <k n="52 week low" t="i"/>
    <k n="52 week high" t="i"/>
    <k n="Previous close" t="i"/>
    <k n="Last trade time" t="i"/>
    <k n="Year incorporated" t="i"/>
    <k n="`%EntityServiceId" t="i"/>
  </s>
  <s>
    <k n="Price" t="s"/>
    <k n="Change" t="s"/>
    <k n="Change (%)" t="s"/>
    <k n="Last trad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DA3BB-1104-45A6-B79C-5055E19CEB68}">
  <sheetPr codeName="Sheet1">
    <tabColor theme="1" tint="0.249977111117893"/>
  </sheetPr>
  <dimension ref="A1:I19"/>
  <sheetViews>
    <sheetView zoomScale="120" zoomScaleNormal="120" workbookViewId="0">
      <selection activeCell="H21" sqref="H21"/>
    </sheetView>
  </sheetViews>
  <sheetFormatPr defaultRowHeight="15" x14ac:dyDescent="0.25"/>
  <cols>
    <col min="1" max="4" width="2.42578125" customWidth="1"/>
    <col min="5" max="5" width="3.28515625" bestFit="1" customWidth="1"/>
    <col min="6" max="6" width="13.140625" customWidth="1"/>
    <col min="7" max="9" width="11.85546875" customWidth="1"/>
  </cols>
  <sheetData>
    <row r="1" spans="1:9" ht="18.75" x14ac:dyDescent="0.3">
      <c r="A1" s="1" t="s">
        <v>0</v>
      </c>
    </row>
    <row r="2" spans="1:9" x14ac:dyDescent="0.25">
      <c r="B2" t="s">
        <v>1</v>
      </c>
      <c r="F2" s="2">
        <v>45349</v>
      </c>
    </row>
    <row r="3" spans="1:9" x14ac:dyDescent="0.25">
      <c r="B3" t="s">
        <v>2</v>
      </c>
      <c r="F3" s="2">
        <v>45716</v>
      </c>
    </row>
    <row r="4" spans="1:9" x14ac:dyDescent="0.25">
      <c r="B4" t="s">
        <v>3</v>
      </c>
      <c r="F4" t="s">
        <v>4</v>
      </c>
      <c r="G4" t="s">
        <v>5</v>
      </c>
      <c r="H4" t="s">
        <v>6</v>
      </c>
      <c r="I4" t="s">
        <v>7</v>
      </c>
    </row>
    <row r="5" spans="1:9" x14ac:dyDescent="0.25">
      <c r="E5" cm="1">
        <f t="array" ref="E5:E19">_xlfn.SEQUENCE(15,1,1,1)</f>
        <v>1</v>
      </c>
      <c r="F5" t="str" cm="1">
        <f t="array" aca="1" ref="F5" ca="1">+_FV(G5,"Ticker symbol",TRUE)</f>
        <v>TSLA</v>
      </c>
      <c r="G5" t="e" vm="1">
        <v>#VALUE!</v>
      </c>
      <c r="H5" s="3" cm="1">
        <f t="array" aca="1" ref="H5" ca="1">+_FV(G5,"Price")</f>
        <v>394.85</v>
      </c>
      <c r="I5" t="str" cm="1">
        <f t="array" aca="1" ref="I5" ca="1">+_FV(G5,"Name")</f>
        <v>TESLA, INC.</v>
      </c>
    </row>
    <row r="6" spans="1:9" x14ac:dyDescent="0.25">
      <c r="E6">
        <v>2</v>
      </c>
      <c r="F6" t="str" cm="1">
        <f t="array" aca="1" ref="F6" ca="1">+_FV(G6,"Ticker symbol",TRUE)</f>
        <v>AMZN</v>
      </c>
      <c r="G6" t="e" vm="2">
        <v>#VALUE!</v>
      </c>
      <c r="H6" s="3" cm="1">
        <f t="array" aca="1" ref="H6" ca="1">+_FV(G6,"Price")</f>
        <v>269.08999999999997</v>
      </c>
      <c r="I6" t="str" cm="1">
        <f t="array" aca="1" ref="I6" ca="1">+_FV(G6,"Name")</f>
        <v>AMAZON.COM, INC.</v>
      </c>
    </row>
    <row r="7" spans="1:9" x14ac:dyDescent="0.25">
      <c r="E7">
        <v>3</v>
      </c>
      <c r="F7" t="str" cm="1">
        <f t="array" aca="1" ref="F7" ca="1">+_FV(G7,"Ticker symbol",TRUE)</f>
        <v>MSFT</v>
      </c>
      <c r="G7" t="e" vm="3">
        <v>#VALUE!</v>
      </c>
      <c r="H7" s="3" cm="1">
        <f t="array" aca="1" ref="H7" ca="1">+_FV(G7,"Price")</f>
        <v>415.16500000000002</v>
      </c>
      <c r="I7" t="str" cm="1">
        <f t="array" aca="1" ref="I7" ca="1">+_FV(G7,"Name")</f>
        <v>MICROSOFT CORPORATION</v>
      </c>
    </row>
    <row r="8" spans="1:9" x14ac:dyDescent="0.25">
      <c r="E8">
        <v>4</v>
      </c>
      <c r="F8" t="str" cm="1">
        <f t="array" aca="1" ref="F8" ca="1">+_FV(G8,"Ticker symbol",TRUE)</f>
        <v>SHW</v>
      </c>
      <c r="G8" t="e" vm="4">
        <v>#VALUE!</v>
      </c>
      <c r="H8" s="3" cm="1">
        <f t="array" aca="1" ref="H8" ca="1">+_FV(G8,"Price")</f>
        <v>319.64</v>
      </c>
      <c r="I8" t="str" cm="1">
        <f t="array" aca="1" ref="I8" ca="1">+_FV(G8,"Name")</f>
        <v>THE SHERWIN-WILLIAMS COMPANY</v>
      </c>
    </row>
    <row r="9" spans="1:9" x14ac:dyDescent="0.25">
      <c r="E9">
        <v>5</v>
      </c>
      <c r="F9" t="str" cm="1">
        <f t="array" aca="1" ref="F9" ca="1">+_FV(G9,"Ticker symbol",TRUE)</f>
        <v>PG</v>
      </c>
      <c r="G9" t="e" vm="5">
        <v>#VALUE!</v>
      </c>
      <c r="H9" s="3" cm="1">
        <f t="array" aca="1" ref="H9" ca="1">+_FV(G9,"Price")</f>
        <v>146.85</v>
      </c>
      <c r="I9" t="str" cm="1">
        <f t="array" aca="1" ref="I9" ca="1">+_FV(G9,"Name")</f>
        <v>THE PROCTER &amp; GAMBLE COMPANY</v>
      </c>
    </row>
    <row r="10" spans="1:9" x14ac:dyDescent="0.25">
      <c r="E10">
        <v>6</v>
      </c>
      <c r="F10" t="str" cm="1">
        <f t="array" aca="1" ref="F10" ca="1">+_FV(G10,"Ticker symbol",TRUE)</f>
        <v>JPM</v>
      </c>
      <c r="G10" t="e" vm="6">
        <v>#VALUE!</v>
      </c>
      <c r="H10" s="3" cm="1">
        <f t="array" aca="1" ref="H10" ca="1">+_FV(G10,"Price")</f>
        <v>313.60000000000002</v>
      </c>
      <c r="I10" t="str" cm="1">
        <f t="array" aca="1" ref="I10" ca="1">+_FV(G10,"Name")</f>
        <v>JPMORGAN CHASE &amp; CO.</v>
      </c>
    </row>
    <row r="11" spans="1:9" x14ac:dyDescent="0.25">
      <c r="E11">
        <v>7</v>
      </c>
      <c r="F11" t="str" cm="1">
        <f t="array" aca="1" ref="F11" ca="1">+_FV(G11,"Ticker symbol",TRUE)</f>
        <v>UNH</v>
      </c>
      <c r="G11" t="e" vm="7">
        <v>#VALUE!</v>
      </c>
      <c r="H11" s="3" cm="1">
        <f t="array" aca="1" ref="H11" ca="1">+_FV(G11,"Price")</f>
        <v>369.89510000000001</v>
      </c>
      <c r="I11" t="str" cm="1">
        <f t="array" aca="1" ref="I11" ca="1">+_FV(G11,"Name")</f>
        <v>UNITEDHEALTH GROUP INCORPORATED</v>
      </c>
    </row>
    <row r="12" spans="1:9" x14ac:dyDescent="0.25">
      <c r="E12">
        <v>8</v>
      </c>
      <c r="F12" t="str" cm="1">
        <f t="array" aca="1" ref="F12" ca="1">+_FV(G12,"Ticker symbol",TRUE)</f>
        <v>XOM</v>
      </c>
      <c r="G12" t="e" vm="8">
        <v>#VALUE!</v>
      </c>
      <c r="H12" s="3" cm="1">
        <f t="array" aca="1" ref="H12" ca="1">+_FV(G12,"Price")</f>
        <v>153.38</v>
      </c>
      <c r="I12" t="str" cm="1">
        <f t="array" aca="1" ref="I12" ca="1">+_FV(G12,"Name")</f>
        <v>EXXON MOBIL CORPORATION</v>
      </c>
    </row>
    <row r="13" spans="1:9" x14ac:dyDescent="0.25">
      <c r="E13">
        <v>9</v>
      </c>
      <c r="F13" t="str" cm="1">
        <f t="array" aca="1" ref="F13" ca="1">+_FV(G13,"Ticker symbol",TRUE)</f>
        <v>SONY</v>
      </c>
      <c r="G13" t="e" vm="9">
        <v>#VALUE!</v>
      </c>
      <c r="H13" s="3" cm="1">
        <f t="array" aca="1" ref="H13" ca="1">+_FV(G13,"Price")</f>
        <v>19.815000000000001</v>
      </c>
      <c r="I13" t="str" cm="1">
        <f t="array" aca="1" ref="I13" ca="1">+_FV(G13,"Name")</f>
        <v>Sony Group Corporation</v>
      </c>
    </row>
    <row r="14" spans="1:9" x14ac:dyDescent="0.25">
      <c r="E14">
        <v>10</v>
      </c>
      <c r="F14" t="str" cm="1">
        <f t="array" aca="1" ref="F14" ca="1">+_FV(G14,"Ticker symbol",TRUE)</f>
        <v>EADSY</v>
      </c>
      <c r="G14" t="e" vm="10">
        <v>#VALUE!</v>
      </c>
      <c r="H14" s="3" cm="1">
        <f t="array" aca="1" ref="H14" ca="1">+_FV(G14,"Price")</f>
        <v>51.805</v>
      </c>
      <c r="I14" t="str" cm="1">
        <f t="array" aca="1" ref="I14" ca="1">+_FV(G14,"Name")</f>
        <v>Airbus SE</v>
      </c>
    </row>
    <row r="15" spans="1:9" x14ac:dyDescent="0.25">
      <c r="E15">
        <v>11</v>
      </c>
      <c r="F15" t="str" cm="1">
        <f t="array" aca="1" ref="F15" ca="1">+_FV(G15,"Ticker symbol",TRUE)</f>
        <v>PFE</v>
      </c>
      <c r="G15" t="e" vm="11">
        <v>#VALUE!</v>
      </c>
      <c r="H15" s="3" cm="1">
        <f t="array" aca="1" ref="H15" ca="1">+_FV(G15,"Price")</f>
        <v>26.484999999999999</v>
      </c>
      <c r="I15" t="str" cm="1">
        <f t="array" aca="1" ref="I15" ca="1">+_FV(G15,"Name")</f>
        <v>PFIZER INC.</v>
      </c>
    </row>
    <row r="16" spans="1:9" x14ac:dyDescent="0.25">
      <c r="E16">
        <v>12</v>
      </c>
      <c r="F16" t="str" cm="1">
        <f t="array" aca="1" ref="F16" ca="1">+_FV(G16,"Ticker symbol",TRUE)</f>
        <v>ALL</v>
      </c>
      <c r="G16" t="e" vm="12">
        <v>#VALUE!</v>
      </c>
      <c r="H16" s="3" cm="1">
        <f t="array" aca="1" ref="H16" ca="1">+_FV(G16,"Price")</f>
        <v>217.36</v>
      </c>
      <c r="I16" t="str" cm="1">
        <f t="array" aca="1" ref="I16" ca="1">+_FV(G16,"Name")</f>
        <v>THE ALLSTATE CORPORATION</v>
      </c>
    </row>
    <row r="17" spans="5:9" x14ac:dyDescent="0.25">
      <c r="E17">
        <v>13</v>
      </c>
      <c r="F17" t="str" cm="1">
        <f t="array" aca="1" ref="F17" ca="1">+_FV(G17,"Ticker symbol",TRUE)</f>
        <v>NVDA</v>
      </c>
      <c r="G17" t="e" vm="13">
        <v>#VALUE!</v>
      </c>
      <c r="H17" s="3" cm="1">
        <f t="array" aca="1" ref="H17" ca="1">+_FV(G17,"Price")</f>
        <v>198.49</v>
      </c>
      <c r="I17" t="str" cm="1">
        <f t="array" aca="1" ref="I17" ca="1">+_FV(G17,"Name")</f>
        <v>NVIDIA CORPORATION</v>
      </c>
    </row>
    <row r="18" spans="5:9" x14ac:dyDescent="0.25">
      <c r="E18">
        <v>14</v>
      </c>
      <c r="F18" t="str" cm="1">
        <f t="array" aca="1" ref="F18" ca="1">+_FV(G18,"Ticker symbol",TRUE)</f>
        <v>CSCO</v>
      </c>
      <c r="G18" t="e" vm="14">
        <v>#VALUE!</v>
      </c>
      <c r="H18" s="3" cm="1">
        <f t="array" aca="1" ref="H18" ca="1">+_FV(G18,"Price")</f>
        <v>92.215000000000003</v>
      </c>
      <c r="I18" t="str" cm="1">
        <f t="array" aca="1" ref="I18" ca="1">+_FV(G18,"Name")</f>
        <v>CISCO SYSTEMS, INC.</v>
      </c>
    </row>
    <row r="19" spans="5:9" x14ac:dyDescent="0.25">
      <c r="E19">
        <v>15</v>
      </c>
      <c r="F19" t="str" cm="1">
        <f t="array" aca="1" ref="F19" ca="1">+_FV(G19,"Ticker symbol",TRUE)</f>
        <v>AVGO</v>
      </c>
      <c r="G19" t="e" vm="15">
        <v>#VALUE!</v>
      </c>
      <c r="H19" s="3" cm="1">
        <f t="array" aca="1" ref="H19" ca="1">+_FV(G19,"Price")</f>
        <v>422.96499999999997</v>
      </c>
      <c r="I19" t="str" cm="1">
        <f t="array" aca="1" ref="I19" ca="1">+_FV(G19,"Name")</f>
        <v>BROADCOM INC.</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AD22C-E336-489A-B882-E746931D9E9A}">
  <sheetPr codeName="Sheet2">
    <tabColor theme="3" tint="0.89999084444715716"/>
  </sheetPr>
  <dimension ref="A1:AE63"/>
  <sheetViews>
    <sheetView zoomScale="110" zoomScaleNormal="110" workbookViewId="0">
      <selection activeCell="F27" sqref="F27"/>
    </sheetView>
  </sheetViews>
  <sheetFormatPr defaultRowHeight="15" x14ac:dyDescent="0.25"/>
  <cols>
    <col min="1" max="5" width="3.5703125" customWidth="1"/>
    <col min="6" max="6" width="40.85546875" customWidth="1"/>
    <col min="7" max="7" width="10.140625" customWidth="1"/>
  </cols>
  <sheetData>
    <row r="1" spans="1:26" ht="18.75" x14ac:dyDescent="0.3">
      <c r="A1" s="1" t="s">
        <v>0</v>
      </c>
      <c r="K1" s="24" t="s">
        <v>20</v>
      </c>
    </row>
    <row r="2" spans="1:26" x14ac:dyDescent="0.25">
      <c r="B2" t="s">
        <v>3</v>
      </c>
      <c r="G2" s="5" t="s">
        <v>11</v>
      </c>
      <c r="H2" s="5" t="s">
        <v>12</v>
      </c>
      <c r="I2" s="5" t="s">
        <v>13</v>
      </c>
      <c r="K2" s="11"/>
      <c r="L2" s="14" t="str" cm="1">
        <f t="array" aca="1" ref="L2:Z2" ca="1">+TRANSPOSE(Stock.List)</f>
        <v>TSLA</v>
      </c>
      <c r="M2" s="14" t="str">
        <f ca="1"/>
        <v>AMZN</v>
      </c>
      <c r="N2" s="14" t="str">
        <f ca="1"/>
        <v>MSFT</v>
      </c>
      <c r="O2" s="14" t="str">
        <f ca="1"/>
        <v>SHW</v>
      </c>
      <c r="P2" s="14" t="str">
        <f ca="1"/>
        <v>PG</v>
      </c>
      <c r="Q2" s="14" t="str">
        <f ca="1"/>
        <v>JPM</v>
      </c>
      <c r="R2" s="14" t="str">
        <f ca="1"/>
        <v>UNH</v>
      </c>
      <c r="S2" s="14" t="str">
        <f ca="1"/>
        <v>XOM</v>
      </c>
      <c r="T2" s="14" t="str">
        <f ca="1"/>
        <v>SONY</v>
      </c>
      <c r="U2" s="14" t="str">
        <f ca="1"/>
        <v>EADSY</v>
      </c>
      <c r="V2" s="14" t="str">
        <f ca="1"/>
        <v>PFE</v>
      </c>
      <c r="W2" s="14" t="str">
        <f ca="1"/>
        <v>ALL</v>
      </c>
      <c r="X2" s="14" t="str">
        <f ca="1"/>
        <v>NVDA</v>
      </c>
      <c r="Y2" s="14" t="str">
        <f ca="1"/>
        <v>CSCO</v>
      </c>
      <c r="Z2" s="14" t="str">
        <f ca="1"/>
        <v>AVGO</v>
      </c>
    </row>
    <row r="3" spans="1:26" x14ac:dyDescent="0.25">
      <c r="C3" t="str" cm="1">
        <f t="array" aca="1" ref="C3:C17" ca="1">Stock.List</f>
        <v>TSLA</v>
      </c>
      <c r="F3" t="str" cm="1">
        <f t="array" aca="1" ref="F3:F17" ca="1">+Stock.Names</f>
        <v>TESLA, INC.</v>
      </c>
      <c r="G3" s="9">
        <v>0.2</v>
      </c>
      <c r="H3" s="6" cm="1">
        <f t="array" aca="1" ref="H3:H17" ca="1">TRANSPOSE(Stock.Returns)</f>
        <v>0.44861681396723041</v>
      </c>
      <c r="I3" s="6" cm="1">
        <f t="array" aca="1" ref="I3:I17" ca="1">+TRANSPOSE(Stock.Risk)</f>
        <v>0.65319767758384017</v>
      </c>
      <c r="K3" s="13" t="str" cm="1">
        <f t="array" aca="1" ref="K3:K17" ca="1">+Stock.List</f>
        <v>TSLA</v>
      </c>
      <c r="L3" s="15" cm="1">
        <f t="array" aca="1" ref="L3" ca="1">CORREL(_xlfn.XLOOKUP(L$2,TRANSPOSE(Stock.List),table.delta),_xlfn.XLOOKUP($K3,TRANSPOSE(Stock.List),table.delta))</f>
        <v>0.99999999999999989</v>
      </c>
      <c r="M3" s="16" cm="1">
        <f t="array" aca="1" ref="M3" ca="1">CORREL(_xlfn.XLOOKUP(M$2,TRANSPOSE(Stock.List),table.delta),_xlfn.XLOOKUP($K3,TRANSPOSE(Stock.List),table.delta))</f>
        <v>0.3586939007781787</v>
      </c>
      <c r="N3" s="16" cm="1">
        <f t="array" aca="1" ref="N3" ca="1">CORREL(_xlfn.XLOOKUP(N$2,TRANSPOSE(Stock.List),table.delta),_xlfn.XLOOKUP($K3,TRANSPOSE(Stock.List),table.delta))</f>
        <v>0.31105491028731896</v>
      </c>
      <c r="O3" s="16" cm="1">
        <f t="array" aca="1" ref="O3" ca="1">CORREL(_xlfn.XLOOKUP(O$2,TRANSPOSE(Stock.List),table.delta),_xlfn.XLOOKUP($K3,TRANSPOSE(Stock.List),table.delta))</f>
        <v>0.15196914696880615</v>
      </c>
      <c r="P3" s="16" cm="1">
        <f t="array" aca="1" ref="P3" ca="1">CORREL(_xlfn.XLOOKUP(P$2,TRANSPOSE(Stock.List),table.delta),_xlfn.XLOOKUP($K3,TRANSPOSE(Stock.List),table.delta))</f>
        <v>-7.512481148539854E-2</v>
      </c>
      <c r="Q3" s="16" cm="1">
        <f t="array" aca="1" ref="Q3" ca="1">CORREL(_xlfn.XLOOKUP(Q$2,TRANSPOSE(Stock.List),table.delta),_xlfn.XLOOKUP($K3,TRANSPOSE(Stock.List),table.delta))</f>
        <v>0.24364420000094444</v>
      </c>
      <c r="R3" s="16" cm="1">
        <f t="array" aca="1" ref="R3" ca="1">CORREL(_xlfn.XLOOKUP(R$2,TRANSPOSE(Stock.List),table.delta),_xlfn.XLOOKUP($K3,TRANSPOSE(Stock.List),table.delta))</f>
        <v>4.9602976762801046E-3</v>
      </c>
      <c r="S3" s="16" cm="1">
        <f t="array" aca="1" ref="S3" ca="1">CORREL(_xlfn.XLOOKUP(S$2,TRANSPOSE(Stock.List),table.delta),_xlfn.XLOOKUP($K3,TRANSPOSE(Stock.List),table.delta))</f>
        <v>6.8036762385490055E-4</v>
      </c>
      <c r="T3" s="16" cm="1">
        <f t="array" aca="1" ref="T3" ca="1">CORREL(_xlfn.XLOOKUP(T$2,TRANSPOSE(Stock.List),table.delta),_xlfn.XLOOKUP($K3,TRANSPOSE(Stock.List),table.delta))</f>
        <v>0.2563669501881965</v>
      </c>
      <c r="U3" s="16" cm="1">
        <f t="array" aca="1" ref="U3" ca="1">CORREL(_xlfn.XLOOKUP(U$2,TRANSPOSE(Stock.List),table.delta),_xlfn.XLOOKUP($K3,TRANSPOSE(Stock.List),table.delta))</f>
        <v>0.1131446775185892</v>
      </c>
      <c r="V3" s="16" cm="1">
        <f t="array" aca="1" ref="V3" ca="1">CORREL(_xlfn.XLOOKUP(V$2,TRANSPOSE(Stock.List),table.delta),_xlfn.XLOOKUP($K3,TRANSPOSE(Stock.List),table.delta))</f>
        <v>-8.2087663467057662E-2</v>
      </c>
      <c r="W3" s="16" cm="1">
        <f t="array" aca="1" ref="W3" ca="1">CORREL(_xlfn.XLOOKUP(W$2,TRANSPOSE(Stock.List),table.delta),_xlfn.XLOOKUP($K3,TRANSPOSE(Stock.List),table.delta))</f>
        <v>-2.0981192549314825E-2</v>
      </c>
      <c r="X3" s="16" cm="1">
        <f t="array" aca="1" ref="X3" ca="1">CORREL(_xlfn.XLOOKUP(X$2,TRANSPOSE(Stock.List),table.delta),_xlfn.XLOOKUP($K3,TRANSPOSE(Stock.List),table.delta))</f>
        <v>0.24566864276633113</v>
      </c>
      <c r="Y3" s="16" cm="1">
        <f t="array" aca="1" ref="Y3" ca="1">CORREL(_xlfn.XLOOKUP(Y$2,TRANSPOSE(Stock.List),table.delta),_xlfn.XLOOKUP($K3,TRANSPOSE(Stock.List),table.delta))</f>
        <v>0.16503701395639664</v>
      </c>
      <c r="Z3" s="17" cm="1">
        <f t="array" aca="1" ref="Z3" ca="1">CORREL(_xlfn.XLOOKUP(Z$2,TRANSPOSE(Stock.List),table.delta),_xlfn.XLOOKUP($K3,TRANSPOSE(Stock.List),table.delta))</f>
        <v>0.36634285051615145</v>
      </c>
    </row>
    <row r="4" spans="1:26" x14ac:dyDescent="0.25">
      <c r="C4" t="str">
        <f ca="1"/>
        <v>AMZN</v>
      </c>
      <c r="F4" t="str">
        <f ca="1"/>
        <v>AMAZON.COM, INC.</v>
      </c>
      <c r="G4" s="9">
        <v>9.1173120149946579E-2</v>
      </c>
      <c r="H4" s="6">
        <f ca="1"/>
        <v>0.22522671064020372</v>
      </c>
      <c r="I4" s="6">
        <f ca="1"/>
        <v>0.274318290381518</v>
      </c>
      <c r="K4" s="13" t="str">
        <f ca="1"/>
        <v>AMZN</v>
      </c>
      <c r="L4" s="18" cm="1">
        <f t="array" aca="1" ref="L4" ca="1">CORREL(_xlfn.XLOOKUP(L$2,TRANSPOSE(Stock.List),table.delta),_xlfn.XLOOKUP($K4,TRANSPOSE(Stock.List),table.delta))</f>
        <v>0.3586939007781787</v>
      </c>
      <c r="M4" s="19" cm="1">
        <f t="array" aca="1" ref="M4" ca="1">CORREL(_xlfn.XLOOKUP(M$2,TRANSPOSE(Stock.List),table.delta),_xlfn.XLOOKUP($K4,TRANSPOSE(Stock.List),table.delta))</f>
        <v>1</v>
      </c>
      <c r="N4" s="19" cm="1">
        <f t="array" aca="1" ref="N4" ca="1">CORREL(_xlfn.XLOOKUP(N$2,TRANSPOSE(Stock.List),table.delta),_xlfn.XLOOKUP($K4,TRANSPOSE(Stock.List),table.delta))</f>
        <v>0.64947929197453125</v>
      </c>
      <c r="O4" s="19" cm="1">
        <f t="array" aca="1" ref="O4" ca="1">CORREL(_xlfn.XLOOKUP(O$2,TRANSPOSE(Stock.List),table.delta),_xlfn.XLOOKUP($K4,TRANSPOSE(Stock.List),table.delta))</f>
        <v>0.25072518393027277</v>
      </c>
      <c r="P4" s="19" cm="1">
        <f t="array" aca="1" ref="P4" ca="1">CORREL(_xlfn.XLOOKUP(P$2,TRANSPOSE(Stock.List),table.delta),_xlfn.XLOOKUP($K4,TRANSPOSE(Stock.List),table.delta))</f>
        <v>-0.1315052189193181</v>
      </c>
      <c r="Q4" s="19" cm="1">
        <f t="array" aca="1" ref="Q4" ca="1">CORREL(_xlfn.XLOOKUP(Q$2,TRANSPOSE(Stock.List),table.delta),_xlfn.XLOOKUP($K4,TRANSPOSE(Stock.List),table.delta))</f>
        <v>0.2575457278201011</v>
      </c>
      <c r="R4" s="19" cm="1">
        <f t="array" aca="1" ref="R4" ca="1">CORREL(_xlfn.XLOOKUP(R$2,TRANSPOSE(Stock.List),table.delta),_xlfn.XLOOKUP($K4,TRANSPOSE(Stock.List),table.delta))</f>
        <v>-5.4846533715918612E-2</v>
      </c>
      <c r="S4" s="19" cm="1">
        <f t="array" aca="1" ref="S4" ca="1">CORREL(_xlfn.XLOOKUP(S$2,TRANSPOSE(Stock.List),table.delta),_xlfn.XLOOKUP($K4,TRANSPOSE(Stock.List),table.delta))</f>
        <v>-6.4823484209936014E-2</v>
      </c>
      <c r="T4" s="19" cm="1">
        <f t="array" aca="1" ref="T4" ca="1">CORREL(_xlfn.XLOOKUP(T$2,TRANSPOSE(Stock.List),table.delta),_xlfn.XLOOKUP($K4,TRANSPOSE(Stock.List),table.delta))</f>
        <v>0.26435845906070998</v>
      </c>
      <c r="U4" s="19" cm="1">
        <f t="array" aca="1" ref="U4" ca="1">CORREL(_xlfn.XLOOKUP(U$2,TRANSPOSE(Stock.List),table.delta),_xlfn.XLOOKUP($K4,TRANSPOSE(Stock.List),table.delta))</f>
        <v>0.23603675844608307</v>
      </c>
      <c r="V4" s="19" cm="1">
        <f t="array" aca="1" ref="V4" ca="1">CORREL(_xlfn.XLOOKUP(V$2,TRANSPOSE(Stock.List),table.delta),_xlfn.XLOOKUP($K4,TRANSPOSE(Stock.List),table.delta))</f>
        <v>-4.6596776525762503E-4</v>
      </c>
      <c r="W4" s="19" cm="1">
        <f t="array" aca="1" ref="W4" ca="1">CORREL(_xlfn.XLOOKUP(W$2,TRANSPOSE(Stock.List),table.delta),_xlfn.XLOOKUP($K4,TRANSPOSE(Stock.List),table.delta))</f>
        <v>-5.4312573196446431E-2</v>
      </c>
      <c r="X4" s="19" cm="1">
        <f t="array" aca="1" ref="X4" ca="1">CORREL(_xlfn.XLOOKUP(X$2,TRANSPOSE(Stock.List),table.delta),_xlfn.XLOOKUP($K4,TRANSPOSE(Stock.List),table.delta))</f>
        <v>0.39256869748659118</v>
      </c>
      <c r="Y4" s="19" cm="1">
        <f t="array" aca="1" ref="Y4" ca="1">CORREL(_xlfn.XLOOKUP(Y$2,TRANSPOSE(Stock.List),table.delta),_xlfn.XLOOKUP($K4,TRANSPOSE(Stock.List),table.delta))</f>
        <v>0.31468141369747338</v>
      </c>
      <c r="Z4" s="20" cm="1">
        <f t="array" aca="1" ref="Z4" ca="1">CORREL(_xlfn.XLOOKUP(Z$2,TRANSPOSE(Stock.List),table.delta),_xlfn.XLOOKUP($K4,TRANSPOSE(Stock.List),table.delta))</f>
        <v>0.39029855261426727</v>
      </c>
    </row>
    <row r="5" spans="1:26" x14ac:dyDescent="0.25">
      <c r="C5" t="str">
        <f ca="1"/>
        <v>MSFT</v>
      </c>
      <c r="F5" t="str">
        <f ca="1"/>
        <v>MICROSOFT CORPORATION</v>
      </c>
      <c r="G5" s="9">
        <v>0.10882668956487575</v>
      </c>
      <c r="H5" s="6">
        <f ca="1"/>
        <v>-1.8290717563247627E-2</v>
      </c>
      <c r="I5" s="6">
        <f ca="1"/>
        <v>0.21217304573039722</v>
      </c>
      <c r="K5" s="13" t="str">
        <f ca="1"/>
        <v>MSFT</v>
      </c>
      <c r="L5" s="18" cm="1">
        <f t="array" aca="1" ref="L5" ca="1">CORREL(_xlfn.XLOOKUP(L$2,TRANSPOSE(Stock.List),table.delta),_xlfn.XLOOKUP($K5,TRANSPOSE(Stock.List),table.delta))</f>
        <v>0.31105491028731896</v>
      </c>
      <c r="M5" s="19" cm="1">
        <f t="array" aca="1" ref="M5" ca="1">CORREL(_xlfn.XLOOKUP(M$2,TRANSPOSE(Stock.List),table.delta),_xlfn.XLOOKUP($K5,TRANSPOSE(Stock.List),table.delta))</f>
        <v>0.64947929197453125</v>
      </c>
      <c r="N5" s="19" cm="1">
        <f t="array" aca="1" ref="N5" ca="1">CORREL(_xlfn.XLOOKUP(N$2,TRANSPOSE(Stock.List),table.delta),_xlfn.XLOOKUP($K5,TRANSPOSE(Stock.List),table.delta))</f>
        <v>1.0000000000000002</v>
      </c>
      <c r="O5" s="19" cm="1">
        <f t="array" aca="1" ref="O5" ca="1">CORREL(_xlfn.XLOOKUP(O$2,TRANSPOSE(Stock.List),table.delta),_xlfn.XLOOKUP($K5,TRANSPOSE(Stock.List),table.delta))</f>
        <v>0.19519053788481819</v>
      </c>
      <c r="P5" s="19" cm="1">
        <f t="array" aca="1" ref="P5" ca="1">CORREL(_xlfn.XLOOKUP(P$2,TRANSPOSE(Stock.List),table.delta),_xlfn.XLOOKUP($K5,TRANSPOSE(Stock.List),table.delta))</f>
        <v>-4.7071270883309729E-2</v>
      </c>
      <c r="Q5" s="19" cm="1">
        <f t="array" aca="1" ref="Q5" ca="1">CORREL(_xlfn.XLOOKUP(Q$2,TRANSPOSE(Stock.List),table.delta),_xlfn.XLOOKUP($K5,TRANSPOSE(Stock.List),table.delta))</f>
        <v>0.14815750708257722</v>
      </c>
      <c r="R5" s="19" cm="1">
        <f t="array" aca="1" ref="R5" ca="1">CORREL(_xlfn.XLOOKUP(R$2,TRANSPOSE(Stock.List),table.delta),_xlfn.XLOOKUP($K5,TRANSPOSE(Stock.List),table.delta))</f>
        <v>-8.3245158269562275E-2</v>
      </c>
      <c r="S5" s="19" cm="1">
        <f t="array" aca="1" ref="S5" ca="1">CORREL(_xlfn.XLOOKUP(S$2,TRANSPOSE(Stock.List),table.delta),_xlfn.XLOOKUP($K5,TRANSPOSE(Stock.List),table.delta))</f>
        <v>-0.11571293214432649</v>
      </c>
      <c r="T5" s="19" cm="1">
        <f t="array" aca="1" ref="T5" ca="1">CORREL(_xlfn.XLOOKUP(T$2,TRANSPOSE(Stock.List),table.delta),_xlfn.XLOOKUP($K5,TRANSPOSE(Stock.List),table.delta))</f>
        <v>0.20920083942823217</v>
      </c>
      <c r="U5" s="19" cm="1">
        <f t="array" aca="1" ref="U5" ca="1">CORREL(_xlfn.XLOOKUP(U$2,TRANSPOSE(Stock.List),table.delta),_xlfn.XLOOKUP($K5,TRANSPOSE(Stock.List),table.delta))</f>
        <v>0.23610218527840462</v>
      </c>
      <c r="V5" s="19" cm="1">
        <f t="array" aca="1" ref="V5" ca="1">CORREL(_xlfn.XLOOKUP(V$2,TRANSPOSE(Stock.List),table.delta),_xlfn.XLOOKUP($K5,TRANSPOSE(Stock.List),table.delta))</f>
        <v>2.8753478204694184E-2</v>
      </c>
      <c r="W5" s="19" cm="1">
        <f t="array" aca="1" ref="W5" ca="1">CORREL(_xlfn.XLOOKUP(W$2,TRANSPOSE(Stock.List),table.delta),_xlfn.XLOOKUP($K5,TRANSPOSE(Stock.List),table.delta))</f>
        <v>-2.87052204745947E-2</v>
      </c>
      <c r="X5" s="19" cm="1">
        <f t="array" aca="1" ref="X5" ca="1">CORREL(_xlfn.XLOOKUP(X$2,TRANSPOSE(Stock.List),table.delta),_xlfn.XLOOKUP($K5,TRANSPOSE(Stock.List),table.delta))</f>
        <v>0.45778454762034188</v>
      </c>
      <c r="Y5" s="19" cm="1">
        <f t="array" aca="1" ref="Y5" ca="1">CORREL(_xlfn.XLOOKUP(Y$2,TRANSPOSE(Stock.List),table.delta),_xlfn.XLOOKUP($K5,TRANSPOSE(Stock.List),table.delta))</f>
        <v>0.24757631767897276</v>
      </c>
      <c r="Z5" s="20" cm="1">
        <f t="array" aca="1" ref="Z5" ca="1">CORREL(_xlfn.XLOOKUP(Z$2,TRANSPOSE(Stock.List),table.delta),_xlfn.XLOOKUP($K5,TRANSPOSE(Stock.List),table.delta))</f>
        <v>0.40705013845488219</v>
      </c>
    </row>
    <row r="6" spans="1:26" x14ac:dyDescent="0.25">
      <c r="C6" t="str">
        <f ca="1"/>
        <v>SHW</v>
      </c>
      <c r="F6" t="str">
        <f ca="1"/>
        <v>THE SHERWIN-WILLIAMS COMPANY</v>
      </c>
      <c r="G6" s="9">
        <v>0.02</v>
      </c>
      <c r="H6" s="6">
        <f ca="1"/>
        <v>0.10528665447388752</v>
      </c>
      <c r="I6" s="6">
        <f ca="1"/>
        <v>0.21934166196544524</v>
      </c>
      <c r="K6" s="13" t="str">
        <f ca="1"/>
        <v>SHW</v>
      </c>
      <c r="L6" s="18" cm="1">
        <f t="array" aca="1" ref="L6" ca="1">CORREL(_xlfn.XLOOKUP(L$2,TRANSPOSE(Stock.List),table.delta),_xlfn.XLOOKUP($K6,TRANSPOSE(Stock.List),table.delta))</f>
        <v>0.15196914696880615</v>
      </c>
      <c r="M6" s="19" cm="1">
        <f t="array" aca="1" ref="M6" ca="1">CORREL(_xlfn.XLOOKUP(M$2,TRANSPOSE(Stock.List),table.delta),_xlfn.XLOOKUP($K6,TRANSPOSE(Stock.List),table.delta))</f>
        <v>0.25072518393027277</v>
      </c>
      <c r="N6" s="19" cm="1">
        <f t="array" aca="1" ref="N6" ca="1">CORREL(_xlfn.XLOOKUP(N$2,TRANSPOSE(Stock.List),table.delta),_xlfn.XLOOKUP($K6,TRANSPOSE(Stock.List),table.delta))</f>
        <v>0.19519053788481819</v>
      </c>
      <c r="O6" s="19" cm="1">
        <f t="array" aca="1" ref="O6" ca="1">CORREL(_xlfn.XLOOKUP(O$2,TRANSPOSE(Stock.List),table.delta),_xlfn.XLOOKUP($K6,TRANSPOSE(Stock.List),table.delta))</f>
        <v>1</v>
      </c>
      <c r="P6" s="19" cm="1">
        <f t="array" aca="1" ref="P6" ca="1">CORREL(_xlfn.XLOOKUP(P$2,TRANSPOSE(Stock.List),table.delta),_xlfn.XLOOKUP($K6,TRANSPOSE(Stock.List),table.delta))</f>
        <v>0.17226511107355072</v>
      </c>
      <c r="Q6" s="19" cm="1">
        <f t="array" aca="1" ref="Q6" ca="1">CORREL(_xlfn.XLOOKUP(Q$2,TRANSPOSE(Stock.List),table.delta),_xlfn.XLOOKUP($K6,TRANSPOSE(Stock.List),table.delta))</f>
        <v>0.18811129464728807</v>
      </c>
      <c r="R6" s="19" cm="1">
        <f t="array" aca="1" ref="R6" ca="1">CORREL(_xlfn.XLOOKUP(R$2,TRANSPOSE(Stock.List),table.delta),_xlfn.XLOOKUP($K6,TRANSPOSE(Stock.List),table.delta))</f>
        <v>0.16540481032777843</v>
      </c>
      <c r="S6" s="19" cm="1">
        <f t="array" aca="1" ref="S6" ca="1">CORREL(_xlfn.XLOOKUP(S$2,TRANSPOSE(Stock.List),table.delta),_xlfn.XLOOKUP($K6,TRANSPOSE(Stock.List),table.delta))</f>
        <v>9.0308779862622021E-2</v>
      </c>
      <c r="T6" s="19" cm="1">
        <f t="array" aca="1" ref="T6" ca="1">CORREL(_xlfn.XLOOKUP(T$2,TRANSPOSE(Stock.List),table.delta),_xlfn.XLOOKUP($K6,TRANSPOSE(Stock.List),table.delta))</f>
        <v>0.18579654683935559</v>
      </c>
      <c r="U6" s="19" cm="1">
        <f t="array" aca="1" ref="U6" ca="1">CORREL(_xlfn.XLOOKUP(U$2,TRANSPOSE(Stock.List),table.delta),_xlfn.XLOOKUP($K6,TRANSPOSE(Stock.List),table.delta))</f>
        <v>0.18122800431191341</v>
      </c>
      <c r="V6" s="19" cm="1">
        <f t="array" aca="1" ref="V6" ca="1">CORREL(_xlfn.XLOOKUP(V$2,TRANSPOSE(Stock.List),table.delta),_xlfn.XLOOKUP($K6,TRANSPOSE(Stock.List),table.delta))</f>
        <v>0.2059477965097338</v>
      </c>
      <c r="W6" s="19" cm="1">
        <f t="array" aca="1" ref="W6" ca="1">CORREL(_xlfn.XLOOKUP(W$2,TRANSPOSE(Stock.List),table.delta),_xlfn.XLOOKUP($K6,TRANSPOSE(Stock.List),table.delta))</f>
        <v>0.20167177495354244</v>
      </c>
      <c r="X6" s="19" cm="1">
        <f t="array" aca="1" ref="X6" ca="1">CORREL(_xlfn.XLOOKUP(X$2,TRANSPOSE(Stock.List),table.delta),_xlfn.XLOOKUP($K6,TRANSPOSE(Stock.List),table.delta))</f>
        <v>0.10616306817369936</v>
      </c>
      <c r="Y6" s="19" cm="1">
        <f t="array" aca="1" ref="Y6" ca="1">CORREL(_xlfn.XLOOKUP(Y$2,TRANSPOSE(Stock.List),table.delta),_xlfn.XLOOKUP($K6,TRANSPOSE(Stock.List),table.delta))</f>
        <v>0.25055739791210341</v>
      </c>
      <c r="Z6" s="20" cm="1">
        <f t="array" aca="1" ref="Z6" ca="1">CORREL(_xlfn.XLOOKUP(Z$2,TRANSPOSE(Stock.List),table.delta),_xlfn.XLOOKUP($K6,TRANSPOSE(Stock.List),table.delta))</f>
        <v>0.21909868755638029</v>
      </c>
    </row>
    <row r="7" spans="1:26" x14ac:dyDescent="0.25">
      <c r="C7" t="str">
        <f ca="1"/>
        <v>PG</v>
      </c>
      <c r="F7" t="str">
        <f ca="1"/>
        <v>THE PROCTER &amp; GAMBLE COMPANY</v>
      </c>
      <c r="G7" s="9">
        <v>0.02</v>
      </c>
      <c r="H7" s="6">
        <f ca="1"/>
        <v>0.11260232117391888</v>
      </c>
      <c r="I7" s="6">
        <f ca="1"/>
        <v>0.16313543277552275</v>
      </c>
      <c r="K7" s="13" t="str">
        <f ca="1"/>
        <v>PG</v>
      </c>
      <c r="L7" s="18" cm="1">
        <f t="array" aca="1" ref="L7" ca="1">CORREL(_xlfn.XLOOKUP(L$2,TRANSPOSE(Stock.List),table.delta),_xlfn.XLOOKUP($K7,TRANSPOSE(Stock.List),table.delta))</f>
        <v>-7.512481148539854E-2</v>
      </c>
      <c r="M7" s="19" cm="1">
        <f t="array" aca="1" ref="M7" ca="1">CORREL(_xlfn.XLOOKUP(M$2,TRANSPOSE(Stock.List),table.delta),_xlfn.XLOOKUP($K7,TRANSPOSE(Stock.List),table.delta))</f>
        <v>-0.1315052189193181</v>
      </c>
      <c r="N7" s="19" cm="1">
        <f t="array" aca="1" ref="N7" ca="1">CORREL(_xlfn.XLOOKUP(N$2,TRANSPOSE(Stock.List),table.delta),_xlfn.XLOOKUP($K7,TRANSPOSE(Stock.List),table.delta))</f>
        <v>-4.7071270883309729E-2</v>
      </c>
      <c r="O7" s="19" cm="1">
        <f t="array" aca="1" ref="O7" ca="1">CORREL(_xlfn.XLOOKUP(O$2,TRANSPOSE(Stock.List),table.delta),_xlfn.XLOOKUP($K7,TRANSPOSE(Stock.List),table.delta))</f>
        <v>0.17226511107355072</v>
      </c>
      <c r="P7" s="19" cm="1">
        <f t="array" aca="1" ref="P7" ca="1">CORREL(_xlfn.XLOOKUP(P$2,TRANSPOSE(Stock.List),table.delta),_xlfn.XLOOKUP($K7,TRANSPOSE(Stock.List),table.delta))</f>
        <v>1</v>
      </c>
      <c r="Q7" s="19" cm="1">
        <f t="array" aca="1" ref="Q7" ca="1">CORREL(_xlfn.XLOOKUP(Q$2,TRANSPOSE(Stock.List),table.delta),_xlfn.XLOOKUP($K7,TRANSPOSE(Stock.List),table.delta))</f>
        <v>-5.6507544977591605E-2</v>
      </c>
      <c r="R7" s="19" cm="1">
        <f t="array" aca="1" ref="R7" ca="1">CORREL(_xlfn.XLOOKUP(R$2,TRANSPOSE(Stock.List),table.delta),_xlfn.XLOOKUP($K7,TRANSPOSE(Stock.List),table.delta))</f>
        <v>8.9658687216520788E-2</v>
      </c>
      <c r="S7" s="19" cm="1">
        <f t="array" aca="1" ref="S7" ca="1">CORREL(_xlfn.XLOOKUP(S$2,TRANSPOSE(Stock.List),table.delta),_xlfn.XLOOKUP($K7,TRANSPOSE(Stock.List),table.delta))</f>
        <v>-1.451826341953312E-2</v>
      </c>
      <c r="T7" s="19" cm="1">
        <f t="array" aca="1" ref="T7" ca="1">CORREL(_xlfn.XLOOKUP(T$2,TRANSPOSE(Stock.List),table.delta),_xlfn.XLOOKUP($K7,TRANSPOSE(Stock.List),table.delta))</f>
        <v>-6.9033467886966803E-3</v>
      </c>
      <c r="U7" s="19" cm="1">
        <f t="array" aca="1" ref="U7" ca="1">CORREL(_xlfn.XLOOKUP(U$2,TRANSPOSE(Stock.List),table.delta),_xlfn.XLOOKUP($K7,TRANSPOSE(Stock.List),table.delta))</f>
        <v>-0.10150977640133894</v>
      </c>
      <c r="V7" s="19" cm="1">
        <f t="array" aca="1" ref="V7" ca="1">CORREL(_xlfn.XLOOKUP(V$2,TRANSPOSE(Stock.List),table.delta),_xlfn.XLOOKUP($K7,TRANSPOSE(Stock.List),table.delta))</f>
        <v>0.1196108185019065</v>
      </c>
      <c r="W7" s="19" cm="1">
        <f t="array" aca="1" ref="W7" ca="1">CORREL(_xlfn.XLOOKUP(W$2,TRANSPOSE(Stock.List),table.delta),_xlfn.XLOOKUP($K7,TRANSPOSE(Stock.List),table.delta))</f>
        <v>0.30738790469852328</v>
      </c>
      <c r="X7" s="19" cm="1">
        <f t="array" aca="1" ref="X7" ca="1">CORREL(_xlfn.XLOOKUP(X$2,TRANSPOSE(Stock.List),table.delta),_xlfn.XLOOKUP($K7,TRANSPOSE(Stock.List),table.delta))</f>
        <v>-0.27622406784454789</v>
      </c>
      <c r="Y7" s="19" cm="1">
        <f t="array" aca="1" ref="Y7" ca="1">CORREL(_xlfn.XLOOKUP(Y$2,TRANSPOSE(Stock.List),table.delta),_xlfn.XLOOKUP($K7,TRANSPOSE(Stock.List),table.delta))</f>
        <v>-1.1713114759102077E-2</v>
      </c>
      <c r="Z7" s="20" cm="1">
        <f t="array" aca="1" ref="Z7" ca="1">CORREL(_xlfn.XLOOKUP(Z$2,TRANSPOSE(Stock.List),table.delta),_xlfn.XLOOKUP($K7,TRANSPOSE(Stock.List),table.delta))</f>
        <v>-0.19172482425062465</v>
      </c>
    </row>
    <row r="8" spans="1:26" x14ac:dyDescent="0.25">
      <c r="C8" t="str">
        <f ca="1"/>
        <v>JPM</v>
      </c>
      <c r="F8" t="str">
        <f ca="1"/>
        <v>JPMORGAN CHASE &amp; CO.</v>
      </c>
      <c r="G8" s="9">
        <v>0.02</v>
      </c>
      <c r="H8" s="6">
        <f ca="1"/>
        <v>0.46659620822502035</v>
      </c>
      <c r="I8" s="6">
        <f ca="1"/>
        <v>0.24421680832488743</v>
      </c>
      <c r="K8" s="13" t="str">
        <f ca="1"/>
        <v>JPM</v>
      </c>
      <c r="L8" s="18" cm="1">
        <f t="array" aca="1" ref="L8" ca="1">CORREL(_xlfn.XLOOKUP(L$2,TRANSPOSE(Stock.List),table.delta),_xlfn.XLOOKUP($K8,TRANSPOSE(Stock.List),table.delta))</f>
        <v>0.24364420000094444</v>
      </c>
      <c r="M8" s="19" cm="1">
        <f t="array" aca="1" ref="M8" ca="1">CORREL(_xlfn.XLOOKUP(M$2,TRANSPOSE(Stock.List),table.delta),_xlfn.XLOOKUP($K8,TRANSPOSE(Stock.List),table.delta))</f>
        <v>0.2575457278201011</v>
      </c>
      <c r="N8" s="19" cm="1">
        <f t="array" aca="1" ref="N8" ca="1">CORREL(_xlfn.XLOOKUP(N$2,TRANSPOSE(Stock.List),table.delta),_xlfn.XLOOKUP($K8,TRANSPOSE(Stock.List),table.delta))</f>
        <v>0.14815750708257722</v>
      </c>
      <c r="O8" s="19" cm="1">
        <f t="array" aca="1" ref="O8" ca="1">CORREL(_xlfn.XLOOKUP(O$2,TRANSPOSE(Stock.List),table.delta),_xlfn.XLOOKUP($K8,TRANSPOSE(Stock.List),table.delta))</f>
        <v>0.18811129464728807</v>
      </c>
      <c r="P8" s="19" cm="1">
        <f t="array" aca="1" ref="P8" ca="1">CORREL(_xlfn.XLOOKUP(P$2,TRANSPOSE(Stock.List),table.delta),_xlfn.XLOOKUP($K8,TRANSPOSE(Stock.List),table.delta))</f>
        <v>-5.6507544977591605E-2</v>
      </c>
      <c r="Q8" s="19" cm="1">
        <f t="array" aca="1" ref="Q8" ca="1">CORREL(_xlfn.XLOOKUP(Q$2,TRANSPOSE(Stock.List),table.delta),_xlfn.XLOOKUP($K8,TRANSPOSE(Stock.List),table.delta))</f>
        <v>1</v>
      </c>
      <c r="R8" s="19" cm="1">
        <f t="array" aca="1" ref="R8" ca="1">CORREL(_xlfn.XLOOKUP(R$2,TRANSPOSE(Stock.List),table.delta),_xlfn.XLOOKUP($K8,TRANSPOSE(Stock.List),table.delta))</f>
        <v>0.11762511070404877</v>
      </c>
      <c r="S8" s="19" cm="1">
        <f t="array" aca="1" ref="S8" ca="1">CORREL(_xlfn.XLOOKUP(S$2,TRANSPOSE(Stock.List),table.delta),_xlfn.XLOOKUP($K8,TRANSPOSE(Stock.List),table.delta))</f>
        <v>0.26007848096831931</v>
      </c>
      <c r="T8" s="19" cm="1">
        <f t="array" aca="1" ref="T8" ca="1">CORREL(_xlfn.XLOOKUP(T$2,TRANSPOSE(Stock.List),table.delta),_xlfn.XLOOKUP($K8,TRANSPOSE(Stock.List),table.delta))</f>
        <v>0.14885741682552678</v>
      </c>
      <c r="U8" s="19" cm="1">
        <f t="array" aca="1" ref="U8" ca="1">CORREL(_xlfn.XLOOKUP(U$2,TRANSPOSE(Stock.List),table.delta),_xlfn.XLOOKUP($K8,TRANSPOSE(Stock.List),table.delta))</f>
        <v>0.16794977186063917</v>
      </c>
      <c r="V8" s="19" cm="1">
        <f t="array" aca="1" ref="V8" ca="1">CORREL(_xlfn.XLOOKUP(V$2,TRANSPOSE(Stock.List),table.delta),_xlfn.XLOOKUP($K8,TRANSPOSE(Stock.List),table.delta))</f>
        <v>0.11275942436320184</v>
      </c>
      <c r="W8" s="19" cm="1">
        <f t="array" aca="1" ref="W8" ca="1">CORREL(_xlfn.XLOOKUP(W$2,TRANSPOSE(Stock.List),table.delta),_xlfn.XLOOKUP($K8,TRANSPOSE(Stock.List),table.delta))</f>
        <v>0.30823849523661839</v>
      </c>
      <c r="X8" s="19" cm="1">
        <f t="array" aca="1" ref="X8" ca="1">CORREL(_xlfn.XLOOKUP(X$2,TRANSPOSE(Stock.List),table.delta),_xlfn.XLOOKUP($K8,TRANSPOSE(Stock.List),table.delta))</f>
        <v>8.8781904801821784E-2</v>
      </c>
      <c r="Y8" s="19" cm="1">
        <f t="array" aca="1" ref="Y8" ca="1">CORREL(_xlfn.XLOOKUP(Y$2,TRANSPOSE(Stock.List),table.delta),_xlfn.XLOOKUP($K8,TRANSPOSE(Stock.List),table.delta))</f>
        <v>0.35710936030425</v>
      </c>
      <c r="Z8" s="20" cm="1">
        <f t="array" aca="1" ref="Z8" ca="1">CORREL(_xlfn.XLOOKUP(Z$2,TRANSPOSE(Stock.List),table.delta),_xlfn.XLOOKUP($K8,TRANSPOSE(Stock.List),table.delta))</f>
        <v>8.8166853874762502E-2</v>
      </c>
    </row>
    <row r="9" spans="1:26" x14ac:dyDescent="0.25">
      <c r="C9" t="str">
        <f ca="1"/>
        <v>UNH</v>
      </c>
      <c r="F9" t="str">
        <f ca="1"/>
        <v>UNITEDHEALTH GROUP INCORPORATED</v>
      </c>
      <c r="G9" s="9">
        <v>0.02</v>
      </c>
      <c r="H9" s="6">
        <f ca="1"/>
        <v>-3.1792441941888905E-2</v>
      </c>
      <c r="I9" s="6">
        <f ca="1"/>
        <v>0.29399804857384282</v>
      </c>
      <c r="K9" s="13" t="str">
        <f ca="1"/>
        <v>UNH</v>
      </c>
      <c r="L9" s="18" cm="1">
        <f t="array" aca="1" ref="L9" ca="1">CORREL(_xlfn.XLOOKUP(L$2,TRANSPOSE(Stock.List),table.delta),_xlfn.XLOOKUP($K9,TRANSPOSE(Stock.List),table.delta))</f>
        <v>4.9602976762801046E-3</v>
      </c>
      <c r="M9" s="19" cm="1">
        <f t="array" aca="1" ref="M9" ca="1">CORREL(_xlfn.XLOOKUP(M$2,TRANSPOSE(Stock.List),table.delta),_xlfn.XLOOKUP($K9,TRANSPOSE(Stock.List),table.delta))</f>
        <v>-5.4846533715918612E-2</v>
      </c>
      <c r="N9" s="19" cm="1">
        <f t="array" aca="1" ref="N9" ca="1">CORREL(_xlfn.XLOOKUP(N$2,TRANSPOSE(Stock.List),table.delta),_xlfn.XLOOKUP($K9,TRANSPOSE(Stock.List),table.delta))</f>
        <v>-8.3245158269562275E-2</v>
      </c>
      <c r="O9" s="19" cm="1">
        <f t="array" aca="1" ref="O9" ca="1">CORREL(_xlfn.XLOOKUP(O$2,TRANSPOSE(Stock.List),table.delta),_xlfn.XLOOKUP($K9,TRANSPOSE(Stock.List),table.delta))</f>
        <v>0.16540481032777843</v>
      </c>
      <c r="P9" s="19" cm="1">
        <f t="array" aca="1" ref="P9" ca="1">CORREL(_xlfn.XLOOKUP(P$2,TRANSPOSE(Stock.List),table.delta),_xlfn.XLOOKUP($K9,TRANSPOSE(Stock.List),table.delta))</f>
        <v>8.9658687216520788E-2</v>
      </c>
      <c r="Q9" s="19" cm="1">
        <f t="array" aca="1" ref="Q9" ca="1">CORREL(_xlfn.XLOOKUP(Q$2,TRANSPOSE(Stock.List),table.delta),_xlfn.XLOOKUP($K9,TRANSPOSE(Stock.List),table.delta))</f>
        <v>0.11762511070404877</v>
      </c>
      <c r="R9" s="19" cm="1">
        <f t="array" aca="1" ref="R9" ca="1">CORREL(_xlfn.XLOOKUP(R$2,TRANSPOSE(Stock.List),table.delta),_xlfn.XLOOKUP($K9,TRANSPOSE(Stock.List),table.delta))</f>
        <v>1</v>
      </c>
      <c r="S9" s="19" cm="1">
        <f t="array" aca="1" ref="S9" ca="1">CORREL(_xlfn.XLOOKUP(S$2,TRANSPOSE(Stock.List),table.delta),_xlfn.XLOOKUP($K9,TRANSPOSE(Stock.List),table.delta))</f>
        <v>0.14724771712129445</v>
      </c>
      <c r="T9" s="19" cm="1">
        <f t="array" aca="1" ref="T9" ca="1">CORREL(_xlfn.XLOOKUP(T$2,TRANSPOSE(Stock.List),table.delta),_xlfn.XLOOKUP($K9,TRANSPOSE(Stock.List),table.delta))</f>
        <v>0.1087254195236439</v>
      </c>
      <c r="U9" s="19" cm="1">
        <f t="array" aca="1" ref="U9" ca="1">CORREL(_xlfn.XLOOKUP(U$2,TRANSPOSE(Stock.List),table.delta),_xlfn.XLOOKUP($K9,TRANSPOSE(Stock.List),table.delta))</f>
        <v>-3.5575735713854272E-2</v>
      </c>
      <c r="V9" s="19" cm="1">
        <f t="array" aca="1" ref="V9" ca="1">CORREL(_xlfn.XLOOKUP(V$2,TRANSPOSE(Stock.List),table.delta),_xlfn.XLOOKUP($K9,TRANSPOSE(Stock.List),table.delta))</f>
        <v>8.1640439120389485E-2</v>
      </c>
      <c r="W9" s="19" cm="1">
        <f t="array" aca="1" ref="W9" ca="1">CORREL(_xlfn.XLOOKUP(W$2,TRANSPOSE(Stock.List),table.delta),_xlfn.XLOOKUP($K9,TRANSPOSE(Stock.List),table.delta))</f>
        <v>0.19200438584394608</v>
      </c>
      <c r="X9" s="19" cm="1">
        <f t="array" aca="1" ref="X9" ca="1">CORREL(_xlfn.XLOOKUP(X$2,TRANSPOSE(Stock.List),table.delta),_xlfn.XLOOKUP($K9,TRANSPOSE(Stock.List),table.delta))</f>
        <v>-5.6879421330508634E-2</v>
      </c>
      <c r="Y9" s="19" cm="1">
        <f t="array" aca="1" ref="Y9" ca="1">CORREL(_xlfn.XLOOKUP(Y$2,TRANSPOSE(Stock.List),table.delta),_xlfn.XLOOKUP($K9,TRANSPOSE(Stock.List),table.delta))</f>
        <v>0.21181818381019971</v>
      </c>
      <c r="Z9" s="20" cm="1">
        <f t="array" aca="1" ref="Z9" ca="1">CORREL(_xlfn.XLOOKUP(Z$2,TRANSPOSE(Stock.List),table.delta),_xlfn.XLOOKUP($K9,TRANSPOSE(Stock.List),table.delta))</f>
        <v>-6.4904088447575281E-2</v>
      </c>
    </row>
    <row r="10" spans="1:26" x14ac:dyDescent="0.25">
      <c r="C10" t="str">
        <f ca="1"/>
        <v>XOM</v>
      </c>
      <c r="F10" t="str">
        <f ca="1"/>
        <v>EXXON MOBIL CORPORATION</v>
      </c>
      <c r="G10" s="9">
        <v>0.02</v>
      </c>
      <c r="H10" s="6">
        <f ca="1"/>
        <v>0.10296004748831922</v>
      </c>
      <c r="I10" s="6">
        <f ca="1"/>
        <v>0.19600961282692878</v>
      </c>
      <c r="K10" s="13" t="str">
        <f ca="1"/>
        <v>XOM</v>
      </c>
      <c r="L10" s="18" cm="1">
        <f t="array" aca="1" ref="L10" ca="1">CORREL(_xlfn.XLOOKUP(L$2,TRANSPOSE(Stock.List),table.delta),_xlfn.XLOOKUP($K10,TRANSPOSE(Stock.List),table.delta))</f>
        <v>6.8036762385490055E-4</v>
      </c>
      <c r="M10" s="19" cm="1">
        <f t="array" aca="1" ref="M10" ca="1">CORREL(_xlfn.XLOOKUP(M$2,TRANSPOSE(Stock.List),table.delta),_xlfn.XLOOKUP($K10,TRANSPOSE(Stock.List),table.delta))</f>
        <v>-6.4823484209936014E-2</v>
      </c>
      <c r="N10" s="19" cm="1">
        <f t="array" aca="1" ref="N10" ca="1">CORREL(_xlfn.XLOOKUP(N$2,TRANSPOSE(Stock.List),table.delta),_xlfn.XLOOKUP($K10,TRANSPOSE(Stock.List),table.delta))</f>
        <v>-0.11571293214432649</v>
      </c>
      <c r="O10" s="19" cm="1">
        <f t="array" aca="1" ref="O10" ca="1">CORREL(_xlfn.XLOOKUP(O$2,TRANSPOSE(Stock.List),table.delta),_xlfn.XLOOKUP($K10,TRANSPOSE(Stock.List),table.delta))</f>
        <v>9.0308779862622021E-2</v>
      </c>
      <c r="P10" s="19" cm="1">
        <f t="array" aca="1" ref="P10" ca="1">CORREL(_xlfn.XLOOKUP(P$2,TRANSPOSE(Stock.List),table.delta),_xlfn.XLOOKUP($K10,TRANSPOSE(Stock.List),table.delta))</f>
        <v>-1.451826341953312E-2</v>
      </c>
      <c r="Q10" s="19" cm="1">
        <f t="array" aca="1" ref="Q10" ca="1">CORREL(_xlfn.XLOOKUP(Q$2,TRANSPOSE(Stock.List),table.delta),_xlfn.XLOOKUP($K10,TRANSPOSE(Stock.List),table.delta))</f>
        <v>0.26007848096831931</v>
      </c>
      <c r="R10" s="19" cm="1">
        <f t="array" aca="1" ref="R10" ca="1">CORREL(_xlfn.XLOOKUP(R$2,TRANSPOSE(Stock.List),table.delta),_xlfn.XLOOKUP($K10,TRANSPOSE(Stock.List),table.delta))</f>
        <v>0.14724771712129445</v>
      </c>
      <c r="S10" s="19" cm="1">
        <f t="array" aca="1" ref="S10" ca="1">CORREL(_xlfn.XLOOKUP(S$2,TRANSPOSE(Stock.List),table.delta),_xlfn.XLOOKUP($K10,TRANSPOSE(Stock.List),table.delta))</f>
        <v>1</v>
      </c>
      <c r="T10" s="19" cm="1">
        <f t="array" aca="1" ref="T10" ca="1">CORREL(_xlfn.XLOOKUP(T$2,TRANSPOSE(Stock.List),table.delta),_xlfn.XLOOKUP($K10,TRANSPOSE(Stock.List),table.delta))</f>
        <v>6.6685035374014073E-2</v>
      </c>
      <c r="U10" s="19" cm="1">
        <f t="array" aca="1" ref="U10" ca="1">CORREL(_xlfn.XLOOKUP(U$2,TRANSPOSE(Stock.List),table.delta),_xlfn.XLOOKUP($K10,TRANSPOSE(Stock.List),table.delta))</f>
        <v>2.1013613085096466E-3</v>
      </c>
      <c r="V10" s="19" cm="1">
        <f t="array" aca="1" ref="V10" ca="1">CORREL(_xlfn.XLOOKUP(V$2,TRANSPOSE(Stock.List),table.delta),_xlfn.XLOOKUP($K10,TRANSPOSE(Stock.List),table.delta))</f>
        <v>0.1353587394501663</v>
      </c>
      <c r="W10" s="19" cm="1">
        <f t="array" aca="1" ref="W10" ca="1">CORREL(_xlfn.XLOOKUP(W$2,TRANSPOSE(Stock.List),table.delta),_xlfn.XLOOKUP($K10,TRANSPOSE(Stock.List),table.delta))</f>
        <v>0.20548291731969814</v>
      </c>
      <c r="X10" s="19" cm="1">
        <f t="array" aca="1" ref="X10" ca="1">CORREL(_xlfn.XLOOKUP(X$2,TRANSPOSE(Stock.List),table.delta),_xlfn.XLOOKUP($K10,TRANSPOSE(Stock.List),table.delta))</f>
        <v>-8.2134686455950276E-2</v>
      </c>
      <c r="Y10" s="19" cm="1">
        <f t="array" aca="1" ref="Y10" ca="1">CORREL(_xlfn.XLOOKUP(Y$2,TRANSPOSE(Stock.List),table.delta),_xlfn.XLOOKUP($K10,TRANSPOSE(Stock.List),table.delta))</f>
        <v>0.16466195937616127</v>
      </c>
      <c r="Z10" s="20" cm="1">
        <f t="array" aca="1" ref="Z10" ca="1">CORREL(_xlfn.XLOOKUP(Z$2,TRANSPOSE(Stock.List),table.delta),_xlfn.XLOOKUP($K10,TRANSPOSE(Stock.List),table.delta))</f>
        <v>-0.10767486124510367</v>
      </c>
    </row>
    <row r="11" spans="1:26" x14ac:dyDescent="0.25">
      <c r="C11" t="str">
        <f ca="1"/>
        <v>SONY</v>
      </c>
      <c r="F11" t="str">
        <f ca="1"/>
        <v>Sony Group Corporation</v>
      </c>
      <c r="G11" s="9">
        <v>0.02</v>
      </c>
      <c r="H11" s="6">
        <f ca="1"/>
        <v>0.42512224373282481</v>
      </c>
      <c r="I11" s="6">
        <f ca="1"/>
        <v>0.28311578610012167</v>
      </c>
      <c r="K11" s="13" t="str">
        <f ca="1"/>
        <v>SONY</v>
      </c>
      <c r="L11" s="18" cm="1">
        <f t="array" aca="1" ref="L11" ca="1">CORREL(_xlfn.XLOOKUP(L$2,TRANSPOSE(Stock.List),table.delta),_xlfn.XLOOKUP($K11,TRANSPOSE(Stock.List),table.delta))</f>
        <v>0.2563669501881965</v>
      </c>
      <c r="M11" s="19" cm="1">
        <f t="array" aca="1" ref="M11" ca="1">CORREL(_xlfn.XLOOKUP(M$2,TRANSPOSE(Stock.List),table.delta),_xlfn.XLOOKUP($K11,TRANSPOSE(Stock.List),table.delta))</f>
        <v>0.26435845906070998</v>
      </c>
      <c r="N11" s="19" cm="1">
        <f t="array" aca="1" ref="N11" ca="1">CORREL(_xlfn.XLOOKUP(N$2,TRANSPOSE(Stock.List),table.delta),_xlfn.XLOOKUP($K11,TRANSPOSE(Stock.List),table.delta))</f>
        <v>0.20920083942823217</v>
      </c>
      <c r="O11" s="19" cm="1">
        <f t="array" aca="1" ref="O11" ca="1">CORREL(_xlfn.XLOOKUP(O$2,TRANSPOSE(Stock.List),table.delta),_xlfn.XLOOKUP($K11,TRANSPOSE(Stock.List),table.delta))</f>
        <v>0.18579654683935559</v>
      </c>
      <c r="P11" s="19" cm="1">
        <f t="array" aca="1" ref="P11" ca="1">CORREL(_xlfn.XLOOKUP(P$2,TRANSPOSE(Stock.List),table.delta),_xlfn.XLOOKUP($K11,TRANSPOSE(Stock.List),table.delta))</f>
        <v>-6.9033467886966803E-3</v>
      </c>
      <c r="Q11" s="19" cm="1">
        <f t="array" aca="1" ref="Q11" ca="1">CORREL(_xlfn.XLOOKUP(Q$2,TRANSPOSE(Stock.List),table.delta),_xlfn.XLOOKUP($K11,TRANSPOSE(Stock.List),table.delta))</f>
        <v>0.14885741682552678</v>
      </c>
      <c r="R11" s="19" cm="1">
        <f t="array" aca="1" ref="R11" ca="1">CORREL(_xlfn.XLOOKUP(R$2,TRANSPOSE(Stock.List),table.delta),_xlfn.XLOOKUP($K11,TRANSPOSE(Stock.List),table.delta))</f>
        <v>0.1087254195236439</v>
      </c>
      <c r="S11" s="19" cm="1">
        <f t="array" aca="1" ref="S11" ca="1">CORREL(_xlfn.XLOOKUP(S$2,TRANSPOSE(Stock.List),table.delta),_xlfn.XLOOKUP($K11,TRANSPOSE(Stock.List),table.delta))</f>
        <v>6.6685035374014073E-2</v>
      </c>
      <c r="T11" s="19" cm="1">
        <f t="array" aca="1" ref="T11" ca="1">CORREL(_xlfn.XLOOKUP(T$2,TRANSPOSE(Stock.List),table.delta),_xlfn.XLOOKUP($K11,TRANSPOSE(Stock.List),table.delta))</f>
        <v>1</v>
      </c>
      <c r="U11" s="19" cm="1">
        <f t="array" aca="1" ref="U11" ca="1">CORREL(_xlfn.XLOOKUP(U$2,TRANSPOSE(Stock.List),table.delta),_xlfn.XLOOKUP($K11,TRANSPOSE(Stock.List),table.delta))</f>
        <v>0.17282162473383342</v>
      </c>
      <c r="V11" s="19" cm="1">
        <f t="array" aca="1" ref="V11" ca="1">CORREL(_xlfn.XLOOKUP(V$2,TRANSPOSE(Stock.List),table.delta),_xlfn.XLOOKUP($K11,TRANSPOSE(Stock.List),table.delta))</f>
        <v>0.11628123756608434</v>
      </c>
      <c r="W11" s="19" cm="1">
        <f t="array" aca="1" ref="W11" ca="1">CORREL(_xlfn.XLOOKUP(W$2,TRANSPOSE(Stock.List),table.delta),_xlfn.XLOOKUP($K11,TRANSPOSE(Stock.List),table.delta))</f>
        <v>2.8596401021521303E-2</v>
      </c>
      <c r="X11" s="19" cm="1">
        <f t="array" aca="1" ref="X11" ca="1">CORREL(_xlfn.XLOOKUP(X$2,TRANSPOSE(Stock.List),table.delta),_xlfn.XLOOKUP($K11,TRANSPOSE(Stock.List),table.delta))</f>
        <v>0.21124105989278413</v>
      </c>
      <c r="Y11" s="19" cm="1">
        <f t="array" aca="1" ref="Y11" ca="1">CORREL(_xlfn.XLOOKUP(Y$2,TRANSPOSE(Stock.List),table.delta),_xlfn.XLOOKUP($K11,TRANSPOSE(Stock.List),table.delta))</f>
        <v>0.18958402649113837</v>
      </c>
      <c r="Z11" s="20" cm="1">
        <f t="array" aca="1" ref="Z11" ca="1">CORREL(_xlfn.XLOOKUP(Z$2,TRANSPOSE(Stock.List),table.delta),_xlfn.XLOOKUP($K11,TRANSPOSE(Stock.List),table.delta))</f>
        <v>0.12817282255905599</v>
      </c>
    </row>
    <row r="12" spans="1:26" x14ac:dyDescent="0.25">
      <c r="C12" t="str">
        <f ca="1"/>
        <v>EADSY</v>
      </c>
      <c r="F12" t="str">
        <f ca="1"/>
        <v>Airbus SE</v>
      </c>
      <c r="G12" s="9">
        <v>2.0000000000000004E-2</v>
      </c>
      <c r="H12" s="6">
        <f ca="1"/>
        <v>5.2934698062967023E-2</v>
      </c>
      <c r="I12" s="6">
        <f ca="1"/>
        <v>0.2556329574652359</v>
      </c>
      <c r="K12" s="13" t="str">
        <f ca="1"/>
        <v>EADSY</v>
      </c>
      <c r="L12" s="18" cm="1">
        <f t="array" aca="1" ref="L12" ca="1">CORREL(_xlfn.XLOOKUP(L$2,TRANSPOSE(Stock.List),table.delta),_xlfn.XLOOKUP($K12,TRANSPOSE(Stock.List),table.delta))</f>
        <v>0.1131446775185892</v>
      </c>
      <c r="M12" s="19" cm="1">
        <f t="array" aca="1" ref="M12" ca="1">CORREL(_xlfn.XLOOKUP(M$2,TRANSPOSE(Stock.List),table.delta),_xlfn.XLOOKUP($K12,TRANSPOSE(Stock.List),table.delta))</f>
        <v>0.23603675844608307</v>
      </c>
      <c r="N12" s="19" cm="1">
        <f t="array" aca="1" ref="N12" ca="1">CORREL(_xlfn.XLOOKUP(N$2,TRANSPOSE(Stock.List),table.delta),_xlfn.XLOOKUP($K12,TRANSPOSE(Stock.List),table.delta))</f>
        <v>0.23610218527840462</v>
      </c>
      <c r="O12" s="19" cm="1">
        <f t="array" aca="1" ref="O12" ca="1">CORREL(_xlfn.XLOOKUP(O$2,TRANSPOSE(Stock.List),table.delta),_xlfn.XLOOKUP($K12,TRANSPOSE(Stock.List),table.delta))</f>
        <v>0.18122800431191341</v>
      </c>
      <c r="P12" s="19" cm="1">
        <f t="array" aca="1" ref="P12" ca="1">CORREL(_xlfn.XLOOKUP(P$2,TRANSPOSE(Stock.List),table.delta),_xlfn.XLOOKUP($K12,TRANSPOSE(Stock.List),table.delta))</f>
        <v>-0.10150977640133894</v>
      </c>
      <c r="Q12" s="19" cm="1">
        <f t="array" aca="1" ref="Q12" ca="1">CORREL(_xlfn.XLOOKUP(Q$2,TRANSPOSE(Stock.List),table.delta),_xlfn.XLOOKUP($K12,TRANSPOSE(Stock.List),table.delta))</f>
        <v>0.16794977186063917</v>
      </c>
      <c r="R12" s="19" cm="1">
        <f t="array" aca="1" ref="R12" ca="1">CORREL(_xlfn.XLOOKUP(R$2,TRANSPOSE(Stock.List),table.delta),_xlfn.XLOOKUP($K12,TRANSPOSE(Stock.List),table.delta))</f>
        <v>-3.5575735713854272E-2</v>
      </c>
      <c r="S12" s="19" cm="1">
        <f t="array" aca="1" ref="S12" ca="1">CORREL(_xlfn.XLOOKUP(S$2,TRANSPOSE(Stock.List),table.delta),_xlfn.XLOOKUP($K12,TRANSPOSE(Stock.List),table.delta))</f>
        <v>2.1013613085096466E-3</v>
      </c>
      <c r="T12" s="19" cm="1">
        <f t="array" aca="1" ref="T12" ca="1">CORREL(_xlfn.XLOOKUP(T$2,TRANSPOSE(Stock.List),table.delta),_xlfn.XLOOKUP($K12,TRANSPOSE(Stock.List),table.delta))</f>
        <v>0.17282162473383342</v>
      </c>
      <c r="U12" s="19" cm="1">
        <f t="array" aca="1" ref="U12" ca="1">CORREL(_xlfn.XLOOKUP(U$2,TRANSPOSE(Stock.List),table.delta),_xlfn.XLOOKUP($K12,TRANSPOSE(Stock.List),table.delta))</f>
        <v>0.99999999999999978</v>
      </c>
      <c r="V12" s="19" cm="1">
        <f t="array" aca="1" ref="V12" ca="1">CORREL(_xlfn.XLOOKUP(V$2,TRANSPOSE(Stock.List),table.delta),_xlfn.XLOOKUP($K12,TRANSPOSE(Stock.List),table.delta))</f>
        <v>0.11517484554409094</v>
      </c>
      <c r="W12" s="19" cm="1">
        <f t="array" aca="1" ref="W12" ca="1">CORREL(_xlfn.XLOOKUP(W$2,TRANSPOSE(Stock.List),table.delta),_xlfn.XLOOKUP($K12,TRANSPOSE(Stock.List),table.delta))</f>
        <v>9.6389142122227697E-2</v>
      </c>
      <c r="X12" s="19" cm="1">
        <f t="array" aca="1" ref="X12" ca="1">CORREL(_xlfn.XLOOKUP(X$2,TRANSPOSE(Stock.List),table.delta),_xlfn.XLOOKUP($K12,TRANSPOSE(Stock.List),table.delta))</f>
        <v>0.24385476297437186</v>
      </c>
      <c r="Y12" s="19" cm="1">
        <f t="array" aca="1" ref="Y12" ca="1">CORREL(_xlfn.XLOOKUP(Y$2,TRANSPOSE(Stock.List),table.delta),_xlfn.XLOOKUP($K12,TRANSPOSE(Stock.List),table.delta))</f>
        <v>0.17030121726108483</v>
      </c>
      <c r="Z12" s="20" cm="1">
        <f t="array" aca="1" ref="Z12" ca="1">CORREL(_xlfn.XLOOKUP(Z$2,TRANSPOSE(Stock.List),table.delta),_xlfn.XLOOKUP($K12,TRANSPOSE(Stock.List),table.delta))</f>
        <v>0.21848260940326636</v>
      </c>
    </row>
    <row r="13" spans="1:26" x14ac:dyDescent="0.25">
      <c r="C13" t="str">
        <f ca="1"/>
        <v>PFE</v>
      </c>
      <c r="F13" t="str">
        <f ca="1"/>
        <v>PFIZER INC.</v>
      </c>
      <c r="G13" s="9">
        <v>0.02</v>
      </c>
      <c r="H13" s="6">
        <f ca="1"/>
        <v>3.8398186822130587E-2</v>
      </c>
      <c r="I13" s="6">
        <f ca="1"/>
        <v>0.23265703681566308</v>
      </c>
      <c r="K13" s="13" t="str">
        <f ca="1"/>
        <v>PFE</v>
      </c>
      <c r="L13" s="18" cm="1">
        <f t="array" aca="1" ref="L13" ca="1">CORREL(_xlfn.XLOOKUP(L$2,TRANSPOSE(Stock.List),table.delta),_xlfn.XLOOKUP($K13,TRANSPOSE(Stock.List),table.delta))</f>
        <v>-8.2087663467057662E-2</v>
      </c>
      <c r="M13" s="19" cm="1">
        <f t="array" aca="1" ref="M13" ca="1">CORREL(_xlfn.XLOOKUP(M$2,TRANSPOSE(Stock.List),table.delta),_xlfn.XLOOKUP($K13,TRANSPOSE(Stock.List),table.delta))</f>
        <v>-4.6596776525762503E-4</v>
      </c>
      <c r="N13" s="19" cm="1">
        <f t="array" aca="1" ref="N13" ca="1">CORREL(_xlfn.XLOOKUP(N$2,TRANSPOSE(Stock.List),table.delta),_xlfn.XLOOKUP($K13,TRANSPOSE(Stock.List),table.delta))</f>
        <v>2.8753478204694184E-2</v>
      </c>
      <c r="O13" s="19" cm="1">
        <f t="array" aca="1" ref="O13" ca="1">CORREL(_xlfn.XLOOKUP(O$2,TRANSPOSE(Stock.List),table.delta),_xlfn.XLOOKUP($K13,TRANSPOSE(Stock.List),table.delta))</f>
        <v>0.2059477965097338</v>
      </c>
      <c r="P13" s="19" cm="1">
        <f t="array" aca="1" ref="P13" ca="1">CORREL(_xlfn.XLOOKUP(P$2,TRANSPOSE(Stock.List),table.delta),_xlfn.XLOOKUP($K13,TRANSPOSE(Stock.List),table.delta))</f>
        <v>0.1196108185019065</v>
      </c>
      <c r="Q13" s="19" cm="1">
        <f t="array" aca="1" ref="Q13" ca="1">CORREL(_xlfn.XLOOKUP(Q$2,TRANSPOSE(Stock.List),table.delta),_xlfn.XLOOKUP($K13,TRANSPOSE(Stock.List),table.delta))</f>
        <v>0.11275942436320184</v>
      </c>
      <c r="R13" s="19" cm="1">
        <f t="array" aca="1" ref="R13" ca="1">CORREL(_xlfn.XLOOKUP(R$2,TRANSPOSE(Stock.List),table.delta),_xlfn.XLOOKUP($K13,TRANSPOSE(Stock.List),table.delta))</f>
        <v>8.1640439120389485E-2</v>
      </c>
      <c r="S13" s="19" cm="1">
        <f t="array" aca="1" ref="S13" ca="1">CORREL(_xlfn.XLOOKUP(S$2,TRANSPOSE(Stock.List),table.delta),_xlfn.XLOOKUP($K13,TRANSPOSE(Stock.List),table.delta))</f>
        <v>0.1353587394501663</v>
      </c>
      <c r="T13" s="19" cm="1">
        <f t="array" aca="1" ref="T13" ca="1">CORREL(_xlfn.XLOOKUP(T$2,TRANSPOSE(Stock.List),table.delta),_xlfn.XLOOKUP($K13,TRANSPOSE(Stock.List),table.delta))</f>
        <v>0.11628123756608434</v>
      </c>
      <c r="U13" s="19" cm="1">
        <f t="array" aca="1" ref="U13" ca="1">CORREL(_xlfn.XLOOKUP(U$2,TRANSPOSE(Stock.List),table.delta),_xlfn.XLOOKUP($K13,TRANSPOSE(Stock.List),table.delta))</f>
        <v>0.11517484554409094</v>
      </c>
      <c r="V13" s="19" cm="1">
        <f t="array" aca="1" ref="V13" ca="1">CORREL(_xlfn.XLOOKUP(V$2,TRANSPOSE(Stock.List),table.delta),_xlfn.XLOOKUP($K13,TRANSPOSE(Stock.List),table.delta))</f>
        <v>1</v>
      </c>
      <c r="W13" s="19" cm="1">
        <f t="array" aca="1" ref="W13" ca="1">CORREL(_xlfn.XLOOKUP(W$2,TRANSPOSE(Stock.List),table.delta),_xlfn.XLOOKUP($K13,TRANSPOSE(Stock.List),table.delta))</f>
        <v>0.13720453202901209</v>
      </c>
      <c r="X13" s="19" cm="1">
        <f t="array" aca="1" ref="X13" ca="1">CORREL(_xlfn.XLOOKUP(X$2,TRANSPOSE(Stock.List),table.delta),_xlfn.XLOOKUP($K13,TRANSPOSE(Stock.List),table.delta))</f>
        <v>-0.18394630179200508</v>
      </c>
      <c r="Y13" s="19" cm="1">
        <f t="array" aca="1" ref="Y13" ca="1">CORREL(_xlfn.XLOOKUP(Y$2,TRANSPOSE(Stock.List),table.delta),_xlfn.XLOOKUP($K13,TRANSPOSE(Stock.List),table.delta))</f>
        <v>0.20196459139033809</v>
      </c>
      <c r="Z13" s="20" cm="1">
        <f t="array" aca="1" ref="Z13" ca="1">CORREL(_xlfn.XLOOKUP(Z$2,TRANSPOSE(Stock.List),table.delta),_xlfn.XLOOKUP($K13,TRANSPOSE(Stock.List),table.delta))</f>
        <v>-0.13152248690361376</v>
      </c>
    </row>
    <row r="14" spans="1:26" x14ac:dyDescent="0.25">
      <c r="C14" t="str">
        <f ca="1"/>
        <v>ALL</v>
      </c>
      <c r="F14" t="str">
        <f ca="1"/>
        <v>THE ALLSTATE CORPORATION</v>
      </c>
      <c r="G14" s="9">
        <v>0.02</v>
      </c>
      <c r="H14" s="6">
        <f ca="1"/>
        <v>0.26522506995371309</v>
      </c>
      <c r="I14" s="6">
        <f ca="1"/>
        <v>0.22867597068019099</v>
      </c>
      <c r="K14" s="13" t="str">
        <f ca="1"/>
        <v>ALL</v>
      </c>
      <c r="L14" s="18" cm="1">
        <f t="array" aca="1" ref="L14" ca="1">CORREL(_xlfn.XLOOKUP(L$2,TRANSPOSE(Stock.List),table.delta),_xlfn.XLOOKUP($K14,TRANSPOSE(Stock.List),table.delta))</f>
        <v>-2.0981192549314825E-2</v>
      </c>
      <c r="M14" s="19" cm="1">
        <f t="array" aca="1" ref="M14" ca="1">CORREL(_xlfn.XLOOKUP(M$2,TRANSPOSE(Stock.List),table.delta),_xlfn.XLOOKUP($K14,TRANSPOSE(Stock.List),table.delta))</f>
        <v>-5.4312573196446431E-2</v>
      </c>
      <c r="N14" s="19" cm="1">
        <f t="array" aca="1" ref="N14" ca="1">CORREL(_xlfn.XLOOKUP(N$2,TRANSPOSE(Stock.List),table.delta),_xlfn.XLOOKUP($K14,TRANSPOSE(Stock.List),table.delta))</f>
        <v>-2.87052204745947E-2</v>
      </c>
      <c r="O14" s="19" cm="1">
        <f t="array" aca="1" ref="O14" ca="1">CORREL(_xlfn.XLOOKUP(O$2,TRANSPOSE(Stock.List),table.delta),_xlfn.XLOOKUP($K14,TRANSPOSE(Stock.List),table.delta))</f>
        <v>0.20167177495354244</v>
      </c>
      <c r="P14" s="19" cm="1">
        <f t="array" aca="1" ref="P14" ca="1">CORREL(_xlfn.XLOOKUP(P$2,TRANSPOSE(Stock.List),table.delta),_xlfn.XLOOKUP($K14,TRANSPOSE(Stock.List),table.delta))</f>
        <v>0.30738790469852328</v>
      </c>
      <c r="Q14" s="19" cm="1">
        <f t="array" aca="1" ref="Q14" ca="1">CORREL(_xlfn.XLOOKUP(Q$2,TRANSPOSE(Stock.List),table.delta),_xlfn.XLOOKUP($K14,TRANSPOSE(Stock.List),table.delta))</f>
        <v>0.30823849523661839</v>
      </c>
      <c r="R14" s="19" cm="1">
        <f t="array" aca="1" ref="R14" ca="1">CORREL(_xlfn.XLOOKUP(R$2,TRANSPOSE(Stock.List),table.delta),_xlfn.XLOOKUP($K14,TRANSPOSE(Stock.List),table.delta))</f>
        <v>0.19200438584394608</v>
      </c>
      <c r="S14" s="19" cm="1">
        <f t="array" aca="1" ref="S14" ca="1">CORREL(_xlfn.XLOOKUP(S$2,TRANSPOSE(Stock.List),table.delta),_xlfn.XLOOKUP($K14,TRANSPOSE(Stock.List),table.delta))</f>
        <v>0.20548291731969814</v>
      </c>
      <c r="T14" s="19" cm="1">
        <f t="array" aca="1" ref="T14" ca="1">CORREL(_xlfn.XLOOKUP(T$2,TRANSPOSE(Stock.List),table.delta),_xlfn.XLOOKUP($K14,TRANSPOSE(Stock.List),table.delta))</f>
        <v>2.8596401021521303E-2</v>
      </c>
      <c r="U14" s="19" cm="1">
        <f t="array" aca="1" ref="U14" ca="1">CORREL(_xlfn.XLOOKUP(U$2,TRANSPOSE(Stock.List),table.delta),_xlfn.XLOOKUP($K14,TRANSPOSE(Stock.List),table.delta))</f>
        <v>9.6389142122227697E-2</v>
      </c>
      <c r="V14" s="19" cm="1">
        <f t="array" aca="1" ref="V14" ca="1">CORREL(_xlfn.XLOOKUP(V$2,TRANSPOSE(Stock.List),table.delta),_xlfn.XLOOKUP($K14,TRANSPOSE(Stock.List),table.delta))</f>
        <v>0.13720453202901209</v>
      </c>
      <c r="W14" s="19" cm="1">
        <f t="array" aca="1" ref="W14" ca="1">CORREL(_xlfn.XLOOKUP(W$2,TRANSPOSE(Stock.List),table.delta),_xlfn.XLOOKUP($K14,TRANSPOSE(Stock.List),table.delta))</f>
        <v>1</v>
      </c>
      <c r="X14" s="19" cm="1">
        <f t="array" aca="1" ref="X14" ca="1">CORREL(_xlfn.XLOOKUP(X$2,TRANSPOSE(Stock.List),table.delta),_xlfn.XLOOKUP($K14,TRANSPOSE(Stock.List),table.delta))</f>
        <v>-0.1741883089913609</v>
      </c>
      <c r="Y14" s="19" cm="1">
        <f t="array" aca="1" ref="Y14" ca="1">CORREL(_xlfn.XLOOKUP(Y$2,TRANSPOSE(Stock.List),table.delta),_xlfn.XLOOKUP($K14,TRANSPOSE(Stock.List),table.delta))</f>
        <v>7.2924956394863155E-2</v>
      </c>
      <c r="Z14" s="20" cm="1">
        <f t="array" aca="1" ref="Z14" ca="1">CORREL(_xlfn.XLOOKUP(Z$2,TRANSPOSE(Stock.List),table.delta),_xlfn.XLOOKUP($K14,TRANSPOSE(Stock.List),table.delta))</f>
        <v>-9.6380145510925608E-2</v>
      </c>
    </row>
    <row r="15" spans="1:26" x14ac:dyDescent="0.25">
      <c r="C15" t="str">
        <f ca="1"/>
        <v>NVDA</v>
      </c>
      <c r="F15" t="str">
        <f ca="1"/>
        <v>NVIDIA CORPORATION</v>
      </c>
      <c r="G15" s="9">
        <v>0.20000019028534172</v>
      </c>
      <c r="H15" s="6">
        <f ca="1"/>
        <v>0.60684615542088038</v>
      </c>
      <c r="I15" s="6">
        <f ca="1"/>
        <v>0.54933178065932031</v>
      </c>
      <c r="K15" s="13" t="str">
        <f ca="1"/>
        <v>NVDA</v>
      </c>
      <c r="L15" s="18" cm="1">
        <f t="array" aca="1" ref="L15" ca="1">CORREL(_xlfn.XLOOKUP(L$2,TRANSPOSE(Stock.List),table.delta),_xlfn.XLOOKUP($K15,TRANSPOSE(Stock.List),table.delta))</f>
        <v>0.24566864276633113</v>
      </c>
      <c r="M15" s="19" cm="1">
        <f t="array" aca="1" ref="M15" ca="1">CORREL(_xlfn.XLOOKUP(M$2,TRANSPOSE(Stock.List),table.delta),_xlfn.XLOOKUP($K15,TRANSPOSE(Stock.List),table.delta))</f>
        <v>0.39256869748659118</v>
      </c>
      <c r="N15" s="19" cm="1">
        <f t="array" aca="1" ref="N15" ca="1">CORREL(_xlfn.XLOOKUP(N$2,TRANSPOSE(Stock.List),table.delta),_xlfn.XLOOKUP($K15,TRANSPOSE(Stock.List),table.delta))</f>
        <v>0.45778454762034188</v>
      </c>
      <c r="O15" s="19" cm="1">
        <f t="array" aca="1" ref="O15" ca="1">CORREL(_xlfn.XLOOKUP(O$2,TRANSPOSE(Stock.List),table.delta),_xlfn.XLOOKUP($K15,TRANSPOSE(Stock.List),table.delta))</f>
        <v>0.10616306817369936</v>
      </c>
      <c r="P15" s="19" cm="1">
        <f t="array" aca="1" ref="P15" ca="1">CORREL(_xlfn.XLOOKUP(P$2,TRANSPOSE(Stock.List),table.delta),_xlfn.XLOOKUP($K15,TRANSPOSE(Stock.List),table.delta))</f>
        <v>-0.27622406784454789</v>
      </c>
      <c r="Q15" s="19" cm="1">
        <f t="array" aca="1" ref="Q15" ca="1">CORREL(_xlfn.XLOOKUP(Q$2,TRANSPOSE(Stock.List),table.delta),_xlfn.XLOOKUP($K15,TRANSPOSE(Stock.List),table.delta))</f>
        <v>8.8781904801821784E-2</v>
      </c>
      <c r="R15" s="19" cm="1">
        <f t="array" aca="1" ref="R15" ca="1">CORREL(_xlfn.XLOOKUP(R$2,TRANSPOSE(Stock.List),table.delta),_xlfn.XLOOKUP($K15,TRANSPOSE(Stock.List),table.delta))</f>
        <v>-5.6879421330508634E-2</v>
      </c>
      <c r="S15" s="19" cm="1">
        <f t="array" aca="1" ref="S15" ca="1">CORREL(_xlfn.XLOOKUP(S$2,TRANSPOSE(Stock.List),table.delta),_xlfn.XLOOKUP($K15,TRANSPOSE(Stock.List),table.delta))</f>
        <v>-8.2134686455950276E-2</v>
      </c>
      <c r="T15" s="19" cm="1">
        <f t="array" aca="1" ref="T15" ca="1">CORREL(_xlfn.XLOOKUP(T$2,TRANSPOSE(Stock.List),table.delta),_xlfn.XLOOKUP($K15,TRANSPOSE(Stock.List),table.delta))</f>
        <v>0.21124105989278413</v>
      </c>
      <c r="U15" s="19" cm="1">
        <f t="array" aca="1" ref="U15" ca="1">CORREL(_xlfn.XLOOKUP(U$2,TRANSPOSE(Stock.List),table.delta),_xlfn.XLOOKUP($K15,TRANSPOSE(Stock.List),table.delta))</f>
        <v>0.24385476297437186</v>
      </c>
      <c r="V15" s="19" cm="1">
        <f t="array" aca="1" ref="V15" ca="1">CORREL(_xlfn.XLOOKUP(V$2,TRANSPOSE(Stock.List),table.delta),_xlfn.XLOOKUP($K15,TRANSPOSE(Stock.List),table.delta))</f>
        <v>-0.18394630179200508</v>
      </c>
      <c r="W15" s="19" cm="1">
        <f t="array" aca="1" ref="W15" ca="1">CORREL(_xlfn.XLOOKUP(W$2,TRANSPOSE(Stock.List),table.delta),_xlfn.XLOOKUP($K15,TRANSPOSE(Stock.List),table.delta))</f>
        <v>-0.1741883089913609</v>
      </c>
      <c r="X15" s="19" cm="1">
        <f t="array" aca="1" ref="X15" ca="1">CORREL(_xlfn.XLOOKUP(X$2,TRANSPOSE(Stock.List),table.delta),_xlfn.XLOOKUP($K15,TRANSPOSE(Stock.List),table.delta))</f>
        <v>1</v>
      </c>
      <c r="Y15" s="19" cm="1">
        <f t="array" aca="1" ref="Y15" ca="1">CORREL(_xlfn.XLOOKUP(Y$2,TRANSPOSE(Stock.List),table.delta),_xlfn.XLOOKUP($K15,TRANSPOSE(Stock.List),table.delta))</f>
        <v>0.23124613900626803</v>
      </c>
      <c r="Z15" s="20" cm="1">
        <f t="array" aca="1" ref="Z15" ca="1">CORREL(_xlfn.XLOOKUP(Z$2,TRANSPOSE(Stock.List),table.delta),_xlfn.XLOOKUP($K15,TRANSPOSE(Stock.List),table.delta))</f>
        <v>0.59807047323621521</v>
      </c>
    </row>
    <row r="16" spans="1:26" x14ac:dyDescent="0.25">
      <c r="C16" t="str">
        <f ca="1"/>
        <v>CSCO</v>
      </c>
      <c r="F16" t="str">
        <f ca="1"/>
        <v>CISCO SYSTEMS, INC.</v>
      </c>
      <c r="G16" s="9">
        <v>0.02</v>
      </c>
      <c r="H16" s="6">
        <f ca="1"/>
        <v>0.37483012999642451</v>
      </c>
      <c r="I16" s="6">
        <f ca="1"/>
        <v>0.18533296970824426</v>
      </c>
      <c r="K16" s="13" t="str">
        <f ca="1"/>
        <v>CSCO</v>
      </c>
      <c r="L16" s="18" cm="1">
        <f t="array" aca="1" ref="L16" ca="1">CORREL(_xlfn.XLOOKUP(L$2,TRANSPOSE(Stock.List),table.delta),_xlfn.XLOOKUP($K16,TRANSPOSE(Stock.List),table.delta))</f>
        <v>0.16503701395639664</v>
      </c>
      <c r="M16" s="19" cm="1">
        <f t="array" aca="1" ref="M16" ca="1">CORREL(_xlfn.XLOOKUP(M$2,TRANSPOSE(Stock.List),table.delta),_xlfn.XLOOKUP($K16,TRANSPOSE(Stock.List),table.delta))</f>
        <v>0.31468141369747338</v>
      </c>
      <c r="N16" s="19" cm="1">
        <f t="array" aca="1" ref="N16" ca="1">CORREL(_xlfn.XLOOKUP(N$2,TRANSPOSE(Stock.List),table.delta),_xlfn.XLOOKUP($K16,TRANSPOSE(Stock.List),table.delta))</f>
        <v>0.24757631767897276</v>
      </c>
      <c r="O16" s="19" cm="1">
        <f t="array" aca="1" ref="O16" ca="1">CORREL(_xlfn.XLOOKUP(O$2,TRANSPOSE(Stock.List),table.delta),_xlfn.XLOOKUP($K16,TRANSPOSE(Stock.List),table.delta))</f>
        <v>0.25055739791210341</v>
      </c>
      <c r="P16" s="19" cm="1">
        <f t="array" aca="1" ref="P16" ca="1">CORREL(_xlfn.XLOOKUP(P$2,TRANSPOSE(Stock.List),table.delta),_xlfn.XLOOKUP($K16,TRANSPOSE(Stock.List),table.delta))</f>
        <v>-1.1713114759102077E-2</v>
      </c>
      <c r="Q16" s="19" cm="1">
        <f t="array" aca="1" ref="Q16" ca="1">CORREL(_xlfn.XLOOKUP(Q$2,TRANSPOSE(Stock.List),table.delta),_xlfn.XLOOKUP($K16,TRANSPOSE(Stock.List),table.delta))</f>
        <v>0.35710936030425</v>
      </c>
      <c r="R16" s="19" cm="1">
        <f t="array" aca="1" ref="R16" ca="1">CORREL(_xlfn.XLOOKUP(R$2,TRANSPOSE(Stock.List),table.delta),_xlfn.XLOOKUP($K16,TRANSPOSE(Stock.List),table.delta))</f>
        <v>0.21181818381019971</v>
      </c>
      <c r="S16" s="19" cm="1">
        <f t="array" aca="1" ref="S16" ca="1">CORREL(_xlfn.XLOOKUP(S$2,TRANSPOSE(Stock.List),table.delta),_xlfn.XLOOKUP($K16,TRANSPOSE(Stock.List),table.delta))</f>
        <v>0.16466195937616127</v>
      </c>
      <c r="T16" s="19" cm="1">
        <f t="array" aca="1" ref="T16" ca="1">CORREL(_xlfn.XLOOKUP(T$2,TRANSPOSE(Stock.List),table.delta),_xlfn.XLOOKUP($K16,TRANSPOSE(Stock.List),table.delta))</f>
        <v>0.18958402649113837</v>
      </c>
      <c r="U16" s="19" cm="1">
        <f t="array" aca="1" ref="U16" ca="1">CORREL(_xlfn.XLOOKUP(U$2,TRANSPOSE(Stock.List),table.delta),_xlfn.XLOOKUP($K16,TRANSPOSE(Stock.List),table.delta))</f>
        <v>0.17030121726108483</v>
      </c>
      <c r="V16" s="19" cm="1">
        <f t="array" aca="1" ref="V16" ca="1">CORREL(_xlfn.XLOOKUP(V$2,TRANSPOSE(Stock.List),table.delta),_xlfn.XLOOKUP($K16,TRANSPOSE(Stock.List),table.delta))</f>
        <v>0.20196459139033809</v>
      </c>
      <c r="W16" s="19" cm="1">
        <f t="array" aca="1" ref="W16" ca="1">CORREL(_xlfn.XLOOKUP(W$2,TRANSPOSE(Stock.List),table.delta),_xlfn.XLOOKUP($K16,TRANSPOSE(Stock.List),table.delta))</f>
        <v>7.2924956394863155E-2</v>
      </c>
      <c r="X16" s="19" cm="1">
        <f t="array" aca="1" ref="X16" ca="1">CORREL(_xlfn.XLOOKUP(X$2,TRANSPOSE(Stock.List),table.delta),_xlfn.XLOOKUP($K16,TRANSPOSE(Stock.List),table.delta))</f>
        <v>0.23124613900626803</v>
      </c>
      <c r="Y16" s="19" cm="1">
        <f t="array" aca="1" ref="Y16" ca="1">CORREL(_xlfn.XLOOKUP(Y$2,TRANSPOSE(Stock.List),table.delta),_xlfn.XLOOKUP($K16,TRANSPOSE(Stock.List),table.delta))</f>
        <v>1</v>
      </c>
      <c r="Z16" s="20" cm="1">
        <f t="array" aca="1" ref="Z16" ca="1">CORREL(_xlfn.XLOOKUP(Z$2,TRANSPOSE(Stock.List),table.delta),_xlfn.XLOOKUP($K16,TRANSPOSE(Stock.List),table.delta))</f>
        <v>0.23568251920767536</v>
      </c>
    </row>
    <row r="17" spans="2:26" x14ac:dyDescent="0.25">
      <c r="C17" t="str">
        <f ca="1"/>
        <v>AVGO</v>
      </c>
      <c r="F17" t="str">
        <f ca="1"/>
        <v>BROADCOM INC.</v>
      </c>
      <c r="G17" s="9">
        <v>0.2</v>
      </c>
      <c r="H17" s="6">
        <f ca="1"/>
        <v>0.56552583592268602</v>
      </c>
      <c r="I17" s="6">
        <f ca="1"/>
        <v>0.57490483249591318</v>
      </c>
      <c r="K17" s="13" t="str">
        <f ca="1"/>
        <v>AVGO</v>
      </c>
      <c r="L17" s="21" cm="1">
        <f t="array" aca="1" ref="L17" ca="1">CORREL(_xlfn.XLOOKUP(L$2,TRANSPOSE(Stock.List),table.delta),_xlfn.XLOOKUP($K17,TRANSPOSE(Stock.List),table.delta))</f>
        <v>0.36634285051615145</v>
      </c>
      <c r="M17" s="22" cm="1">
        <f t="array" aca="1" ref="M17" ca="1">CORREL(_xlfn.XLOOKUP(M$2,TRANSPOSE(Stock.List),table.delta),_xlfn.XLOOKUP($K17,TRANSPOSE(Stock.List),table.delta))</f>
        <v>0.39029855261426727</v>
      </c>
      <c r="N17" s="22" cm="1">
        <f t="array" aca="1" ref="N17" ca="1">CORREL(_xlfn.XLOOKUP(N$2,TRANSPOSE(Stock.List),table.delta),_xlfn.XLOOKUP($K17,TRANSPOSE(Stock.List),table.delta))</f>
        <v>0.40705013845488219</v>
      </c>
      <c r="O17" s="22" cm="1">
        <f t="array" aca="1" ref="O17" ca="1">CORREL(_xlfn.XLOOKUP(O$2,TRANSPOSE(Stock.List),table.delta),_xlfn.XLOOKUP($K17,TRANSPOSE(Stock.List),table.delta))</f>
        <v>0.21909868755638029</v>
      </c>
      <c r="P17" s="22" cm="1">
        <f t="array" aca="1" ref="P17" ca="1">CORREL(_xlfn.XLOOKUP(P$2,TRANSPOSE(Stock.List),table.delta),_xlfn.XLOOKUP($K17,TRANSPOSE(Stock.List),table.delta))</f>
        <v>-0.19172482425062465</v>
      </c>
      <c r="Q17" s="22" cm="1">
        <f t="array" aca="1" ref="Q17" ca="1">CORREL(_xlfn.XLOOKUP(Q$2,TRANSPOSE(Stock.List),table.delta),_xlfn.XLOOKUP($K17,TRANSPOSE(Stock.List),table.delta))</f>
        <v>8.8166853874762502E-2</v>
      </c>
      <c r="R17" s="22" cm="1">
        <f t="array" aca="1" ref="R17" ca="1">CORREL(_xlfn.XLOOKUP(R$2,TRANSPOSE(Stock.List),table.delta),_xlfn.XLOOKUP($K17,TRANSPOSE(Stock.List),table.delta))</f>
        <v>-6.4904088447575281E-2</v>
      </c>
      <c r="S17" s="22" cm="1">
        <f t="array" aca="1" ref="S17" ca="1">CORREL(_xlfn.XLOOKUP(S$2,TRANSPOSE(Stock.List),table.delta),_xlfn.XLOOKUP($K17,TRANSPOSE(Stock.List),table.delta))</f>
        <v>-0.10767486124510367</v>
      </c>
      <c r="T17" s="22" cm="1">
        <f t="array" aca="1" ref="T17" ca="1">CORREL(_xlfn.XLOOKUP(T$2,TRANSPOSE(Stock.List),table.delta),_xlfn.XLOOKUP($K17,TRANSPOSE(Stock.List),table.delta))</f>
        <v>0.12817282255905599</v>
      </c>
      <c r="U17" s="22" cm="1">
        <f t="array" aca="1" ref="U17" ca="1">CORREL(_xlfn.XLOOKUP(U$2,TRANSPOSE(Stock.List),table.delta),_xlfn.XLOOKUP($K17,TRANSPOSE(Stock.List),table.delta))</f>
        <v>0.21848260940326636</v>
      </c>
      <c r="V17" s="22" cm="1">
        <f t="array" aca="1" ref="V17" ca="1">CORREL(_xlfn.XLOOKUP(V$2,TRANSPOSE(Stock.List),table.delta),_xlfn.XLOOKUP($K17,TRANSPOSE(Stock.List),table.delta))</f>
        <v>-0.13152248690361376</v>
      </c>
      <c r="W17" s="22" cm="1">
        <f t="array" aca="1" ref="W17" ca="1">CORREL(_xlfn.XLOOKUP(W$2,TRANSPOSE(Stock.List),table.delta),_xlfn.XLOOKUP($K17,TRANSPOSE(Stock.List),table.delta))</f>
        <v>-9.6380145510925608E-2</v>
      </c>
      <c r="X17" s="22" cm="1">
        <f t="array" aca="1" ref="X17" ca="1">CORREL(_xlfn.XLOOKUP(X$2,TRANSPOSE(Stock.List),table.delta),_xlfn.XLOOKUP($K17,TRANSPOSE(Stock.List),table.delta))</f>
        <v>0.59807047323621521</v>
      </c>
      <c r="Y17" s="22" cm="1">
        <f t="array" aca="1" ref="Y17" ca="1">CORREL(_xlfn.XLOOKUP(Y$2,TRANSPOSE(Stock.List),table.delta),_xlfn.XLOOKUP($K17,TRANSPOSE(Stock.List),table.delta))</f>
        <v>0.23568251920767536</v>
      </c>
      <c r="Z17" s="23" cm="1">
        <f t="array" aca="1" ref="Z17" ca="1">CORREL(_xlfn.XLOOKUP(Z$2,TRANSPOSE(Stock.List),table.delta),_xlfn.XLOOKUP($K17,TRANSPOSE(Stock.List),table.delta))</f>
        <v>1</v>
      </c>
    </row>
    <row r="18" spans="2:26" x14ac:dyDescent="0.25">
      <c r="G18" s="10">
        <f>+SUM(G3:G17)</f>
        <v>1.0000000000001641</v>
      </c>
    </row>
    <row r="19" spans="2:26" x14ac:dyDescent="0.25">
      <c r="B19" t="s">
        <v>14</v>
      </c>
      <c r="K19" s="24" t="s">
        <v>21</v>
      </c>
    </row>
    <row r="20" spans="2:26" x14ac:dyDescent="0.25">
      <c r="C20" t="s">
        <v>15</v>
      </c>
      <c r="G20" s="7">
        <f ca="1">+SUMPRODUCT(Weights,_xlfn.ANCHORARRAY(H3))</f>
        <v>0.38098524260383598</v>
      </c>
      <c r="J20" t="s">
        <v>11</v>
      </c>
      <c r="K20" s="12"/>
      <c r="L20" s="12" t="str" cm="1">
        <f t="array" aca="1" ref="L20:Z20" ca="1">+TRANSPOSE(Stock.List)</f>
        <v>TSLA</v>
      </c>
      <c r="M20" s="12" t="str">
        <f ca="1"/>
        <v>AMZN</v>
      </c>
      <c r="N20" s="12" t="str">
        <f ca="1"/>
        <v>MSFT</v>
      </c>
      <c r="O20" s="12" t="str">
        <f ca="1"/>
        <v>SHW</v>
      </c>
      <c r="P20" s="12" t="str">
        <f ca="1"/>
        <v>PG</v>
      </c>
      <c r="Q20" s="12" t="str">
        <f ca="1"/>
        <v>JPM</v>
      </c>
      <c r="R20" s="12" t="str">
        <f ca="1"/>
        <v>UNH</v>
      </c>
      <c r="S20" s="12" t="str">
        <f ca="1"/>
        <v>XOM</v>
      </c>
      <c r="T20" s="12" t="str">
        <f ca="1"/>
        <v>SONY</v>
      </c>
      <c r="U20" s="12" t="str">
        <f ca="1"/>
        <v>EADSY</v>
      </c>
      <c r="V20" s="12" t="str">
        <f ca="1"/>
        <v>PFE</v>
      </c>
      <c r="W20" s="12" t="str">
        <f ca="1"/>
        <v>ALL</v>
      </c>
      <c r="X20" s="12" t="str">
        <f ca="1"/>
        <v>NVDA</v>
      </c>
      <c r="Y20" s="12" t="str">
        <f ca="1"/>
        <v>CSCO</v>
      </c>
      <c r="Z20" s="12" t="str">
        <f ca="1"/>
        <v>AVGO</v>
      </c>
    </row>
    <row r="21" spans="2:26" x14ac:dyDescent="0.25">
      <c r="C21" t="s">
        <v>16</v>
      </c>
      <c r="G21" s="7">
        <f ca="1">+daily.portfolio.risk*SQRT(255)</f>
        <v>0.30500025931047625</v>
      </c>
      <c r="J21" s="7" cm="1">
        <f t="array" ref="J21:J35">+Weights</f>
        <v>0.2</v>
      </c>
      <c r="K21" s="12" t="str" cm="1">
        <f t="array" aca="1" ref="K21:K35" ca="1">+Stock.List</f>
        <v>TSLA</v>
      </c>
      <c r="L21" s="9" cm="1">
        <f t="array" aca="1" ref="L21" ca="1">_xlfn.COVARIANCE.P(_xlfn.XLOOKUP(L$2,TRANSPOSE(Stock.List),table.delta),_xlfn.XLOOKUP($K21,TRANSPOSE(Stock.List),table.delta))</f>
        <v>1.6732047294153816E-3</v>
      </c>
      <c r="M21" s="9" cm="1">
        <f t="array" aca="1" ref="M21" ca="1">_xlfn.COVARIANCE.P(_xlfn.XLOOKUP(M$2,TRANSPOSE(Stock.List),table.delta),_xlfn.XLOOKUP($K21,TRANSPOSE(Stock.List),table.delta))</f>
        <v>2.5204797292512163E-4</v>
      </c>
      <c r="N21" s="9" cm="1">
        <f t="array" aca="1" ref="N21" ca="1">_xlfn.COVARIANCE.P(_xlfn.XLOOKUP(N$2,TRANSPOSE(Stock.List),table.delta),_xlfn.XLOOKUP($K21,TRANSPOSE(Stock.List),table.delta))</f>
        <v>1.690564416915962E-4</v>
      </c>
      <c r="O21" s="9" cm="1">
        <f t="array" aca="1" ref="O21" ca="1">_xlfn.COVARIANCE.P(_xlfn.XLOOKUP(O$2,TRANSPOSE(Stock.List),table.delta),_xlfn.XLOOKUP($K21,TRANSPOSE(Stock.List),table.delta))</f>
        <v>8.5384886810618396E-5</v>
      </c>
      <c r="P21" s="9" cm="1">
        <f t="array" aca="1" ref="P21" ca="1">_xlfn.COVARIANCE.P(_xlfn.XLOOKUP(P$2,TRANSPOSE(Stock.List),table.delta),_xlfn.XLOOKUP($K21,TRANSPOSE(Stock.List),table.delta))</f>
        <v>-3.1393240428299342E-5</v>
      </c>
      <c r="Q21" s="9" cm="1">
        <f t="array" aca="1" ref="Q21" ca="1">_xlfn.COVARIANCE.P(_xlfn.XLOOKUP(Q$2,TRANSPOSE(Stock.List),table.delta),_xlfn.XLOOKUP($K21,TRANSPOSE(Stock.List),table.delta))</f>
        <v>1.5241793733035416E-4</v>
      </c>
      <c r="R21" s="9" cm="1">
        <f t="array" aca="1" ref="R21" ca="1">_xlfn.COVARIANCE.P(_xlfn.XLOOKUP(R$2,TRANSPOSE(Stock.List),table.delta),_xlfn.XLOOKUP($K21,TRANSPOSE(Stock.List),table.delta))</f>
        <v>3.7355679389006076E-6</v>
      </c>
      <c r="S21" s="9" cm="1">
        <f t="array" aca="1" ref="S21" ca="1">_xlfn.COVARIANCE.P(_xlfn.XLOOKUP(S$2,TRANSPOSE(Stock.List),table.delta),_xlfn.XLOOKUP($K21,TRANSPOSE(Stock.List),table.delta))</f>
        <v>3.416059773882409E-7</v>
      </c>
      <c r="T21" s="9" cm="1">
        <f t="array" aca="1" ref="T21" ca="1">_xlfn.COVARIANCE.P(_xlfn.XLOOKUP(T$2,TRANSPOSE(Stock.List),table.delta),_xlfn.XLOOKUP($K21,TRANSPOSE(Stock.List),table.delta))</f>
        <v>1.8592191076356482E-4</v>
      </c>
      <c r="U21" s="9" cm="1">
        <f t="array" aca="1" ref="U21" ca="1">_xlfn.COVARIANCE.P(_xlfn.XLOOKUP(U$2,TRANSPOSE(Stock.List),table.delta),_xlfn.XLOOKUP($K21,TRANSPOSE(Stock.List),table.delta))</f>
        <v>7.4089288639148378E-5</v>
      </c>
      <c r="V21" s="9" cm="1">
        <f t="array" aca="1" ref="V21" ca="1">_xlfn.COVARIANCE.P(_xlfn.XLOOKUP(V$2,TRANSPOSE(Stock.List),table.delta),_xlfn.XLOOKUP($K21,TRANSPOSE(Stock.List),table.delta))</f>
        <v>-4.89213618426829E-5</v>
      </c>
      <c r="W21" s="9" cm="1">
        <f t="array" aca="1" ref="W21" ca="1">_xlfn.COVARIANCE.P(_xlfn.XLOOKUP(W$2,TRANSPOSE(Stock.List),table.delta),_xlfn.XLOOKUP($K21,TRANSPOSE(Stock.List),table.delta))</f>
        <v>-1.2290092517180199E-5</v>
      </c>
      <c r="X21" s="9" cm="1">
        <f t="array" aca="1" ref="X21" ca="1">_xlfn.COVARIANCE.P(_xlfn.XLOOKUP(X$2,TRANSPOSE(Stock.List),table.delta),_xlfn.XLOOKUP($K21,TRANSPOSE(Stock.List),table.delta))</f>
        <v>3.4569166085522365E-4</v>
      </c>
      <c r="Y21" s="9" cm="1">
        <f t="array" aca="1" ref="Y21" ca="1">_xlfn.COVARIANCE.P(_xlfn.XLOOKUP(Y$2,TRANSPOSE(Stock.List),table.delta),_xlfn.XLOOKUP($K21,TRANSPOSE(Stock.List),table.delta))</f>
        <v>7.8349908489553732E-5</v>
      </c>
      <c r="Z21" s="9" cm="1">
        <f t="array" aca="1" ref="Z21" ca="1">_xlfn.COVARIANCE.P(_xlfn.XLOOKUP(Z$2,TRANSPOSE(Stock.List),table.delta),_xlfn.XLOOKUP($K21,TRANSPOSE(Stock.List),table.delta))</f>
        <v>5.3949587832881807E-4</v>
      </c>
    </row>
    <row r="22" spans="2:26" x14ac:dyDescent="0.25">
      <c r="C22" t="s">
        <v>17</v>
      </c>
      <c r="G22" s="27">
        <f ca="1">(G20-G23)/G21</f>
        <v>1.1179834514721796</v>
      </c>
      <c r="J22" s="7">
        <v>9.1173120149946579E-2</v>
      </c>
      <c r="K22" s="12" t="str">
        <f ca="1"/>
        <v>AMZN</v>
      </c>
      <c r="L22" s="9" cm="1">
        <f t="array" aca="1" ref="L22" ca="1">_xlfn.COVARIANCE.P(_xlfn.XLOOKUP(L$2,TRANSPOSE(Stock.List),table.delta),_xlfn.XLOOKUP($K22,TRANSPOSE(Stock.List),table.delta))</f>
        <v>2.5204797292512163E-4</v>
      </c>
      <c r="M22" s="9" cm="1">
        <f t="array" aca="1" ref="M22" ca="1">_xlfn.COVARIANCE.P(_xlfn.XLOOKUP(M$2,TRANSPOSE(Stock.List),table.delta),_xlfn.XLOOKUP($K22,TRANSPOSE(Stock.List),table.delta))</f>
        <v>2.9510009583466233E-4</v>
      </c>
      <c r="N22" s="9" cm="1">
        <f t="array" aca="1" ref="N22" ca="1">_xlfn.COVARIANCE.P(_xlfn.XLOOKUP(N$2,TRANSPOSE(Stock.List),table.delta),_xlfn.XLOOKUP($K22,TRANSPOSE(Stock.List),table.delta))</f>
        <v>1.4824160360264393E-4</v>
      </c>
      <c r="O22" s="9" cm="1">
        <f t="array" aca="1" ref="O22" ca="1">_xlfn.COVARIANCE.P(_xlfn.XLOOKUP(O$2,TRANSPOSE(Stock.List),table.delta),_xlfn.XLOOKUP($K22,TRANSPOSE(Stock.List),table.delta))</f>
        <v>5.9160750327360481E-5</v>
      </c>
      <c r="P22" s="9" cm="1">
        <f t="array" aca="1" ref="P22" ca="1">_xlfn.COVARIANCE.P(_xlfn.XLOOKUP(P$2,TRANSPOSE(Stock.List),table.delta),_xlfn.XLOOKUP($K22,TRANSPOSE(Stock.List),table.delta))</f>
        <v>-2.3078409388675058E-5</v>
      </c>
      <c r="Q22" s="9" cm="1">
        <f t="array" aca="1" ref="Q22" ca="1">_xlfn.COVARIANCE.P(_xlfn.XLOOKUP(Q$2,TRANSPOSE(Stock.List),table.delta),_xlfn.XLOOKUP($K22,TRANSPOSE(Stock.List),table.delta))</f>
        <v>6.7661946336183341E-5</v>
      </c>
      <c r="R22" s="9" cm="1">
        <f t="array" aca="1" ref="R22" ca="1">_xlfn.COVARIANCE.P(_xlfn.XLOOKUP(R$2,TRANSPOSE(Stock.List),table.delta),_xlfn.XLOOKUP($K22,TRANSPOSE(Stock.List),table.delta))</f>
        <v>-1.7346354527512297E-5</v>
      </c>
      <c r="S22" s="9" cm="1">
        <f t="array" aca="1" ref="S22" ca="1">_xlfn.COVARIANCE.P(_xlfn.XLOOKUP(S$2,TRANSPOSE(Stock.List),table.delta),_xlfn.XLOOKUP($K22,TRANSPOSE(Stock.List),table.delta))</f>
        <v>-1.3668609181988255E-5</v>
      </c>
      <c r="T22" s="9" cm="1">
        <f t="array" aca="1" ref="T22" ca="1">_xlfn.COVARIANCE.P(_xlfn.XLOOKUP(T$2,TRANSPOSE(Stock.List),table.delta),_xlfn.XLOOKUP($K22,TRANSPOSE(Stock.List),table.delta))</f>
        <v>8.0514088824492339E-5</v>
      </c>
      <c r="U22" s="9" cm="1">
        <f t="array" aca="1" ref="U22" ca="1">_xlfn.COVARIANCE.P(_xlfn.XLOOKUP(U$2,TRANSPOSE(Stock.List),table.delta),_xlfn.XLOOKUP($K22,TRANSPOSE(Stock.List),table.delta))</f>
        <v>6.4909919610932636E-5</v>
      </c>
      <c r="V22" s="9" cm="1">
        <f t="array" aca="1" ref="V22" ca="1">_xlfn.COVARIANCE.P(_xlfn.XLOOKUP(V$2,TRANSPOSE(Stock.List),table.delta),_xlfn.XLOOKUP($K22,TRANSPOSE(Stock.List),table.delta))</f>
        <v>-1.1662365593746167E-7</v>
      </c>
      <c r="W22" s="9" cm="1">
        <f t="array" aca="1" ref="W22" ca="1">_xlfn.COVARIANCE.P(_xlfn.XLOOKUP(W$2,TRANSPOSE(Stock.List),table.delta),_xlfn.XLOOKUP($K22,TRANSPOSE(Stock.List),table.delta))</f>
        <v>-1.3360893289246221E-5</v>
      </c>
      <c r="X22" s="9" cm="1">
        <f t="array" aca="1" ref="X22" ca="1">_xlfn.COVARIANCE.P(_xlfn.XLOOKUP(X$2,TRANSPOSE(Stock.List),table.delta),_xlfn.XLOOKUP($K22,TRANSPOSE(Stock.List),table.delta))</f>
        <v>2.3198770961557996E-4</v>
      </c>
      <c r="Y22" s="9" cm="1">
        <f t="array" aca="1" ref="Y22" ca="1">_xlfn.COVARIANCE.P(_xlfn.XLOOKUP(Y$2,TRANSPOSE(Stock.List),table.delta),_xlfn.XLOOKUP($K22,TRANSPOSE(Stock.List),table.delta))</f>
        <v>6.2739111265650322E-5</v>
      </c>
      <c r="Z22" s="9" cm="1">
        <f t="array" aca="1" ref="Z22" ca="1">_xlfn.COVARIANCE.P(_xlfn.XLOOKUP(Z$2,TRANSPOSE(Stock.List),table.delta),_xlfn.XLOOKUP($K22,TRANSPOSE(Stock.List),table.delta))</f>
        <v>2.4138344712007584E-4</v>
      </c>
    </row>
    <row r="23" spans="2:26" x14ac:dyDescent="0.25">
      <c r="C23" t="s">
        <v>18</v>
      </c>
      <c r="G23" s="28">
        <v>0.04</v>
      </c>
      <c r="J23" s="7">
        <v>0.10882668956487575</v>
      </c>
      <c r="K23" s="12" t="str">
        <f ca="1"/>
        <v>MSFT</v>
      </c>
      <c r="L23" s="9" cm="1">
        <f t="array" aca="1" ref="L23" ca="1">_xlfn.COVARIANCE.P(_xlfn.XLOOKUP(L$2,TRANSPOSE(Stock.List),table.delta),_xlfn.XLOOKUP($K23,TRANSPOSE(Stock.List),table.delta))</f>
        <v>1.690564416915962E-4</v>
      </c>
      <c r="M23" s="9" cm="1">
        <f t="array" aca="1" ref="M23" ca="1">_xlfn.COVARIANCE.P(_xlfn.XLOOKUP(M$2,TRANSPOSE(Stock.List),table.delta),_xlfn.XLOOKUP($K23,TRANSPOSE(Stock.List),table.delta))</f>
        <v>1.4824160360264393E-4</v>
      </c>
      <c r="N23" s="9" cm="1">
        <f t="array" aca="1" ref="N23" ca="1">_xlfn.COVARIANCE.P(_xlfn.XLOOKUP(N$2,TRANSPOSE(Stock.List),table.delta),_xlfn.XLOOKUP($K23,TRANSPOSE(Stock.List),table.delta))</f>
        <v>1.7653882876279703E-4</v>
      </c>
      <c r="O23" s="9" cm="1">
        <f t="array" aca="1" ref="O23" ca="1">_xlfn.COVARIANCE.P(_xlfn.XLOOKUP(O$2,TRANSPOSE(Stock.List),table.delta),_xlfn.XLOOKUP($K23,TRANSPOSE(Stock.List),table.delta))</f>
        <v>3.5622953249741572E-5</v>
      </c>
      <c r="P23" s="9" cm="1">
        <f t="array" aca="1" ref="P23" ca="1">_xlfn.COVARIANCE.P(_xlfn.XLOOKUP(P$2,TRANSPOSE(Stock.List),table.delta),_xlfn.XLOOKUP($K23,TRANSPOSE(Stock.List),table.delta))</f>
        <v>-6.3893143213152781E-6</v>
      </c>
      <c r="Q23" s="9" cm="1">
        <f t="array" aca="1" ref="Q23" ca="1">_xlfn.COVARIANCE.P(_xlfn.XLOOKUP(Q$2,TRANSPOSE(Stock.List),table.delta),_xlfn.XLOOKUP($K23,TRANSPOSE(Stock.List),table.delta))</f>
        <v>3.0105735609115082E-5</v>
      </c>
      <c r="R23" s="9" cm="1">
        <f t="array" aca="1" ref="R23" ca="1">_xlfn.COVARIANCE.P(_xlfn.XLOOKUP(R$2,TRANSPOSE(Stock.List),table.delta),_xlfn.XLOOKUP($K23,TRANSPOSE(Stock.List),table.delta))</f>
        <v>-2.0363548597045068E-5</v>
      </c>
      <c r="S23" s="9" cm="1">
        <f t="array" aca="1" ref="S23" ca="1">_xlfn.COVARIANCE.P(_xlfn.XLOOKUP(S$2,TRANSPOSE(Stock.List),table.delta),_xlfn.XLOOKUP($K23,TRANSPOSE(Stock.List),table.delta))</f>
        <v>-1.8871625073803396E-5</v>
      </c>
      <c r="T23" s="9" cm="1">
        <f t="array" aca="1" ref="T23" ca="1">_xlfn.COVARIANCE.P(_xlfn.XLOOKUP(T$2,TRANSPOSE(Stock.List),table.delta),_xlfn.XLOOKUP($K23,TRANSPOSE(Stock.List),table.delta))</f>
        <v>4.9280776100853047E-5</v>
      </c>
      <c r="U23" s="9" cm="1">
        <f t="array" aca="1" ref="U23" ca="1">_xlfn.COVARIANCE.P(_xlfn.XLOOKUP(U$2,TRANSPOSE(Stock.List),table.delta),_xlfn.XLOOKUP($K23,TRANSPOSE(Stock.List),table.delta))</f>
        <v>5.0218863676654133E-5</v>
      </c>
      <c r="V23" s="9" cm="1">
        <f t="array" aca="1" ref="V23" ca="1">_xlfn.COVARIANCE.P(_xlfn.XLOOKUP(V$2,TRANSPOSE(Stock.List),table.delta),_xlfn.XLOOKUP($K23,TRANSPOSE(Stock.List),table.delta))</f>
        <v>5.5661718421670293E-6</v>
      </c>
      <c r="W23" s="9" cm="1">
        <f t="array" aca="1" ref="W23" ca="1">_xlfn.COVARIANCE.P(_xlfn.XLOOKUP(W$2,TRANSPOSE(Stock.List),table.delta),_xlfn.XLOOKUP($K23,TRANSPOSE(Stock.List),table.delta))</f>
        <v>-5.4617453598544966E-6</v>
      </c>
      <c r="X23" s="9" cm="1">
        <f t="array" aca="1" ref="X23" ca="1">_xlfn.COVARIANCE.P(_xlfn.XLOOKUP(X$2,TRANSPOSE(Stock.List),table.delta),_xlfn.XLOOKUP($K23,TRANSPOSE(Stock.List),table.delta))</f>
        <v>2.0924056520765758E-4</v>
      </c>
      <c r="Y23" s="9" cm="1">
        <f t="array" aca="1" ref="Y23" ca="1">_xlfn.COVARIANCE.P(_xlfn.XLOOKUP(Y$2,TRANSPOSE(Stock.List),table.delta),_xlfn.XLOOKUP($K23,TRANSPOSE(Stock.List),table.delta))</f>
        <v>3.8177880497504555E-5</v>
      </c>
      <c r="Z23" s="9" cm="1">
        <f t="array" aca="1" ref="Z23" ca="1">_xlfn.COVARIANCE.P(_xlfn.XLOOKUP(Z$2,TRANSPOSE(Stock.List),table.delta),_xlfn.XLOOKUP($K23,TRANSPOSE(Stock.List),table.delta))</f>
        <v>1.9471252841419553E-4</v>
      </c>
    </row>
    <row r="24" spans="2:26" x14ac:dyDescent="0.25">
      <c r="C24" t="s">
        <v>19</v>
      </c>
      <c r="G24" s="7">
        <f>+G45</f>
        <v>0.30499999999999999</v>
      </c>
      <c r="J24" s="7">
        <v>0.02</v>
      </c>
      <c r="K24" s="12" t="str">
        <f ca="1"/>
        <v>SHW</v>
      </c>
      <c r="L24" s="9" cm="1">
        <f t="array" aca="1" ref="L24" ca="1">_xlfn.COVARIANCE.P(_xlfn.XLOOKUP(L$2,TRANSPOSE(Stock.List),table.delta),_xlfn.XLOOKUP($K24,TRANSPOSE(Stock.List),table.delta))</f>
        <v>8.5384886810618396E-5</v>
      </c>
      <c r="M24" s="9" cm="1">
        <f t="array" aca="1" ref="M24" ca="1">_xlfn.COVARIANCE.P(_xlfn.XLOOKUP(M$2,TRANSPOSE(Stock.List),table.delta),_xlfn.XLOOKUP($K24,TRANSPOSE(Stock.List),table.delta))</f>
        <v>5.9160750327360481E-5</v>
      </c>
      <c r="N24" s="9" cm="1">
        <f t="array" aca="1" ref="N24" ca="1">_xlfn.COVARIANCE.P(_xlfn.XLOOKUP(N$2,TRANSPOSE(Stock.List),table.delta),_xlfn.XLOOKUP($K24,TRANSPOSE(Stock.List),table.delta))</f>
        <v>3.5622953249741572E-5</v>
      </c>
      <c r="O24" s="9" cm="1">
        <f t="array" aca="1" ref="O24" ca="1">_xlfn.COVARIANCE.P(_xlfn.XLOOKUP(O$2,TRANSPOSE(Stock.List),table.delta),_xlfn.XLOOKUP($K24,TRANSPOSE(Stock.List),table.delta))</f>
        <v>1.8866966538730838E-4</v>
      </c>
      <c r="P24" s="9" cm="1">
        <f t="array" aca="1" ref="P24" ca="1">_xlfn.COVARIANCE.P(_xlfn.XLOOKUP(P$2,TRANSPOSE(Stock.List),table.delta),_xlfn.XLOOKUP($K24,TRANSPOSE(Stock.List),table.delta))</f>
        <v>2.4172778765273038E-5</v>
      </c>
      <c r="Q24" s="9" cm="1">
        <f t="array" aca="1" ref="Q24" ca="1">_xlfn.COVARIANCE.P(_xlfn.XLOOKUP(Q$2,TRANSPOSE(Stock.List),table.delta),_xlfn.XLOOKUP($K24,TRANSPOSE(Stock.List),table.delta))</f>
        <v>3.9515854069401671E-5</v>
      </c>
      <c r="R24" s="9" cm="1">
        <f t="array" aca="1" ref="R24" ca="1">_xlfn.COVARIANCE.P(_xlfn.XLOOKUP(R$2,TRANSPOSE(Stock.List),table.delta),_xlfn.XLOOKUP($K24,TRANSPOSE(Stock.List),table.delta))</f>
        <v>4.1828619624631748E-5</v>
      </c>
      <c r="S24" s="9" cm="1">
        <f t="array" aca="1" ref="S24" ca="1">_xlfn.COVARIANCE.P(_xlfn.XLOOKUP(S$2,TRANSPOSE(Stock.List),table.delta),_xlfn.XLOOKUP($K24,TRANSPOSE(Stock.List),table.delta))</f>
        <v>1.522608657661448E-5</v>
      </c>
      <c r="T24" s="9" cm="1">
        <f t="array" aca="1" ref="T24" ca="1">_xlfn.COVARIANCE.P(_xlfn.XLOOKUP(T$2,TRANSPOSE(Stock.List),table.delta),_xlfn.XLOOKUP($K24,TRANSPOSE(Stock.List),table.delta))</f>
        <v>4.5246258572984489E-5</v>
      </c>
      <c r="U24" s="9" cm="1">
        <f t="array" aca="1" ref="U24" ca="1">_xlfn.COVARIANCE.P(_xlfn.XLOOKUP(U$2,TRANSPOSE(Stock.List),table.delta),_xlfn.XLOOKUP($K24,TRANSPOSE(Stock.List),table.delta))</f>
        <v>3.9849520673428395E-5</v>
      </c>
      <c r="V24" s="9" cm="1">
        <f t="array" aca="1" ref="V24" ca="1">_xlfn.COVARIANCE.P(_xlfn.XLOOKUP(V$2,TRANSPOSE(Stock.List),table.delta),_xlfn.XLOOKUP($K24,TRANSPOSE(Stock.List),table.delta))</f>
        <v>4.1214903902555082E-5</v>
      </c>
      <c r="W24" s="9" cm="1">
        <f t="array" aca="1" ref="W24" ca="1">_xlfn.COVARIANCE.P(_xlfn.XLOOKUP(W$2,TRANSPOSE(Stock.List),table.delta),_xlfn.XLOOKUP($K24,TRANSPOSE(Stock.List),table.delta))</f>
        <v>3.9668575137988396E-5</v>
      </c>
      <c r="X24" s="9" cm="1">
        <f t="array" aca="1" ref="X24" ca="1">_xlfn.COVARIANCE.P(_xlfn.XLOOKUP(X$2,TRANSPOSE(Stock.List),table.delta),_xlfn.XLOOKUP($K24,TRANSPOSE(Stock.List),table.delta))</f>
        <v>5.0163650792796986E-5</v>
      </c>
      <c r="Y24" s="9" cm="1">
        <f t="array" aca="1" ref="Y24" ca="1">_xlfn.COVARIANCE.P(_xlfn.XLOOKUP(Y$2,TRANSPOSE(Stock.List),table.delta),_xlfn.XLOOKUP($K24,TRANSPOSE(Stock.List),table.delta))</f>
        <v>3.9943016923088988E-5</v>
      </c>
      <c r="Z24" s="9" cm="1">
        <f t="array" aca="1" ref="Z24" ca="1">_xlfn.COVARIANCE.P(_xlfn.XLOOKUP(Z$2,TRANSPOSE(Stock.List),table.delta),_xlfn.XLOOKUP($K24,TRANSPOSE(Stock.List),table.delta))</f>
        <v>1.0834694859515406E-4</v>
      </c>
    </row>
    <row r="25" spans="2:26" x14ac:dyDescent="0.25">
      <c r="J25" s="7">
        <v>0.02</v>
      </c>
      <c r="K25" s="12" t="str">
        <f ca="1"/>
        <v>PG</v>
      </c>
      <c r="L25" s="9" cm="1">
        <f t="array" aca="1" ref="L25" ca="1">_xlfn.COVARIANCE.P(_xlfn.XLOOKUP(L$2,TRANSPOSE(Stock.List),table.delta),_xlfn.XLOOKUP($K25,TRANSPOSE(Stock.List),table.delta))</f>
        <v>-3.1393240428299342E-5</v>
      </c>
      <c r="M25" s="9" cm="1">
        <f t="array" aca="1" ref="M25" ca="1">_xlfn.COVARIANCE.P(_xlfn.XLOOKUP(M$2,TRANSPOSE(Stock.List),table.delta),_xlfn.XLOOKUP($K25,TRANSPOSE(Stock.List),table.delta))</f>
        <v>-2.3078409388675058E-5</v>
      </c>
      <c r="N25" s="9" cm="1">
        <f t="array" aca="1" ref="N25" ca="1">_xlfn.COVARIANCE.P(_xlfn.XLOOKUP(N$2,TRANSPOSE(Stock.List),table.delta),_xlfn.XLOOKUP($K25,TRANSPOSE(Stock.List),table.delta))</f>
        <v>-6.3893143213152781E-6</v>
      </c>
      <c r="O25" s="9" cm="1">
        <f t="array" aca="1" ref="O25" ca="1">_xlfn.COVARIANCE.P(_xlfn.XLOOKUP(O$2,TRANSPOSE(Stock.List),table.delta),_xlfn.XLOOKUP($K25,TRANSPOSE(Stock.List),table.delta))</f>
        <v>2.4172778765273038E-5</v>
      </c>
      <c r="P25" s="9" cm="1">
        <f t="array" aca="1" ref="P25" ca="1">_xlfn.COVARIANCE.P(_xlfn.XLOOKUP(P$2,TRANSPOSE(Stock.List),table.delta),_xlfn.XLOOKUP($K25,TRANSPOSE(Stock.List),table.delta))</f>
        <v>1.0436537030140045E-4</v>
      </c>
      <c r="Q25" s="9" cm="1">
        <f t="array" aca="1" ref="Q25" ca="1">_xlfn.COVARIANCE.P(_xlfn.XLOOKUP(Q$2,TRANSPOSE(Stock.List),table.delta),_xlfn.XLOOKUP($K25,TRANSPOSE(Stock.List),table.delta))</f>
        <v>-8.8285648100178229E-6</v>
      </c>
      <c r="R25" s="9" cm="1">
        <f t="array" aca="1" ref="R25" ca="1">_xlfn.COVARIANCE.P(_xlfn.XLOOKUP(R$2,TRANSPOSE(Stock.List),table.delta),_xlfn.XLOOKUP($K25,TRANSPOSE(Stock.List),table.delta))</f>
        <v>1.6863392264106062E-5</v>
      </c>
      <c r="S25" s="9" cm="1">
        <f t="array" aca="1" ref="S25" ca="1">_xlfn.COVARIANCE.P(_xlfn.XLOOKUP(S$2,TRANSPOSE(Stock.List),table.delta),_xlfn.XLOOKUP($K25,TRANSPOSE(Stock.List),table.delta))</f>
        <v>-1.8205397329763748E-6</v>
      </c>
      <c r="T25" s="9" cm="1">
        <f t="array" aca="1" ref="T25" ca="1">_xlfn.COVARIANCE.P(_xlfn.XLOOKUP(T$2,TRANSPOSE(Stock.List),table.delta),_xlfn.XLOOKUP($K25,TRANSPOSE(Stock.List),table.delta))</f>
        <v>-1.2503508545674606E-6</v>
      </c>
      <c r="U25" s="9" cm="1">
        <f t="array" aca="1" ref="U25" ca="1">_xlfn.COVARIANCE.P(_xlfn.XLOOKUP(U$2,TRANSPOSE(Stock.List),table.delta),_xlfn.XLOOKUP($K25,TRANSPOSE(Stock.List),table.delta))</f>
        <v>-1.6600945912714669E-5</v>
      </c>
      <c r="V25" s="9" cm="1">
        <f t="array" aca="1" ref="V25" ca="1">_xlfn.COVARIANCE.P(_xlfn.XLOOKUP(V$2,TRANSPOSE(Stock.List),table.delta),_xlfn.XLOOKUP($K25,TRANSPOSE(Stock.List),table.delta))</f>
        <v>1.7803064847565389E-5</v>
      </c>
      <c r="W25" s="9" cm="1">
        <f t="array" aca="1" ref="W25" ca="1">_xlfn.COVARIANCE.P(_xlfn.XLOOKUP(W$2,TRANSPOSE(Stock.List),table.delta),_xlfn.XLOOKUP($K25,TRANSPOSE(Stock.List),table.delta))</f>
        <v>4.4969227259129541E-5</v>
      </c>
      <c r="X25" s="9" cm="1">
        <f t="array" aca="1" ref="X25" ca="1">_xlfn.COVARIANCE.P(_xlfn.XLOOKUP(X$2,TRANSPOSE(Stock.List),table.delta),_xlfn.XLOOKUP($K25,TRANSPOSE(Stock.List),table.delta))</f>
        <v>-9.7074320834903091E-5</v>
      </c>
      <c r="Y25" s="9" cm="1">
        <f t="array" aca="1" ref="Y25" ca="1">_xlfn.COVARIANCE.P(_xlfn.XLOOKUP(Y$2,TRANSPOSE(Stock.List),table.delta),_xlfn.XLOOKUP($K25,TRANSPOSE(Stock.List),table.delta))</f>
        <v>-1.3887791957621911E-6</v>
      </c>
      <c r="Z25" s="9" cm="1">
        <f t="array" aca="1" ref="Z25" ca="1">_xlfn.COVARIANCE.P(_xlfn.XLOOKUP(Z$2,TRANSPOSE(Stock.List),table.delta),_xlfn.XLOOKUP($K25,TRANSPOSE(Stock.List),table.delta))</f>
        <v>-7.05151487749513E-5</v>
      </c>
    </row>
    <row r="26" spans="2:26" x14ac:dyDescent="0.25">
      <c r="J26" s="7">
        <v>0.02</v>
      </c>
      <c r="K26" s="12" t="str">
        <f ca="1"/>
        <v>JPM</v>
      </c>
      <c r="L26" s="9" cm="1">
        <f t="array" aca="1" ref="L26" ca="1">_xlfn.COVARIANCE.P(_xlfn.XLOOKUP(L$2,TRANSPOSE(Stock.List),table.delta),_xlfn.XLOOKUP($K26,TRANSPOSE(Stock.List),table.delta))</f>
        <v>1.5241793733035416E-4</v>
      </c>
      <c r="M26" s="9" cm="1">
        <f t="array" aca="1" ref="M26" ca="1">_xlfn.COVARIANCE.P(_xlfn.XLOOKUP(M$2,TRANSPOSE(Stock.List),table.delta),_xlfn.XLOOKUP($K26,TRANSPOSE(Stock.List),table.delta))</f>
        <v>6.7661946336183341E-5</v>
      </c>
      <c r="N26" s="9" cm="1">
        <f t="array" aca="1" ref="N26" ca="1">_xlfn.COVARIANCE.P(_xlfn.XLOOKUP(N$2,TRANSPOSE(Stock.List),table.delta),_xlfn.XLOOKUP($K26,TRANSPOSE(Stock.List),table.delta))</f>
        <v>3.0105735609115082E-5</v>
      </c>
      <c r="O26" s="9" cm="1">
        <f t="array" aca="1" ref="O26" ca="1">_xlfn.COVARIANCE.P(_xlfn.XLOOKUP(O$2,TRANSPOSE(Stock.List),table.delta),_xlfn.XLOOKUP($K26,TRANSPOSE(Stock.List),table.delta))</f>
        <v>3.9515854069401671E-5</v>
      </c>
      <c r="P26" s="9" cm="1">
        <f t="array" aca="1" ref="P26" ca="1">_xlfn.COVARIANCE.P(_xlfn.XLOOKUP(P$2,TRANSPOSE(Stock.List),table.delta),_xlfn.XLOOKUP($K26,TRANSPOSE(Stock.List),table.delta))</f>
        <v>-8.8285648100178229E-6</v>
      </c>
      <c r="Q26" s="9" cm="1">
        <f t="array" aca="1" ref="Q26" ca="1">_xlfn.COVARIANCE.P(_xlfn.XLOOKUP(Q$2,TRANSPOSE(Stock.List),table.delta),_xlfn.XLOOKUP($K26,TRANSPOSE(Stock.List),table.delta))</f>
        <v>2.3388960575841111E-4</v>
      </c>
      <c r="R26" s="9" cm="1">
        <f t="array" aca="1" ref="R26" ca="1">_xlfn.COVARIANCE.P(_xlfn.XLOOKUP(R$2,TRANSPOSE(Stock.List),table.delta),_xlfn.XLOOKUP($K26,TRANSPOSE(Stock.List),table.delta))</f>
        <v>3.3119201972888913E-5</v>
      </c>
      <c r="S26" s="9" cm="1">
        <f t="array" aca="1" ref="S26" ca="1">_xlfn.COVARIANCE.P(_xlfn.XLOOKUP(S$2,TRANSPOSE(Stock.List),table.delta),_xlfn.XLOOKUP($K26,TRANSPOSE(Stock.List),table.delta))</f>
        <v>4.8822179313448321E-5</v>
      </c>
      <c r="T26" s="9" cm="1">
        <f t="array" aca="1" ref="T26" ca="1">_xlfn.COVARIANCE.P(_xlfn.XLOOKUP(T$2,TRANSPOSE(Stock.List),table.delta),_xlfn.XLOOKUP($K26,TRANSPOSE(Stock.List),table.delta))</f>
        <v>4.0361745030902398E-5</v>
      </c>
      <c r="U26" s="9" cm="1">
        <f t="array" aca="1" ref="U26" ca="1">_xlfn.COVARIANCE.P(_xlfn.XLOOKUP(U$2,TRANSPOSE(Stock.List),table.delta),_xlfn.XLOOKUP($K26,TRANSPOSE(Stock.List),table.delta))</f>
        <v>4.1117966979647531E-5</v>
      </c>
      <c r="V26" s="9" cm="1">
        <f t="array" aca="1" ref="V26" ca="1">_xlfn.COVARIANCE.P(_xlfn.XLOOKUP(V$2,TRANSPOSE(Stock.List),table.delta),_xlfn.XLOOKUP($K26,TRANSPOSE(Stock.List),table.delta))</f>
        <v>2.512490413323656E-5</v>
      </c>
      <c r="W26" s="9" cm="1">
        <f t="array" aca="1" ref="W26" ca="1">_xlfn.COVARIANCE.P(_xlfn.XLOOKUP(W$2,TRANSPOSE(Stock.List),table.delta),_xlfn.XLOOKUP($K26,TRANSPOSE(Stock.List),table.delta))</f>
        <v>6.7506062602394663E-5</v>
      </c>
      <c r="X26" s="9" cm="1">
        <f t="array" aca="1" ref="X26" ca="1">_xlfn.COVARIANCE.P(_xlfn.XLOOKUP(X$2,TRANSPOSE(Stock.List),table.delta),_xlfn.XLOOKUP($K26,TRANSPOSE(Stock.List),table.delta))</f>
        <v>4.6708353063357061E-5</v>
      </c>
      <c r="Y26" s="9" cm="1">
        <f t="array" aca="1" ref="Y26" ca="1">_xlfn.COVARIANCE.P(_xlfn.XLOOKUP(Y$2,TRANSPOSE(Stock.List),table.delta),_xlfn.XLOOKUP($K26,TRANSPOSE(Stock.List),table.delta))</f>
        <v>6.3385407868878771E-5</v>
      </c>
      <c r="Z26" s="9" cm="1">
        <f t="array" aca="1" ref="Z26" ca="1">_xlfn.COVARIANCE.P(_xlfn.XLOOKUP(Z$2,TRANSPOSE(Stock.List),table.delta),_xlfn.XLOOKUP($K26,TRANSPOSE(Stock.List),table.delta))</f>
        <v>4.8544124589705931E-5</v>
      </c>
    </row>
    <row r="27" spans="2:26" x14ac:dyDescent="0.25">
      <c r="J27" s="7">
        <v>0.02</v>
      </c>
      <c r="K27" s="12" t="str">
        <f ca="1"/>
        <v>UNH</v>
      </c>
      <c r="L27" s="9" cm="1">
        <f t="array" aca="1" ref="L27" ca="1">_xlfn.COVARIANCE.P(_xlfn.XLOOKUP(L$2,TRANSPOSE(Stock.List),table.delta),_xlfn.XLOOKUP($K27,TRANSPOSE(Stock.List),table.delta))</f>
        <v>3.7355679389006076E-6</v>
      </c>
      <c r="M27" s="9" cm="1">
        <f t="array" aca="1" ref="M27" ca="1">_xlfn.COVARIANCE.P(_xlfn.XLOOKUP(M$2,TRANSPOSE(Stock.List),table.delta),_xlfn.XLOOKUP($K27,TRANSPOSE(Stock.List),table.delta))</f>
        <v>-1.7346354527512297E-5</v>
      </c>
      <c r="N27" s="9" cm="1">
        <f t="array" aca="1" ref="N27" ca="1">_xlfn.COVARIANCE.P(_xlfn.XLOOKUP(N$2,TRANSPOSE(Stock.List),table.delta),_xlfn.XLOOKUP($K27,TRANSPOSE(Stock.List),table.delta))</f>
        <v>-2.0363548597045068E-5</v>
      </c>
      <c r="O27" s="9" cm="1">
        <f t="array" aca="1" ref="O27" ca="1">_xlfn.COVARIANCE.P(_xlfn.XLOOKUP(O$2,TRANSPOSE(Stock.List),table.delta),_xlfn.XLOOKUP($K27,TRANSPOSE(Stock.List),table.delta))</f>
        <v>4.1828619624631748E-5</v>
      </c>
      <c r="P27" s="9" cm="1">
        <f t="array" aca="1" ref="P27" ca="1">_xlfn.COVARIANCE.P(_xlfn.XLOOKUP(P$2,TRANSPOSE(Stock.List),table.delta),_xlfn.XLOOKUP($K27,TRANSPOSE(Stock.List),table.delta))</f>
        <v>1.6863392264106062E-5</v>
      </c>
      <c r="Q27" s="9" cm="1">
        <f t="array" aca="1" ref="Q27" ca="1">_xlfn.COVARIANCE.P(_xlfn.XLOOKUP(Q$2,TRANSPOSE(Stock.List),table.delta),_xlfn.XLOOKUP($K27,TRANSPOSE(Stock.List),table.delta))</f>
        <v>3.3119201972888913E-5</v>
      </c>
      <c r="R27" s="9" cm="1">
        <f t="array" aca="1" ref="R27" ca="1">_xlfn.COVARIANCE.P(_xlfn.XLOOKUP(R$2,TRANSPOSE(Stock.List),table.delta),_xlfn.XLOOKUP($K27,TRANSPOSE(Stock.List),table.delta))</f>
        <v>3.3896020613814775E-4</v>
      </c>
      <c r="S27" s="9" cm="1">
        <f t="array" aca="1" ref="S27" ca="1">_xlfn.COVARIANCE.P(_xlfn.XLOOKUP(S$2,TRANSPOSE(Stock.List),table.delta),_xlfn.XLOOKUP($K27,TRANSPOSE(Stock.List),table.delta))</f>
        <v>3.3275930496640414E-5</v>
      </c>
      <c r="T27" s="9" cm="1">
        <f t="array" aca="1" ref="T27" ca="1">_xlfn.COVARIANCE.P(_xlfn.XLOOKUP(T$2,TRANSPOSE(Stock.List),table.delta),_xlfn.XLOOKUP($K27,TRANSPOSE(Stock.List),table.delta))</f>
        <v>3.5489464395979095E-5</v>
      </c>
      <c r="U27" s="9" cm="1">
        <f t="array" aca="1" ref="U27" ca="1">_xlfn.COVARIANCE.P(_xlfn.XLOOKUP(U$2,TRANSPOSE(Stock.List),table.delta),_xlfn.XLOOKUP($K27,TRANSPOSE(Stock.List),table.delta))</f>
        <v>-1.0485158549955149E-5</v>
      </c>
      <c r="V27" s="9" cm="1">
        <f t="array" aca="1" ref="V27" ca="1">_xlfn.COVARIANCE.P(_xlfn.XLOOKUP(V$2,TRANSPOSE(Stock.List),table.delta),_xlfn.XLOOKUP($K27,TRANSPOSE(Stock.List),table.delta))</f>
        <v>2.1899076052158486E-5</v>
      </c>
      <c r="W27" s="9" cm="1">
        <f t="array" aca="1" ref="W27" ca="1">_xlfn.COVARIANCE.P(_xlfn.XLOOKUP(W$2,TRANSPOSE(Stock.List),table.delta),_xlfn.XLOOKUP($K27,TRANSPOSE(Stock.List),table.delta))</f>
        <v>5.062160931612566E-5</v>
      </c>
      <c r="X27" s="9" cm="1">
        <f t="array" aca="1" ref="X27" ca="1">_xlfn.COVARIANCE.P(_xlfn.XLOOKUP(X$2,TRANSPOSE(Stock.List),table.delta),_xlfn.XLOOKUP($K27,TRANSPOSE(Stock.List),table.delta))</f>
        <v>-3.6024184801053704E-5</v>
      </c>
      <c r="Y27" s="9" cm="1">
        <f t="array" aca="1" ref="Y27" ca="1">_xlfn.COVARIANCE.P(_xlfn.XLOOKUP(Y$2,TRANSPOSE(Stock.List),table.delta),_xlfn.XLOOKUP($K27,TRANSPOSE(Stock.List),table.delta))</f>
        <v>4.526058803111717E-5</v>
      </c>
      <c r="Z27" s="9" cm="1">
        <f t="array" aca="1" ref="Z27" ca="1">_xlfn.COVARIANCE.P(_xlfn.XLOOKUP(Z$2,TRANSPOSE(Stock.List),table.delta),_xlfn.XLOOKUP($K27,TRANSPOSE(Stock.List),table.delta))</f>
        <v>-4.3020185763579566E-5</v>
      </c>
    </row>
    <row r="28" spans="2:26" x14ac:dyDescent="0.25">
      <c r="J28" s="7">
        <v>0.02</v>
      </c>
      <c r="K28" s="12" t="str">
        <f ca="1"/>
        <v>XOM</v>
      </c>
      <c r="L28" s="9" cm="1">
        <f t="array" aca="1" ref="L28" ca="1">_xlfn.COVARIANCE.P(_xlfn.XLOOKUP(L$2,TRANSPOSE(Stock.List),table.delta),_xlfn.XLOOKUP($K28,TRANSPOSE(Stock.List),table.delta))</f>
        <v>3.416059773882409E-7</v>
      </c>
      <c r="M28" s="9" cm="1">
        <f t="array" aca="1" ref="M28" ca="1">_xlfn.COVARIANCE.P(_xlfn.XLOOKUP(M$2,TRANSPOSE(Stock.List),table.delta),_xlfn.XLOOKUP($K28,TRANSPOSE(Stock.List),table.delta))</f>
        <v>-1.3668609181988255E-5</v>
      </c>
      <c r="N28" s="9" cm="1">
        <f t="array" aca="1" ref="N28" ca="1">_xlfn.COVARIANCE.P(_xlfn.XLOOKUP(N$2,TRANSPOSE(Stock.List),table.delta),_xlfn.XLOOKUP($K28,TRANSPOSE(Stock.List),table.delta))</f>
        <v>-1.8871625073803396E-5</v>
      </c>
      <c r="O28" s="9" cm="1">
        <f t="array" aca="1" ref="O28" ca="1">_xlfn.COVARIANCE.P(_xlfn.XLOOKUP(O$2,TRANSPOSE(Stock.List),table.delta),_xlfn.XLOOKUP($K28,TRANSPOSE(Stock.List),table.delta))</f>
        <v>1.522608657661448E-5</v>
      </c>
      <c r="P28" s="9" cm="1">
        <f t="array" aca="1" ref="P28" ca="1">_xlfn.COVARIANCE.P(_xlfn.XLOOKUP(P$2,TRANSPOSE(Stock.List),table.delta),_xlfn.XLOOKUP($K28,TRANSPOSE(Stock.List),table.delta))</f>
        <v>-1.8205397329763748E-6</v>
      </c>
      <c r="Q28" s="9" cm="1">
        <f t="array" aca="1" ref="Q28" ca="1">_xlfn.COVARIANCE.P(_xlfn.XLOOKUP(Q$2,TRANSPOSE(Stock.List),table.delta),_xlfn.XLOOKUP($K28,TRANSPOSE(Stock.List),table.delta))</f>
        <v>4.8822179313448321E-5</v>
      </c>
      <c r="R28" s="9" cm="1">
        <f t="array" aca="1" ref="R28" ca="1">_xlfn.COVARIANCE.P(_xlfn.XLOOKUP(R$2,TRANSPOSE(Stock.List),table.delta),_xlfn.XLOOKUP($K28,TRANSPOSE(Stock.List),table.delta))</f>
        <v>3.3275930496640414E-5</v>
      </c>
      <c r="S28" s="9" cm="1">
        <f t="array" aca="1" ref="S28" ca="1">_xlfn.COVARIANCE.P(_xlfn.XLOOKUP(S$2,TRANSPOSE(Stock.List),table.delta),_xlfn.XLOOKUP($K28,TRANSPOSE(Stock.List),table.delta))</f>
        <v>1.50665758119853E-4</v>
      </c>
      <c r="T28" s="9" cm="1">
        <f t="array" aca="1" ref="T28" ca="1">_xlfn.COVARIANCE.P(_xlfn.XLOOKUP(T$2,TRANSPOSE(Stock.List),table.delta),_xlfn.XLOOKUP($K28,TRANSPOSE(Stock.List),table.delta))</f>
        <v>1.4512079935514911E-5</v>
      </c>
      <c r="U28" s="9" cm="1">
        <f t="array" aca="1" ref="U28" ca="1">_xlfn.COVARIANCE.P(_xlfn.XLOOKUP(U$2,TRANSPOSE(Stock.List),table.delta),_xlfn.XLOOKUP($K28,TRANSPOSE(Stock.List),table.delta))</f>
        <v>4.1290939673329314E-7</v>
      </c>
      <c r="V28" s="9" cm="1">
        <f t="array" aca="1" ref="V28" ca="1">_xlfn.COVARIANCE.P(_xlfn.XLOOKUP(V$2,TRANSPOSE(Stock.List),table.delta),_xlfn.XLOOKUP($K28,TRANSPOSE(Stock.List),table.delta))</f>
        <v>2.4206928318902812E-5</v>
      </c>
      <c r="W28" s="9" cm="1">
        <f t="array" aca="1" ref="W28" ca="1">_xlfn.COVARIANCE.P(_xlfn.XLOOKUP(W$2,TRANSPOSE(Stock.List),table.delta),_xlfn.XLOOKUP($K28,TRANSPOSE(Stock.List),table.delta))</f>
        <v>3.6118810941682033E-5</v>
      </c>
      <c r="X28" s="9" cm="1">
        <f t="array" aca="1" ref="X28" ca="1">_xlfn.COVARIANCE.P(_xlfn.XLOOKUP(X$2,TRANSPOSE(Stock.List),table.delta),_xlfn.XLOOKUP($K28,TRANSPOSE(Stock.List),table.delta))</f>
        <v>-3.468155161446415E-5</v>
      </c>
      <c r="Y28" s="9" cm="1">
        <f t="array" aca="1" ref="Y28" ca="1">_xlfn.COVARIANCE.P(_xlfn.XLOOKUP(Y$2,TRANSPOSE(Stock.List),table.delta),_xlfn.XLOOKUP($K28,TRANSPOSE(Stock.List),table.delta))</f>
        <v>2.3457577190361664E-5</v>
      </c>
      <c r="Z28" s="9" cm="1">
        <f t="array" aca="1" ref="Z28" ca="1">_xlfn.COVARIANCE.P(_xlfn.XLOOKUP(Z$2,TRANSPOSE(Stock.List),table.delta),_xlfn.XLOOKUP($K28,TRANSPOSE(Stock.List),table.delta))</f>
        <v>-4.7582523459761132E-5</v>
      </c>
    </row>
    <row r="29" spans="2:26" x14ac:dyDescent="0.25">
      <c r="J29" s="7">
        <v>0.02</v>
      </c>
      <c r="K29" s="12" t="str">
        <f ca="1"/>
        <v>SONY</v>
      </c>
      <c r="L29" s="9" cm="1">
        <f t="array" aca="1" ref="L29" ca="1">_xlfn.COVARIANCE.P(_xlfn.XLOOKUP(L$2,TRANSPOSE(Stock.List),table.delta),_xlfn.XLOOKUP($K29,TRANSPOSE(Stock.List),table.delta))</f>
        <v>1.8592191076356482E-4</v>
      </c>
      <c r="M29" s="9" cm="1">
        <f t="array" aca="1" ref="M29" ca="1">_xlfn.COVARIANCE.P(_xlfn.XLOOKUP(M$2,TRANSPOSE(Stock.List),table.delta),_xlfn.XLOOKUP($K29,TRANSPOSE(Stock.List),table.delta))</f>
        <v>8.0514088824492339E-5</v>
      </c>
      <c r="N29" s="9" cm="1">
        <f t="array" aca="1" ref="N29" ca="1">_xlfn.COVARIANCE.P(_xlfn.XLOOKUP(N$2,TRANSPOSE(Stock.List),table.delta),_xlfn.XLOOKUP($K29,TRANSPOSE(Stock.List),table.delta))</f>
        <v>4.9280776100853047E-5</v>
      </c>
      <c r="O29" s="9" cm="1">
        <f t="array" aca="1" ref="O29" ca="1">_xlfn.COVARIANCE.P(_xlfn.XLOOKUP(O$2,TRANSPOSE(Stock.List),table.delta),_xlfn.XLOOKUP($K29,TRANSPOSE(Stock.List),table.delta))</f>
        <v>4.5246258572984489E-5</v>
      </c>
      <c r="P29" s="9" cm="1">
        <f t="array" aca="1" ref="P29" ca="1">_xlfn.COVARIANCE.P(_xlfn.XLOOKUP(P$2,TRANSPOSE(Stock.List),table.delta),_xlfn.XLOOKUP($K29,TRANSPOSE(Stock.List),table.delta))</f>
        <v>-1.2503508545674606E-6</v>
      </c>
      <c r="Q29" s="9" cm="1">
        <f t="array" aca="1" ref="Q29" ca="1">_xlfn.COVARIANCE.P(_xlfn.XLOOKUP(Q$2,TRANSPOSE(Stock.List),table.delta),_xlfn.XLOOKUP($K29,TRANSPOSE(Stock.List),table.delta))</f>
        <v>4.0361745030902398E-5</v>
      </c>
      <c r="R29" s="9" cm="1">
        <f t="array" aca="1" ref="R29" ca="1">_xlfn.COVARIANCE.P(_xlfn.XLOOKUP(R$2,TRANSPOSE(Stock.List),table.delta),_xlfn.XLOOKUP($K29,TRANSPOSE(Stock.List),table.delta))</f>
        <v>3.5489464395979095E-5</v>
      </c>
      <c r="S29" s="9" cm="1">
        <f t="array" aca="1" ref="S29" ca="1">_xlfn.COVARIANCE.P(_xlfn.XLOOKUP(S$2,TRANSPOSE(Stock.List),table.delta),_xlfn.XLOOKUP($K29,TRANSPOSE(Stock.List),table.delta))</f>
        <v>1.4512079935514911E-5</v>
      </c>
      <c r="T29" s="9" cm="1">
        <f t="array" aca="1" ref="T29" ca="1">_xlfn.COVARIANCE.P(_xlfn.XLOOKUP(T$2,TRANSPOSE(Stock.List),table.delta),_xlfn.XLOOKUP($K29,TRANSPOSE(Stock.List),table.delta))</f>
        <v>3.1433156211407783E-4</v>
      </c>
      <c r="U29" s="9" cm="1">
        <f t="array" aca="1" ref="U29" ca="1">_xlfn.COVARIANCE.P(_xlfn.XLOOKUP(U$2,TRANSPOSE(Stock.List),table.delta),_xlfn.XLOOKUP($K29,TRANSPOSE(Stock.List),table.delta))</f>
        <v>4.9049979860898526E-5</v>
      </c>
      <c r="V29" s="9" cm="1">
        <f t="array" aca="1" ref="V29" ca="1">_xlfn.COVARIANCE.P(_xlfn.XLOOKUP(V$2,TRANSPOSE(Stock.List),table.delta),_xlfn.XLOOKUP($K29,TRANSPOSE(Stock.List),table.delta))</f>
        <v>3.0036528895494436E-5</v>
      </c>
      <c r="W29" s="9" cm="1">
        <f t="array" aca="1" ref="W29" ca="1">_xlfn.COVARIANCE.P(_xlfn.XLOOKUP(W$2,TRANSPOSE(Stock.List),table.delta),_xlfn.XLOOKUP($K29,TRANSPOSE(Stock.List),table.delta))</f>
        <v>7.260320877236218E-6</v>
      </c>
      <c r="X29" s="9" cm="1">
        <f t="array" aca="1" ref="X29" ca="1">_xlfn.COVARIANCE.P(_xlfn.XLOOKUP(X$2,TRANSPOSE(Stock.List),table.delta),_xlfn.XLOOKUP($K29,TRANSPOSE(Stock.List),table.delta))</f>
        <v>1.2883592152660399E-4</v>
      </c>
      <c r="Y29" s="9" cm="1">
        <f t="array" aca="1" ref="Y29" ca="1">_xlfn.COVARIANCE.P(_xlfn.XLOOKUP(Y$2,TRANSPOSE(Stock.List),table.delta),_xlfn.XLOOKUP($K29,TRANSPOSE(Stock.List),table.delta))</f>
        <v>3.9010214003787396E-5</v>
      </c>
      <c r="Z29" s="9" cm="1">
        <f t="array" aca="1" ref="Z29" ca="1">_xlfn.COVARIANCE.P(_xlfn.XLOOKUP(Z$2,TRANSPOSE(Stock.List),table.delta),_xlfn.XLOOKUP($K29,TRANSPOSE(Stock.List),table.delta))</f>
        <v>8.1811774507291614E-5</v>
      </c>
    </row>
    <row r="30" spans="2:26" x14ac:dyDescent="0.25">
      <c r="J30" s="7">
        <v>2.0000000000000004E-2</v>
      </c>
      <c r="K30" s="12" t="str">
        <f ca="1"/>
        <v>EADSY</v>
      </c>
      <c r="L30" s="9" cm="1">
        <f t="array" aca="1" ref="L30" ca="1">_xlfn.COVARIANCE.P(_xlfn.XLOOKUP(L$2,TRANSPOSE(Stock.List),table.delta),_xlfn.XLOOKUP($K30,TRANSPOSE(Stock.List),table.delta))</f>
        <v>7.4089288639148378E-5</v>
      </c>
      <c r="M30" s="9" cm="1">
        <f t="array" aca="1" ref="M30" ca="1">_xlfn.COVARIANCE.P(_xlfn.XLOOKUP(M$2,TRANSPOSE(Stock.List),table.delta),_xlfn.XLOOKUP($K30,TRANSPOSE(Stock.List),table.delta))</f>
        <v>6.4909919610932636E-5</v>
      </c>
      <c r="N30" s="9" cm="1">
        <f t="array" aca="1" ref="N30" ca="1">_xlfn.COVARIANCE.P(_xlfn.XLOOKUP(N$2,TRANSPOSE(Stock.List),table.delta),_xlfn.XLOOKUP($K30,TRANSPOSE(Stock.List),table.delta))</f>
        <v>5.0218863676654133E-5</v>
      </c>
      <c r="O30" s="9" cm="1">
        <f t="array" aca="1" ref="O30" ca="1">_xlfn.COVARIANCE.P(_xlfn.XLOOKUP(O$2,TRANSPOSE(Stock.List),table.delta),_xlfn.XLOOKUP($K30,TRANSPOSE(Stock.List),table.delta))</f>
        <v>3.9849520673428395E-5</v>
      </c>
      <c r="P30" s="9" cm="1">
        <f t="array" aca="1" ref="P30" ca="1">_xlfn.COVARIANCE.P(_xlfn.XLOOKUP(P$2,TRANSPOSE(Stock.List),table.delta),_xlfn.XLOOKUP($K30,TRANSPOSE(Stock.List),table.delta))</f>
        <v>-1.6600945912714669E-5</v>
      </c>
      <c r="Q30" s="9" cm="1">
        <f t="array" aca="1" ref="Q30" ca="1">_xlfn.COVARIANCE.P(_xlfn.XLOOKUP(Q$2,TRANSPOSE(Stock.List),table.delta),_xlfn.XLOOKUP($K30,TRANSPOSE(Stock.List),table.delta))</f>
        <v>4.1117966979647531E-5</v>
      </c>
      <c r="R30" s="9" cm="1">
        <f t="array" aca="1" ref="R30" ca="1">_xlfn.COVARIANCE.P(_xlfn.XLOOKUP(R$2,TRANSPOSE(Stock.List),table.delta),_xlfn.XLOOKUP($K30,TRANSPOSE(Stock.List),table.delta))</f>
        <v>-1.0485158549955149E-5</v>
      </c>
      <c r="S30" s="9" cm="1">
        <f t="array" aca="1" ref="S30" ca="1">_xlfn.COVARIANCE.P(_xlfn.XLOOKUP(S$2,TRANSPOSE(Stock.List),table.delta),_xlfn.XLOOKUP($K30,TRANSPOSE(Stock.List),table.delta))</f>
        <v>4.1290939673329314E-7</v>
      </c>
      <c r="T30" s="9" cm="1">
        <f t="array" aca="1" ref="T30" ca="1">_xlfn.COVARIANCE.P(_xlfn.XLOOKUP(T$2,TRANSPOSE(Stock.List),table.delta),_xlfn.XLOOKUP($K30,TRANSPOSE(Stock.List),table.delta))</f>
        <v>4.9049979860898526E-5</v>
      </c>
      <c r="U30" s="9" cm="1">
        <f t="array" aca="1" ref="U30" ca="1">_xlfn.COVARIANCE.P(_xlfn.XLOOKUP(U$2,TRANSPOSE(Stock.List),table.delta),_xlfn.XLOOKUP($K30,TRANSPOSE(Stock.List),table.delta))</f>
        <v>2.56267486048718E-4</v>
      </c>
      <c r="V30" s="9" cm="1">
        <f t="array" aca="1" ref="V30" ca="1">_xlfn.COVARIANCE.P(_xlfn.XLOOKUP(V$2,TRANSPOSE(Stock.List),table.delta),_xlfn.XLOOKUP($K30,TRANSPOSE(Stock.List),table.delta))</f>
        <v>2.6862751531203817E-5</v>
      </c>
      <c r="W30" s="9" cm="1">
        <f t="array" aca="1" ref="W30" ca="1">_xlfn.COVARIANCE.P(_xlfn.XLOOKUP(W$2,TRANSPOSE(Stock.List),table.delta),_xlfn.XLOOKUP($K30,TRANSPOSE(Stock.List),table.delta))</f>
        <v>2.2096592688409937E-5</v>
      </c>
      <c r="X30" s="9" cm="1">
        <f t="array" aca="1" ref="X30" ca="1">_xlfn.COVARIANCE.P(_xlfn.XLOOKUP(X$2,TRANSPOSE(Stock.List),table.delta),_xlfn.XLOOKUP($K30,TRANSPOSE(Stock.List),table.delta))</f>
        <v>1.3428967780034864E-4</v>
      </c>
      <c r="Y30" s="9" cm="1">
        <f t="array" aca="1" ref="Y30" ca="1">_xlfn.COVARIANCE.P(_xlfn.XLOOKUP(Y$2,TRANSPOSE(Stock.List),table.delta),_xlfn.XLOOKUP($K30,TRANSPOSE(Stock.List),table.delta))</f>
        <v>3.1640774167002797E-5</v>
      </c>
      <c r="Z30" s="9" cm="1">
        <f t="array" aca="1" ref="Z30" ca="1">_xlfn.COVARIANCE.P(_xlfn.XLOOKUP(Z$2,TRANSPOSE(Stock.List),table.delta),_xlfn.XLOOKUP($K30,TRANSPOSE(Stock.List),table.delta))</f>
        <v>1.2591848719162118E-4</v>
      </c>
    </row>
    <row r="31" spans="2:26" x14ac:dyDescent="0.25">
      <c r="J31" s="7">
        <v>0.02</v>
      </c>
      <c r="K31" s="12" t="str">
        <f ca="1"/>
        <v>PFE</v>
      </c>
      <c r="L31" s="9" cm="1">
        <f t="array" aca="1" ref="L31" ca="1">_xlfn.COVARIANCE.P(_xlfn.XLOOKUP(L$2,TRANSPOSE(Stock.List),table.delta),_xlfn.XLOOKUP($K31,TRANSPOSE(Stock.List),table.delta))</f>
        <v>-4.89213618426829E-5</v>
      </c>
      <c r="M31" s="9" cm="1">
        <f t="array" aca="1" ref="M31" ca="1">_xlfn.COVARIANCE.P(_xlfn.XLOOKUP(M$2,TRANSPOSE(Stock.List),table.delta),_xlfn.XLOOKUP($K31,TRANSPOSE(Stock.List),table.delta))</f>
        <v>-1.1662365593746167E-7</v>
      </c>
      <c r="N31" s="9" cm="1">
        <f t="array" aca="1" ref="N31" ca="1">_xlfn.COVARIANCE.P(_xlfn.XLOOKUP(N$2,TRANSPOSE(Stock.List),table.delta),_xlfn.XLOOKUP($K31,TRANSPOSE(Stock.List),table.delta))</f>
        <v>5.5661718421670293E-6</v>
      </c>
      <c r="O31" s="9" cm="1">
        <f t="array" aca="1" ref="O31" ca="1">_xlfn.COVARIANCE.P(_xlfn.XLOOKUP(O$2,TRANSPOSE(Stock.List),table.delta),_xlfn.XLOOKUP($K31,TRANSPOSE(Stock.List),table.delta))</f>
        <v>4.1214903902555082E-5</v>
      </c>
      <c r="P31" s="9" cm="1">
        <f t="array" aca="1" ref="P31" ca="1">_xlfn.COVARIANCE.P(_xlfn.XLOOKUP(P$2,TRANSPOSE(Stock.List),table.delta),_xlfn.XLOOKUP($K31,TRANSPOSE(Stock.List),table.delta))</f>
        <v>1.7803064847565389E-5</v>
      </c>
      <c r="Q31" s="9" cm="1">
        <f t="array" aca="1" ref="Q31" ca="1">_xlfn.COVARIANCE.P(_xlfn.XLOOKUP(Q$2,TRANSPOSE(Stock.List),table.delta),_xlfn.XLOOKUP($K31,TRANSPOSE(Stock.List),table.delta))</f>
        <v>2.512490413323656E-5</v>
      </c>
      <c r="R31" s="9" cm="1">
        <f t="array" aca="1" ref="R31" ca="1">_xlfn.COVARIANCE.P(_xlfn.XLOOKUP(R$2,TRANSPOSE(Stock.List),table.delta),_xlfn.XLOOKUP($K31,TRANSPOSE(Stock.List),table.delta))</f>
        <v>2.1899076052158486E-5</v>
      </c>
      <c r="S31" s="9" cm="1">
        <f t="array" aca="1" ref="S31" ca="1">_xlfn.COVARIANCE.P(_xlfn.XLOOKUP(S$2,TRANSPOSE(Stock.List),table.delta),_xlfn.XLOOKUP($K31,TRANSPOSE(Stock.List),table.delta))</f>
        <v>2.4206928318902812E-5</v>
      </c>
      <c r="T31" s="9" cm="1">
        <f t="array" aca="1" ref="T31" ca="1">_xlfn.COVARIANCE.P(_xlfn.XLOOKUP(T$2,TRANSPOSE(Stock.List),table.delta),_xlfn.XLOOKUP($K31,TRANSPOSE(Stock.List),table.delta))</f>
        <v>3.0036528895494436E-5</v>
      </c>
      <c r="U31" s="9" cm="1">
        <f t="array" aca="1" ref="U31" ca="1">_xlfn.COVARIANCE.P(_xlfn.XLOOKUP(U$2,TRANSPOSE(Stock.List),table.delta),_xlfn.XLOOKUP($K31,TRANSPOSE(Stock.List),table.delta))</f>
        <v>2.6862751531203817E-5</v>
      </c>
      <c r="V31" s="9" cm="1">
        <f t="array" aca="1" ref="V31" ca="1">_xlfn.COVARIANCE.P(_xlfn.XLOOKUP(V$2,TRANSPOSE(Stock.List),table.delta),_xlfn.XLOOKUP($K31,TRANSPOSE(Stock.List),table.delta))</f>
        <v>2.1227175207782256E-4</v>
      </c>
      <c r="W31" s="9" cm="1">
        <f t="array" aca="1" ref="W31" ca="1">_xlfn.COVARIANCE.P(_xlfn.XLOOKUP(W$2,TRANSPOSE(Stock.List),table.delta),_xlfn.XLOOKUP($K31,TRANSPOSE(Stock.List),table.delta))</f>
        <v>2.8626285621753594E-5</v>
      </c>
      <c r="X31" s="9" cm="1">
        <f t="array" aca="1" ref="X31" ca="1">_xlfn.COVARIANCE.P(_xlfn.XLOOKUP(X$2,TRANSPOSE(Stock.List),table.delta),_xlfn.XLOOKUP($K31,TRANSPOSE(Stock.List),table.delta))</f>
        <v>-9.2193817436356644E-5</v>
      </c>
      <c r="Y31" s="9" cm="1">
        <f t="array" aca="1" ref="Y31" ca="1">_xlfn.COVARIANCE.P(_xlfn.XLOOKUP(Y$2,TRANSPOSE(Stock.List),table.delta),_xlfn.XLOOKUP($K31,TRANSPOSE(Stock.List),table.delta))</f>
        <v>3.415103986625129E-5</v>
      </c>
      <c r="Z31" s="9" cm="1">
        <f t="array" aca="1" ref="Z31" ca="1">_xlfn.COVARIANCE.P(_xlfn.XLOOKUP(Z$2,TRANSPOSE(Stock.List),table.delta),_xlfn.XLOOKUP($K31,TRANSPOSE(Stock.List),table.delta))</f>
        <v>-6.8987750407927944E-5</v>
      </c>
    </row>
    <row r="32" spans="2:26" x14ac:dyDescent="0.25">
      <c r="J32" s="7">
        <v>0.02</v>
      </c>
      <c r="K32" s="12" t="str">
        <f ca="1"/>
        <v>ALL</v>
      </c>
      <c r="L32" s="9" cm="1">
        <f t="array" aca="1" ref="L32" ca="1">_xlfn.COVARIANCE.P(_xlfn.XLOOKUP(L$2,TRANSPOSE(Stock.List),table.delta),_xlfn.XLOOKUP($K32,TRANSPOSE(Stock.List),table.delta))</f>
        <v>-1.2290092517180199E-5</v>
      </c>
      <c r="M32" s="9" cm="1">
        <f t="array" aca="1" ref="M32" ca="1">_xlfn.COVARIANCE.P(_xlfn.XLOOKUP(M$2,TRANSPOSE(Stock.List),table.delta),_xlfn.XLOOKUP($K32,TRANSPOSE(Stock.List),table.delta))</f>
        <v>-1.3360893289246221E-5</v>
      </c>
      <c r="N32" s="9" cm="1">
        <f t="array" aca="1" ref="N32" ca="1">_xlfn.COVARIANCE.P(_xlfn.XLOOKUP(N$2,TRANSPOSE(Stock.List),table.delta),_xlfn.XLOOKUP($K32,TRANSPOSE(Stock.List),table.delta))</f>
        <v>-5.4617453598544966E-6</v>
      </c>
      <c r="O32" s="9" cm="1">
        <f t="array" aca="1" ref="O32" ca="1">_xlfn.COVARIANCE.P(_xlfn.XLOOKUP(O$2,TRANSPOSE(Stock.List),table.delta),_xlfn.XLOOKUP($K32,TRANSPOSE(Stock.List),table.delta))</f>
        <v>3.9668575137988396E-5</v>
      </c>
      <c r="P32" s="9" cm="1">
        <f t="array" aca="1" ref="P32" ca="1">_xlfn.COVARIANCE.P(_xlfn.XLOOKUP(P$2,TRANSPOSE(Stock.List),table.delta),_xlfn.XLOOKUP($K32,TRANSPOSE(Stock.List),table.delta))</f>
        <v>4.4969227259129541E-5</v>
      </c>
      <c r="Q32" s="9" cm="1">
        <f t="array" aca="1" ref="Q32" ca="1">_xlfn.COVARIANCE.P(_xlfn.XLOOKUP(Q$2,TRANSPOSE(Stock.List),table.delta),_xlfn.XLOOKUP($K32,TRANSPOSE(Stock.List),table.delta))</f>
        <v>6.7506062602394663E-5</v>
      </c>
      <c r="R32" s="9" cm="1">
        <f t="array" aca="1" ref="R32" ca="1">_xlfn.COVARIANCE.P(_xlfn.XLOOKUP(R$2,TRANSPOSE(Stock.List),table.delta),_xlfn.XLOOKUP($K32,TRANSPOSE(Stock.List),table.delta))</f>
        <v>5.062160931612566E-5</v>
      </c>
      <c r="S32" s="9" cm="1">
        <f t="array" aca="1" ref="S32" ca="1">_xlfn.COVARIANCE.P(_xlfn.XLOOKUP(S$2,TRANSPOSE(Stock.List),table.delta),_xlfn.XLOOKUP($K32,TRANSPOSE(Stock.List),table.delta))</f>
        <v>3.6118810941682033E-5</v>
      </c>
      <c r="T32" s="9" cm="1">
        <f t="array" aca="1" ref="T32" ca="1">_xlfn.COVARIANCE.P(_xlfn.XLOOKUP(T$2,TRANSPOSE(Stock.List),table.delta),_xlfn.XLOOKUP($K32,TRANSPOSE(Stock.List),table.delta))</f>
        <v>7.260320877236218E-6</v>
      </c>
      <c r="U32" s="9" cm="1">
        <f t="array" aca="1" ref="U32" ca="1">_xlfn.COVARIANCE.P(_xlfn.XLOOKUP(U$2,TRANSPOSE(Stock.List),table.delta),_xlfn.XLOOKUP($K32,TRANSPOSE(Stock.List),table.delta))</f>
        <v>2.2096592688409937E-5</v>
      </c>
      <c r="V32" s="9" cm="1">
        <f t="array" aca="1" ref="V32" ca="1">_xlfn.COVARIANCE.P(_xlfn.XLOOKUP(V$2,TRANSPOSE(Stock.List),table.delta),_xlfn.XLOOKUP($K32,TRANSPOSE(Stock.List),table.delta))</f>
        <v>2.8626285621753594E-5</v>
      </c>
      <c r="W32" s="9" cm="1">
        <f t="array" aca="1" ref="W32" ca="1">_xlfn.COVARIANCE.P(_xlfn.XLOOKUP(W$2,TRANSPOSE(Stock.List),table.delta),_xlfn.XLOOKUP($K32,TRANSPOSE(Stock.List),table.delta))</f>
        <v>2.0506941006481386E-4</v>
      </c>
      <c r="X32" s="9" cm="1">
        <f t="array" aca="1" ref="X32" ca="1">_xlfn.COVARIANCE.P(_xlfn.XLOOKUP(X$2,TRANSPOSE(Stock.List),table.delta),_xlfn.XLOOKUP($K32,TRANSPOSE(Stock.List),table.delta))</f>
        <v>-8.5809244644167342E-5</v>
      </c>
      <c r="Y32" s="9" cm="1">
        <f t="array" aca="1" ref="Y32" ca="1">_xlfn.COVARIANCE.P(_xlfn.XLOOKUP(Y$2,TRANSPOSE(Stock.List),table.delta),_xlfn.XLOOKUP($K32,TRANSPOSE(Stock.List),table.delta))</f>
        <v>1.2120184018598329E-5</v>
      </c>
      <c r="Z32" s="9" cm="1">
        <f t="array" aca="1" ref="Z32" ca="1">_xlfn.COVARIANCE.P(_xlfn.XLOOKUP(Z$2,TRANSPOSE(Stock.List),table.delta),_xlfn.XLOOKUP($K32,TRANSPOSE(Stock.List),table.delta))</f>
        <v>-4.9689415447856521E-5</v>
      </c>
    </row>
    <row r="33" spans="6:31" x14ac:dyDescent="0.25">
      <c r="J33" s="7">
        <v>0.20000019028534172</v>
      </c>
      <c r="K33" s="12" t="str">
        <f ca="1"/>
        <v>NVDA</v>
      </c>
      <c r="L33" s="9" cm="1">
        <f t="array" aca="1" ref="L33" ca="1">_xlfn.COVARIANCE.P(_xlfn.XLOOKUP(L$2,TRANSPOSE(Stock.List),table.delta),_xlfn.XLOOKUP($K33,TRANSPOSE(Stock.List),table.delta))</f>
        <v>3.4569166085522365E-4</v>
      </c>
      <c r="M33" s="9" cm="1">
        <f t="array" aca="1" ref="M33" ca="1">_xlfn.COVARIANCE.P(_xlfn.XLOOKUP(M$2,TRANSPOSE(Stock.List),table.delta),_xlfn.XLOOKUP($K33,TRANSPOSE(Stock.List),table.delta))</f>
        <v>2.3198770961557996E-4</v>
      </c>
      <c r="N33" s="9" cm="1">
        <f t="array" aca="1" ref="N33" ca="1">_xlfn.COVARIANCE.P(_xlfn.XLOOKUP(N$2,TRANSPOSE(Stock.List),table.delta),_xlfn.XLOOKUP($K33,TRANSPOSE(Stock.List),table.delta))</f>
        <v>2.0924056520765758E-4</v>
      </c>
      <c r="O33" s="9" cm="1">
        <f t="array" aca="1" ref="O33" ca="1">_xlfn.COVARIANCE.P(_xlfn.XLOOKUP(O$2,TRANSPOSE(Stock.List),table.delta),_xlfn.XLOOKUP($K33,TRANSPOSE(Stock.List),table.delta))</f>
        <v>5.0163650792796986E-5</v>
      </c>
      <c r="P33" s="9" cm="1">
        <f t="array" aca="1" ref="P33" ca="1">_xlfn.COVARIANCE.P(_xlfn.XLOOKUP(P$2,TRANSPOSE(Stock.List),table.delta),_xlfn.XLOOKUP($K33,TRANSPOSE(Stock.List),table.delta))</f>
        <v>-9.7074320834903091E-5</v>
      </c>
      <c r="Q33" s="9" cm="1">
        <f t="array" aca="1" ref="Q33" ca="1">_xlfn.COVARIANCE.P(_xlfn.XLOOKUP(Q$2,TRANSPOSE(Stock.List),table.delta),_xlfn.XLOOKUP($K33,TRANSPOSE(Stock.List),table.delta))</f>
        <v>4.6708353063357061E-5</v>
      </c>
      <c r="R33" s="9" cm="1">
        <f t="array" aca="1" ref="R33" ca="1">_xlfn.COVARIANCE.P(_xlfn.XLOOKUP(R$2,TRANSPOSE(Stock.List),table.delta),_xlfn.XLOOKUP($K33,TRANSPOSE(Stock.List),table.delta))</f>
        <v>-3.6024184801053704E-5</v>
      </c>
      <c r="S33" s="9" cm="1">
        <f t="array" aca="1" ref="S33" ca="1">_xlfn.COVARIANCE.P(_xlfn.XLOOKUP(S$2,TRANSPOSE(Stock.List),table.delta),_xlfn.XLOOKUP($K33,TRANSPOSE(Stock.List),table.delta))</f>
        <v>-3.468155161446415E-5</v>
      </c>
      <c r="T33" s="9" cm="1">
        <f t="array" aca="1" ref="T33" ca="1">_xlfn.COVARIANCE.P(_xlfn.XLOOKUP(T$2,TRANSPOSE(Stock.List),table.delta),_xlfn.XLOOKUP($K33,TRANSPOSE(Stock.List),table.delta))</f>
        <v>1.2883592152660399E-4</v>
      </c>
      <c r="U33" s="9" cm="1">
        <f t="array" aca="1" ref="U33" ca="1">_xlfn.COVARIANCE.P(_xlfn.XLOOKUP(U$2,TRANSPOSE(Stock.List),table.delta),_xlfn.XLOOKUP($K33,TRANSPOSE(Stock.List),table.delta))</f>
        <v>1.3428967780034864E-4</v>
      </c>
      <c r="V33" s="9" cm="1">
        <f t="array" aca="1" ref="V33" ca="1">_xlfn.COVARIANCE.P(_xlfn.XLOOKUP(V$2,TRANSPOSE(Stock.List),table.delta),_xlfn.XLOOKUP($K33,TRANSPOSE(Stock.List),table.delta))</f>
        <v>-9.2193817436356644E-5</v>
      </c>
      <c r="W33" s="9" cm="1">
        <f t="array" aca="1" ref="W33" ca="1">_xlfn.COVARIANCE.P(_xlfn.XLOOKUP(W$2,TRANSPOSE(Stock.List),table.delta),_xlfn.XLOOKUP($K33,TRANSPOSE(Stock.List),table.delta))</f>
        <v>-8.5809244644167342E-5</v>
      </c>
      <c r="X33" s="9" cm="1">
        <f t="array" aca="1" ref="X33" ca="1">_xlfn.COVARIANCE.P(_xlfn.XLOOKUP(X$2,TRANSPOSE(Stock.List),table.delta),_xlfn.XLOOKUP($K33,TRANSPOSE(Stock.List),table.delta))</f>
        <v>1.1833937460483906E-3</v>
      </c>
      <c r="Y33" s="9" cm="1">
        <f t="array" aca="1" ref="Y33" ca="1">_xlfn.COVARIANCE.P(_xlfn.XLOOKUP(Y$2,TRANSPOSE(Stock.List),table.delta),_xlfn.XLOOKUP($K33,TRANSPOSE(Stock.List),table.delta))</f>
        <v>9.2325510936010007E-5</v>
      </c>
      <c r="Z33" s="9" cm="1">
        <f t="array" aca="1" ref="Z33" ca="1">_xlfn.COVARIANCE.P(_xlfn.XLOOKUP(Z$2,TRANSPOSE(Stock.List),table.delta),_xlfn.XLOOKUP($K33,TRANSPOSE(Stock.List),table.delta))</f>
        <v>7.4070088868684336E-4</v>
      </c>
    </row>
    <row r="34" spans="6:31" x14ac:dyDescent="0.25">
      <c r="J34" s="7">
        <v>0.02</v>
      </c>
      <c r="K34" s="12" t="str">
        <f ca="1"/>
        <v>CSCO</v>
      </c>
      <c r="L34" s="9" cm="1">
        <f t="array" aca="1" ref="L34" ca="1">_xlfn.COVARIANCE.P(_xlfn.XLOOKUP(L$2,TRANSPOSE(Stock.List),table.delta),_xlfn.XLOOKUP($K34,TRANSPOSE(Stock.List),table.delta))</f>
        <v>7.8349908489553732E-5</v>
      </c>
      <c r="M34" s="9" cm="1">
        <f t="array" aca="1" ref="M34" ca="1">_xlfn.COVARIANCE.P(_xlfn.XLOOKUP(M$2,TRANSPOSE(Stock.List),table.delta),_xlfn.XLOOKUP($K34,TRANSPOSE(Stock.List),table.delta))</f>
        <v>6.2739111265650322E-5</v>
      </c>
      <c r="N34" s="9" cm="1">
        <f t="array" aca="1" ref="N34" ca="1">_xlfn.COVARIANCE.P(_xlfn.XLOOKUP(N$2,TRANSPOSE(Stock.List),table.delta),_xlfn.XLOOKUP($K34,TRANSPOSE(Stock.List),table.delta))</f>
        <v>3.8177880497504555E-5</v>
      </c>
      <c r="O34" s="9" cm="1">
        <f t="array" aca="1" ref="O34" ca="1">_xlfn.COVARIANCE.P(_xlfn.XLOOKUP(O$2,TRANSPOSE(Stock.List),table.delta),_xlfn.XLOOKUP($K34,TRANSPOSE(Stock.List),table.delta))</f>
        <v>3.9943016923088988E-5</v>
      </c>
      <c r="P34" s="9" cm="1">
        <f t="array" aca="1" ref="P34" ca="1">_xlfn.COVARIANCE.P(_xlfn.XLOOKUP(P$2,TRANSPOSE(Stock.List),table.delta),_xlfn.XLOOKUP($K34,TRANSPOSE(Stock.List),table.delta))</f>
        <v>-1.3887791957621911E-6</v>
      </c>
      <c r="Q34" s="9" cm="1">
        <f t="array" aca="1" ref="Q34" ca="1">_xlfn.COVARIANCE.P(_xlfn.XLOOKUP(Q$2,TRANSPOSE(Stock.List),table.delta),_xlfn.XLOOKUP($K34,TRANSPOSE(Stock.List),table.delta))</f>
        <v>6.3385407868878771E-5</v>
      </c>
      <c r="R34" s="9" cm="1">
        <f t="array" aca="1" ref="R34" ca="1">_xlfn.COVARIANCE.P(_xlfn.XLOOKUP(R$2,TRANSPOSE(Stock.List),table.delta),_xlfn.XLOOKUP($K34,TRANSPOSE(Stock.List),table.delta))</f>
        <v>4.526058803111717E-5</v>
      </c>
      <c r="S34" s="9" cm="1">
        <f t="array" aca="1" ref="S34" ca="1">_xlfn.COVARIANCE.P(_xlfn.XLOOKUP(S$2,TRANSPOSE(Stock.List),table.delta),_xlfn.XLOOKUP($K34,TRANSPOSE(Stock.List),table.delta))</f>
        <v>2.3457577190361664E-5</v>
      </c>
      <c r="T34" s="9" cm="1">
        <f t="array" aca="1" ref="T34" ca="1">_xlfn.COVARIANCE.P(_xlfn.XLOOKUP(T$2,TRANSPOSE(Stock.List),table.delta),_xlfn.XLOOKUP($K34,TRANSPOSE(Stock.List),table.delta))</f>
        <v>3.9010214003787396E-5</v>
      </c>
      <c r="U34" s="9" cm="1">
        <f t="array" aca="1" ref="U34" ca="1">_xlfn.COVARIANCE.P(_xlfn.XLOOKUP(U$2,TRANSPOSE(Stock.List),table.delta),_xlfn.XLOOKUP($K34,TRANSPOSE(Stock.List),table.delta))</f>
        <v>3.1640774167002797E-5</v>
      </c>
      <c r="V34" s="9" cm="1">
        <f t="array" aca="1" ref="V34" ca="1">_xlfn.COVARIANCE.P(_xlfn.XLOOKUP(V$2,TRANSPOSE(Stock.List),table.delta),_xlfn.XLOOKUP($K34,TRANSPOSE(Stock.List),table.delta))</f>
        <v>3.415103986625129E-5</v>
      </c>
      <c r="W34" s="9" cm="1">
        <f t="array" aca="1" ref="W34" ca="1">_xlfn.COVARIANCE.P(_xlfn.XLOOKUP(W$2,TRANSPOSE(Stock.List),table.delta),_xlfn.XLOOKUP($K34,TRANSPOSE(Stock.List),table.delta))</f>
        <v>1.2120184018598329E-5</v>
      </c>
      <c r="X34" s="9" cm="1">
        <f t="array" aca="1" ref="X34" ca="1">_xlfn.COVARIANCE.P(_xlfn.XLOOKUP(X$2,TRANSPOSE(Stock.List),table.delta),_xlfn.XLOOKUP($K34,TRANSPOSE(Stock.List),table.delta))</f>
        <v>9.2325510936010007E-5</v>
      </c>
      <c r="Y34" s="9" cm="1">
        <f t="array" aca="1" ref="Y34" ca="1">_xlfn.COVARIANCE.P(_xlfn.XLOOKUP(Y$2,TRANSPOSE(Stock.List),table.delta),_xlfn.XLOOKUP($K34,TRANSPOSE(Stock.List),table.delta))</f>
        <v>1.3469925357206664E-4</v>
      </c>
      <c r="Z34" s="9" cm="1">
        <f t="array" aca="1" ref="Z34" ca="1">_xlfn.COVARIANCE.P(_xlfn.XLOOKUP(Z$2,TRANSPOSE(Stock.List),table.delta),_xlfn.XLOOKUP($K34,TRANSPOSE(Stock.List),table.delta))</f>
        <v>9.8477232525771776E-5</v>
      </c>
    </row>
    <row r="35" spans="6:31" x14ac:dyDescent="0.25">
      <c r="J35" s="7">
        <v>0.2</v>
      </c>
      <c r="K35" s="12" t="str">
        <f ca="1"/>
        <v>AVGO</v>
      </c>
      <c r="L35" s="9" cm="1">
        <f t="array" aca="1" ref="L35" ca="1">_xlfn.COVARIANCE.P(_xlfn.XLOOKUP(L$2,TRANSPOSE(Stock.List),table.delta),_xlfn.XLOOKUP($K35,TRANSPOSE(Stock.List),table.delta))</f>
        <v>5.3949587832881807E-4</v>
      </c>
      <c r="M35" s="9" cm="1">
        <f t="array" aca="1" ref="M35" ca="1">_xlfn.COVARIANCE.P(_xlfn.XLOOKUP(M$2,TRANSPOSE(Stock.List),table.delta),_xlfn.XLOOKUP($K35,TRANSPOSE(Stock.List),table.delta))</f>
        <v>2.4138344712007584E-4</v>
      </c>
      <c r="N35" s="9" cm="1">
        <f t="array" aca="1" ref="N35" ca="1">_xlfn.COVARIANCE.P(_xlfn.XLOOKUP(N$2,TRANSPOSE(Stock.List),table.delta),_xlfn.XLOOKUP($K35,TRANSPOSE(Stock.List),table.delta))</f>
        <v>1.9471252841419553E-4</v>
      </c>
      <c r="O35" s="9" cm="1">
        <f t="array" aca="1" ref="O35" ca="1">_xlfn.COVARIANCE.P(_xlfn.XLOOKUP(O$2,TRANSPOSE(Stock.List),table.delta),_xlfn.XLOOKUP($K35,TRANSPOSE(Stock.List),table.delta))</f>
        <v>1.0834694859515406E-4</v>
      </c>
      <c r="P35" s="9" cm="1">
        <f t="array" aca="1" ref="P35" ca="1">_xlfn.COVARIANCE.P(_xlfn.XLOOKUP(P$2,TRANSPOSE(Stock.List),table.delta),_xlfn.XLOOKUP($K35,TRANSPOSE(Stock.List),table.delta))</f>
        <v>-7.05151487749513E-5</v>
      </c>
      <c r="Q35" s="9" cm="1">
        <f t="array" aca="1" ref="Q35" ca="1">_xlfn.COVARIANCE.P(_xlfn.XLOOKUP(Q$2,TRANSPOSE(Stock.List),table.delta),_xlfn.XLOOKUP($K35,TRANSPOSE(Stock.List),table.delta))</f>
        <v>4.8544124589705931E-5</v>
      </c>
      <c r="R35" s="9" cm="1">
        <f t="array" aca="1" ref="R35" ca="1">_xlfn.COVARIANCE.P(_xlfn.XLOOKUP(R$2,TRANSPOSE(Stock.List),table.delta),_xlfn.XLOOKUP($K35,TRANSPOSE(Stock.List),table.delta))</f>
        <v>-4.3020185763579566E-5</v>
      </c>
      <c r="S35" s="9" cm="1">
        <f t="array" aca="1" ref="S35" ca="1">_xlfn.COVARIANCE.P(_xlfn.XLOOKUP(S$2,TRANSPOSE(Stock.List),table.delta),_xlfn.XLOOKUP($K35,TRANSPOSE(Stock.List),table.delta))</f>
        <v>-4.7582523459761132E-5</v>
      </c>
      <c r="T35" s="9" cm="1">
        <f t="array" aca="1" ref="T35" ca="1">_xlfn.COVARIANCE.P(_xlfn.XLOOKUP(T$2,TRANSPOSE(Stock.List),table.delta),_xlfn.XLOOKUP($K35,TRANSPOSE(Stock.List),table.delta))</f>
        <v>8.1811774507291614E-5</v>
      </c>
      <c r="U35" s="9" cm="1">
        <f t="array" aca="1" ref="U35" ca="1">_xlfn.COVARIANCE.P(_xlfn.XLOOKUP(U$2,TRANSPOSE(Stock.List),table.delta),_xlfn.XLOOKUP($K35,TRANSPOSE(Stock.List),table.delta))</f>
        <v>1.2591848719162118E-4</v>
      </c>
      <c r="V35" s="9" cm="1">
        <f t="array" aca="1" ref="V35" ca="1">_xlfn.COVARIANCE.P(_xlfn.XLOOKUP(V$2,TRANSPOSE(Stock.List),table.delta),_xlfn.XLOOKUP($K35,TRANSPOSE(Stock.List),table.delta))</f>
        <v>-6.8987750407927944E-5</v>
      </c>
      <c r="W35" s="9" cm="1">
        <f t="array" aca="1" ref="W35" ca="1">_xlfn.COVARIANCE.P(_xlfn.XLOOKUP(W$2,TRANSPOSE(Stock.List),table.delta),_xlfn.XLOOKUP($K35,TRANSPOSE(Stock.List),table.delta))</f>
        <v>-4.9689415447856521E-5</v>
      </c>
      <c r="X35" s="9" cm="1">
        <f t="array" aca="1" ref="X35" ca="1">_xlfn.COVARIANCE.P(_xlfn.XLOOKUP(X$2,TRANSPOSE(Stock.List),table.delta),_xlfn.XLOOKUP($K35,TRANSPOSE(Stock.List),table.delta))</f>
        <v>7.4070088868684336E-4</v>
      </c>
      <c r="Y35" s="9" cm="1">
        <f t="array" aca="1" ref="Y35" ca="1">_xlfn.COVARIANCE.P(_xlfn.XLOOKUP(Y$2,TRANSPOSE(Stock.List),table.delta),_xlfn.XLOOKUP($K35,TRANSPOSE(Stock.List),table.delta))</f>
        <v>9.8477232525771776E-5</v>
      </c>
      <c r="Z35" s="9" cm="1">
        <f t="array" aca="1" ref="Z35" ca="1">_xlfn.COVARIANCE.P(_xlfn.XLOOKUP(Z$2,TRANSPOSE(Stock.List),table.delta),_xlfn.XLOOKUP($K35,TRANSPOSE(Stock.List),table.delta))</f>
        <v>1.2961394761849172E-3</v>
      </c>
    </row>
    <row r="37" spans="6:31" x14ac:dyDescent="0.25">
      <c r="K37" t="s">
        <v>11</v>
      </c>
      <c r="L37" s="25" cm="1">
        <f t="array" ref="L37:Z37">+TRANSPOSE(Weights)</f>
        <v>0.2</v>
      </c>
      <c r="M37" s="6">
        <v>9.1173120149946579E-2</v>
      </c>
      <c r="N37" s="6">
        <v>0.10882668956487575</v>
      </c>
      <c r="O37" s="6">
        <v>0.02</v>
      </c>
      <c r="P37" s="6">
        <v>0.02</v>
      </c>
      <c r="Q37" s="6">
        <v>0.02</v>
      </c>
      <c r="R37" s="6">
        <v>0.02</v>
      </c>
      <c r="S37" s="6">
        <v>0.02</v>
      </c>
      <c r="T37" s="6">
        <v>0.02</v>
      </c>
      <c r="U37" s="6">
        <v>2.0000000000000004E-2</v>
      </c>
      <c r="V37" s="6">
        <v>0.02</v>
      </c>
      <c r="W37" s="6">
        <v>0.02</v>
      </c>
      <c r="X37" s="6">
        <v>0.20000019028534172</v>
      </c>
      <c r="Y37" s="6">
        <v>0.02</v>
      </c>
      <c r="Z37" s="6">
        <v>0.2</v>
      </c>
    </row>
    <row r="38" spans="6:31" x14ac:dyDescent="0.25">
      <c r="K38" s="5" t="s">
        <v>22</v>
      </c>
      <c r="L38" s="25">
        <f t="shared" ref="L38:Z38" ca="1" si="0">SUMPRODUCT(L21:L35,Weights)</f>
        <v>5.6280910074113424E-4</v>
      </c>
      <c r="M38" s="25">
        <f t="shared" ca="1" si="0"/>
        <v>1.9347000807210001E-4</v>
      </c>
      <c r="N38" s="25">
        <f t="shared" ca="1" si="0"/>
        <v>1.5048745568098292E-4</v>
      </c>
      <c r="O38" s="25">
        <f t="shared" ca="1" si="0"/>
        <v>6.8356410650237956E-5</v>
      </c>
      <c r="P38" s="25">
        <f t="shared" ca="1" si="0"/>
        <v>-3.9030325939063863E-5</v>
      </c>
      <c r="Q38" s="25">
        <f t="shared" ca="1" si="0"/>
        <v>7.0659637449125673E-5</v>
      </c>
      <c r="R38" s="25">
        <f t="shared" ca="1" si="0"/>
        <v>-6.7227276322943764E-6</v>
      </c>
      <c r="S38" s="25">
        <f t="shared" ca="1" si="0"/>
        <v>-1.2786892238346424E-5</v>
      </c>
      <c r="T38" s="25">
        <f t="shared" ca="1" si="0"/>
        <v>1.034986863481282E-4</v>
      </c>
      <c r="U38" s="25">
        <f t="shared" ca="1" si="0"/>
        <v>8.7046946404499304E-5</v>
      </c>
      <c r="V38" s="25">
        <f t="shared" ca="1" si="0"/>
        <v>-3.2181543663049518E-5</v>
      </c>
      <c r="W38" s="25">
        <f t="shared" ca="1" si="0"/>
        <v>-2.1089163275449958E-5</v>
      </c>
      <c r="X38" s="25">
        <f t="shared" ca="1" si="0"/>
        <v>5.0001028555266339E-4</v>
      </c>
      <c r="Y38" s="25">
        <f t="shared" ca="1" si="0"/>
        <v>7.2151026366037169E-5</v>
      </c>
      <c r="Z38" s="25">
        <f t="shared" ca="1" si="0"/>
        <v>5.6213106236635752E-4</v>
      </c>
    </row>
    <row r="39" spans="6:31" x14ac:dyDescent="0.25">
      <c r="K39" s="5" t="s">
        <v>23</v>
      </c>
      <c r="L39" s="25">
        <f ca="1">L38*L37</f>
        <v>1.1256182014822685E-4</v>
      </c>
      <c r="M39" s="25">
        <f t="shared" ref="M39:Z39" ca="1" si="1">M38*M37</f>
        <v>1.7639264291368709E-5</v>
      </c>
      <c r="N39" s="25">
        <f t="shared" ca="1" si="1"/>
        <v>1.6377051622802325E-5</v>
      </c>
      <c r="O39" s="25">
        <f t="shared" ca="1" si="1"/>
        <v>1.3671282130047592E-6</v>
      </c>
      <c r="P39" s="25">
        <f t="shared" ca="1" si="1"/>
        <v>-7.8060651878127727E-7</v>
      </c>
      <c r="Q39" s="25">
        <f t="shared" ca="1" si="1"/>
        <v>1.4131927489825136E-6</v>
      </c>
      <c r="R39" s="25">
        <f t="shared" ca="1" si="1"/>
        <v>-1.3445455264588754E-7</v>
      </c>
      <c r="S39" s="25">
        <f t="shared" ca="1" si="1"/>
        <v>-2.5573784476692851E-7</v>
      </c>
      <c r="T39" s="25">
        <f t="shared" ca="1" si="1"/>
        <v>2.0699737269625639E-6</v>
      </c>
      <c r="U39" s="25">
        <f t="shared" ca="1" si="1"/>
        <v>1.7409389280899863E-6</v>
      </c>
      <c r="V39" s="25">
        <f t="shared" ca="1" si="1"/>
        <v>-6.4363087326099038E-7</v>
      </c>
      <c r="W39" s="25">
        <f t="shared" ca="1" si="1"/>
        <v>-4.2178326550899914E-7</v>
      </c>
      <c r="X39" s="25">
        <f t="shared" ca="1" si="1"/>
        <v>1.0000215225516073E-4</v>
      </c>
      <c r="Y39" s="25">
        <f t="shared" ca="1" si="1"/>
        <v>1.4430205273207434E-6</v>
      </c>
      <c r="Z39" s="25">
        <f t="shared" ca="1" si="1"/>
        <v>1.124262124732715E-4</v>
      </c>
    </row>
    <row r="40" spans="6:31" x14ac:dyDescent="0.25">
      <c r="K40" s="5" t="s">
        <v>24</v>
      </c>
      <c r="L40" s="25">
        <f ca="1">SUM(L39:Z39)</f>
        <v>3.6480454188022655E-4</v>
      </c>
      <c r="M40" s="6"/>
      <c r="N40" s="6"/>
      <c r="O40" s="6"/>
      <c r="P40" s="6"/>
      <c r="Q40" s="6"/>
      <c r="R40" s="6"/>
      <c r="S40" s="6"/>
      <c r="T40" s="6"/>
      <c r="U40" s="6"/>
      <c r="V40" s="6"/>
      <c r="W40" s="6"/>
      <c r="X40" s="6"/>
      <c r="Y40" s="6"/>
      <c r="Z40" s="6"/>
    </row>
    <row r="41" spans="6:31" x14ac:dyDescent="0.25">
      <c r="K41" s="5" t="s">
        <v>25</v>
      </c>
      <c r="L41" s="26">
        <f ca="1">SQRT(L40)</f>
        <v>1.9099857116748976E-2</v>
      </c>
      <c r="M41" s="6" t="s">
        <v>26</v>
      </c>
      <c r="N41" s="6"/>
      <c r="O41" s="6"/>
      <c r="P41" s="6"/>
      <c r="Q41" s="6"/>
      <c r="R41" s="6"/>
      <c r="S41" s="6"/>
      <c r="T41" s="6"/>
      <c r="U41" s="6"/>
      <c r="V41" s="6"/>
      <c r="W41" s="6"/>
      <c r="X41" s="6"/>
      <c r="Y41" s="6"/>
      <c r="Z41" s="6"/>
    </row>
    <row r="44" spans="6:31" ht="15.75" thickBot="1" x14ac:dyDescent="0.3"/>
    <row r="45" spans="6:31" ht="15.75" thickBot="1" x14ac:dyDescent="0.3">
      <c r="F45" t="s">
        <v>19</v>
      </c>
      <c r="G45" s="31">
        <v>0.30499999999999999</v>
      </c>
    </row>
    <row r="46" spans="6:31" x14ac:dyDescent="0.25">
      <c r="F46" t="s">
        <v>13</v>
      </c>
      <c r="G46" s="32">
        <f ca="1">+Risk</f>
        <v>0.30500025931047625</v>
      </c>
      <c r="H46" s="32">
        <v>0.30500025931047625</v>
      </c>
      <c r="J46" s="32">
        <v>0.30500025931047625</v>
      </c>
      <c r="K46" s="32">
        <v>0.3000002335114107</v>
      </c>
      <c r="L46" s="32">
        <v>0.27499997502970186</v>
      </c>
      <c r="M46" s="32">
        <v>0.24999990338549408</v>
      </c>
      <c r="N46" s="32">
        <v>0.22500012513017817</v>
      </c>
      <c r="O46" s="32">
        <v>0.20000000696891687</v>
      </c>
      <c r="P46" s="32">
        <v>0.17499999795252799</v>
      </c>
      <c r="Q46" s="32">
        <v>0.1499999389827846</v>
      </c>
      <c r="R46" s="32">
        <v>0.12499999784202441</v>
      </c>
      <c r="S46" s="32">
        <v>0.10000009492219404</v>
      </c>
      <c r="T46" s="32">
        <v>9.5000290810991456E-2</v>
      </c>
      <c r="U46" s="29">
        <v>0.30499988719013499</v>
      </c>
      <c r="V46" s="29">
        <v>0.29999989186204057</v>
      </c>
      <c r="W46" s="29">
        <v>0.27499984583978665</v>
      </c>
      <c r="X46" s="29">
        <v>0.25000004273535426</v>
      </c>
      <c r="Y46" s="29">
        <v>0.22499981977307101</v>
      </c>
      <c r="Z46" s="29">
        <v>0.1999999968835752</v>
      </c>
      <c r="AA46" s="29">
        <v>0.17499989953562084</v>
      </c>
      <c r="AB46" s="29">
        <v>0.14999999915372497</v>
      </c>
      <c r="AC46" s="29">
        <v>0.12499999974014189</v>
      </c>
      <c r="AD46" s="29">
        <v>0.10000009437061858</v>
      </c>
      <c r="AE46" s="29">
        <v>9.5000094616300823E-2</v>
      </c>
    </row>
    <row r="47" spans="6:31" x14ac:dyDescent="0.25">
      <c r="F47" t="s">
        <v>27</v>
      </c>
      <c r="G47" s="33">
        <f ca="1">+Return</f>
        <v>0.38098524260383598</v>
      </c>
      <c r="H47" s="33">
        <v>0.41571691166539559</v>
      </c>
      <c r="J47" s="33">
        <v>0.41571691166539559</v>
      </c>
      <c r="K47" s="33">
        <v>0.39067142864544602</v>
      </c>
      <c r="L47" s="33">
        <v>0.33965977998992586</v>
      </c>
      <c r="M47" s="33">
        <v>0.27930730521329827</v>
      </c>
      <c r="N47" s="33">
        <v>0.23560137395604036</v>
      </c>
      <c r="O47" s="33">
        <v>0.18136787385571435</v>
      </c>
      <c r="P47" s="33">
        <v>0.13972777162904301</v>
      </c>
      <c r="Q47" s="33">
        <v>0.11795888722628137</v>
      </c>
      <c r="R47" s="33">
        <v>8.1740382537998965E-2</v>
      </c>
      <c r="S47" s="33">
        <v>9.6881482362222576E-2</v>
      </c>
      <c r="T47" s="33">
        <v>0.10818550602420474</v>
      </c>
      <c r="U47" s="30">
        <v>0.45162936354520988</v>
      </c>
      <c r="V47" s="30">
        <v>0.48012054460657894</v>
      </c>
      <c r="W47" s="30">
        <v>0.48112205898943017</v>
      </c>
      <c r="X47" s="30">
        <v>0.48082941311843985</v>
      </c>
      <c r="Y47" s="30">
        <v>0.46849870325669163</v>
      </c>
      <c r="Z47" s="30">
        <v>0.44734013608757273</v>
      </c>
      <c r="AA47" s="30">
        <v>0.42300830241049325</v>
      </c>
      <c r="AB47" s="30">
        <v>0.38623376783717661</v>
      </c>
      <c r="AC47" s="30">
        <v>0.3332650266516447</v>
      </c>
      <c r="AD47" s="30">
        <v>0.23320817744211525</v>
      </c>
      <c r="AE47" s="30">
        <v>0.17977016547117544</v>
      </c>
    </row>
    <row r="49" spans="6:31" x14ac:dyDescent="0.25">
      <c r="F49" t="str" cm="1">
        <f t="array" aca="1" ref="F49:F63" ca="1">+Stock.Names</f>
        <v>TESLA, INC.</v>
      </c>
      <c r="G49" s="6" cm="1">
        <f t="array" ref="G49:G63">Weights</f>
        <v>0.2</v>
      </c>
      <c r="H49" s="6">
        <v>0.2</v>
      </c>
      <c r="J49" s="6">
        <v>0.2</v>
      </c>
      <c r="K49" s="6">
        <v>0.2</v>
      </c>
      <c r="L49" s="6">
        <v>0.2</v>
      </c>
      <c r="M49" s="6">
        <v>0.2</v>
      </c>
      <c r="N49" s="6">
        <v>0.2</v>
      </c>
      <c r="O49" s="6">
        <v>0.200000165998831</v>
      </c>
      <c r="P49" s="6">
        <v>0.16599883097611964</v>
      </c>
      <c r="Q49" s="6">
        <v>0.11155774688656857</v>
      </c>
      <c r="R49" s="6">
        <v>2.0980084620951682E-2</v>
      </c>
      <c r="S49" s="6">
        <v>0.02</v>
      </c>
      <c r="T49" s="6">
        <v>0.02</v>
      </c>
      <c r="U49" s="6">
        <v>0.2</v>
      </c>
      <c r="V49" s="6">
        <v>0.19965929781523814</v>
      </c>
      <c r="W49" s="6">
        <v>0.13205178903615633</v>
      </c>
      <c r="X49" s="6">
        <v>5.2009383147238464E-2</v>
      </c>
      <c r="Y49" s="6">
        <v>0.02</v>
      </c>
      <c r="Z49" s="6">
        <v>0.02</v>
      </c>
      <c r="AA49" s="6">
        <v>0.02</v>
      </c>
      <c r="AB49" s="6">
        <v>0.02</v>
      </c>
      <c r="AC49" s="6">
        <v>0.02</v>
      </c>
      <c r="AD49" s="6">
        <v>0.02</v>
      </c>
      <c r="AE49" s="6">
        <v>0.02</v>
      </c>
    </row>
    <row r="50" spans="6:31" x14ac:dyDescent="0.25">
      <c r="F50" t="str">
        <f ca="1"/>
        <v>AMAZON.COM, INC.</v>
      </c>
      <c r="G50" s="6">
        <v>9.1173120149946579E-2</v>
      </c>
      <c r="H50" s="6">
        <v>9.1173120149946579E-2</v>
      </c>
      <c r="J50" s="6">
        <v>9.1173120149946579E-2</v>
      </c>
      <c r="K50" s="6">
        <v>0.02</v>
      </c>
      <c r="L50" s="6">
        <v>0.02</v>
      </c>
      <c r="M50" s="6">
        <v>0.02</v>
      </c>
      <c r="N50" s="6">
        <v>0.02</v>
      </c>
      <c r="O50" s="6">
        <v>0.02</v>
      </c>
      <c r="P50" s="6">
        <v>0.02</v>
      </c>
      <c r="Q50" s="6">
        <v>0.02</v>
      </c>
      <c r="R50" s="6">
        <v>0.02</v>
      </c>
      <c r="S50" s="6">
        <v>0.02</v>
      </c>
      <c r="T50" s="6">
        <v>0.02</v>
      </c>
      <c r="U50" s="6">
        <v>0.12925569489368835</v>
      </c>
      <c r="V50" s="6">
        <v>0.02</v>
      </c>
      <c r="W50" s="6">
        <v>0.02</v>
      </c>
      <c r="X50" s="6">
        <v>0.02</v>
      </c>
      <c r="Y50" s="6">
        <v>0.02</v>
      </c>
      <c r="Z50" s="6">
        <v>0.02</v>
      </c>
      <c r="AA50" s="6">
        <v>0.02</v>
      </c>
      <c r="AB50" s="6">
        <v>0.02</v>
      </c>
      <c r="AC50" s="6">
        <v>0.02</v>
      </c>
      <c r="AD50" s="6">
        <v>0.02</v>
      </c>
      <c r="AE50" s="6">
        <v>0.02</v>
      </c>
    </row>
    <row r="51" spans="6:31" x14ac:dyDescent="0.25">
      <c r="F51" t="str">
        <f ca="1"/>
        <v>MICROSOFT CORPORATION</v>
      </c>
      <c r="G51" s="6">
        <v>0.10882668956487575</v>
      </c>
      <c r="H51" s="6">
        <v>0.10882668956487575</v>
      </c>
      <c r="J51" s="6">
        <v>0.10882668956487575</v>
      </c>
      <c r="K51" s="6">
        <v>0.18971465829103612</v>
      </c>
      <c r="L51" s="6">
        <v>0.2</v>
      </c>
      <c r="M51" s="6">
        <v>0.20000019999999999</v>
      </c>
      <c r="N51" s="6">
        <v>0.2</v>
      </c>
      <c r="O51" s="6">
        <v>0.20000019999999999</v>
      </c>
      <c r="P51" s="6">
        <v>0.2</v>
      </c>
      <c r="Q51" s="6">
        <v>0.2</v>
      </c>
      <c r="R51" s="6">
        <v>0.2</v>
      </c>
      <c r="S51" s="6">
        <v>0.20000000000000004</v>
      </c>
      <c r="T51" s="6">
        <v>0.15302517765911822</v>
      </c>
      <c r="U51" s="6">
        <v>0.02</v>
      </c>
      <c r="V51" s="6">
        <v>0.02</v>
      </c>
      <c r="W51" s="6">
        <v>0.02</v>
      </c>
      <c r="X51" s="6">
        <v>0.02</v>
      </c>
      <c r="Y51" s="6">
        <v>0.02</v>
      </c>
      <c r="Z51" s="6">
        <v>0.02</v>
      </c>
      <c r="AA51" s="6">
        <v>0.02</v>
      </c>
      <c r="AB51" s="6">
        <v>0.02</v>
      </c>
      <c r="AC51" s="6">
        <v>0.02</v>
      </c>
      <c r="AD51" s="6">
        <v>0.02</v>
      </c>
      <c r="AE51" s="6">
        <v>6.6412399762025925E-2</v>
      </c>
    </row>
    <row r="52" spans="6:31" x14ac:dyDescent="0.25">
      <c r="F52" t="str">
        <f ca="1"/>
        <v>THE SHERWIN-WILLIAMS COMPANY</v>
      </c>
      <c r="G52" s="6">
        <v>0.02</v>
      </c>
      <c r="H52" s="6">
        <v>0.02</v>
      </c>
      <c r="J52" s="6">
        <v>0.02</v>
      </c>
      <c r="K52" s="6">
        <v>0.02</v>
      </c>
      <c r="L52" s="6">
        <v>0.02</v>
      </c>
      <c r="M52" s="6">
        <v>0.02</v>
      </c>
      <c r="N52" s="6">
        <v>0.02</v>
      </c>
      <c r="O52" s="6">
        <v>0.02</v>
      </c>
      <c r="P52" s="6">
        <v>0.02</v>
      </c>
      <c r="Q52" s="6">
        <v>0.02</v>
      </c>
      <c r="R52" s="6">
        <v>0.02</v>
      </c>
      <c r="S52" s="6">
        <v>0.02</v>
      </c>
      <c r="T52" s="6">
        <v>0.02</v>
      </c>
      <c r="U52" s="6">
        <v>0.02</v>
      </c>
      <c r="V52" s="6">
        <v>0.02</v>
      </c>
      <c r="W52" s="6">
        <v>0.02</v>
      </c>
      <c r="X52" s="6">
        <v>0.02</v>
      </c>
      <c r="Y52" s="6">
        <v>0.02</v>
      </c>
      <c r="Z52" s="6">
        <v>0.02</v>
      </c>
      <c r="AA52" s="6">
        <v>0.02</v>
      </c>
      <c r="AB52" s="6">
        <v>0.02</v>
      </c>
      <c r="AC52" s="6">
        <v>0.02</v>
      </c>
      <c r="AD52" s="6">
        <v>0.02</v>
      </c>
      <c r="AE52" s="6">
        <v>0.02</v>
      </c>
    </row>
    <row r="53" spans="6:31" x14ac:dyDescent="0.25">
      <c r="F53" t="str">
        <f ca="1"/>
        <v>THE PROCTER &amp; GAMBLE COMPANY</v>
      </c>
      <c r="G53" s="6">
        <v>0.02</v>
      </c>
      <c r="H53" s="6">
        <v>0.02</v>
      </c>
      <c r="J53" s="6">
        <v>0.02</v>
      </c>
      <c r="K53" s="6">
        <v>0.02</v>
      </c>
      <c r="L53" s="6">
        <v>0.02</v>
      </c>
      <c r="M53" s="6">
        <v>0.02</v>
      </c>
      <c r="N53" s="6">
        <v>0.02</v>
      </c>
      <c r="O53" s="6">
        <v>0.02</v>
      </c>
      <c r="P53" s="6">
        <v>0.02</v>
      </c>
      <c r="Q53" s="6">
        <v>0.02</v>
      </c>
      <c r="R53" s="6">
        <v>0.02</v>
      </c>
      <c r="S53" s="6">
        <v>0.19957866404281199</v>
      </c>
      <c r="T53" s="6">
        <v>0.2</v>
      </c>
      <c r="U53" s="6">
        <v>0.02</v>
      </c>
      <c r="V53" s="6">
        <v>0.02</v>
      </c>
      <c r="W53" s="6">
        <v>0.02</v>
      </c>
      <c r="X53" s="6">
        <v>0.02</v>
      </c>
      <c r="Y53" s="6">
        <v>0.02</v>
      </c>
      <c r="Z53" s="6">
        <v>0.02</v>
      </c>
      <c r="AA53" s="6">
        <v>0.02</v>
      </c>
      <c r="AB53" s="6">
        <v>3.7739052065158998E-2</v>
      </c>
      <c r="AC53" s="6">
        <v>0.16764534869050474</v>
      </c>
      <c r="AD53" s="6">
        <v>0.2</v>
      </c>
      <c r="AE53" s="6">
        <v>0.2</v>
      </c>
    </row>
    <row r="54" spans="6:31" x14ac:dyDescent="0.25">
      <c r="F54" t="str">
        <f ca="1"/>
        <v>JPMORGAN CHASE &amp; CO.</v>
      </c>
      <c r="G54" s="6">
        <v>0.02</v>
      </c>
      <c r="H54" s="6">
        <v>0.02</v>
      </c>
      <c r="J54" s="6">
        <v>0.02</v>
      </c>
      <c r="K54" s="6">
        <v>0.02</v>
      </c>
      <c r="L54" s="6">
        <v>0.02</v>
      </c>
      <c r="M54" s="6">
        <v>0.02</v>
      </c>
      <c r="N54" s="6">
        <v>0.02</v>
      </c>
      <c r="O54" s="6">
        <v>0.02</v>
      </c>
      <c r="P54" s="6">
        <v>0.02</v>
      </c>
      <c r="Q54" s="6">
        <v>0.02</v>
      </c>
      <c r="R54" s="6">
        <v>0.02</v>
      </c>
      <c r="S54" s="6">
        <v>0.02</v>
      </c>
      <c r="T54" s="6">
        <v>0.02</v>
      </c>
      <c r="U54" s="6">
        <v>0.02</v>
      </c>
      <c r="V54" s="6">
        <v>0.02</v>
      </c>
      <c r="W54" s="6">
        <v>6.7948210963753128E-2</v>
      </c>
      <c r="X54" s="6">
        <v>0.14799046200481766</v>
      </c>
      <c r="Y54" s="6">
        <v>0.2</v>
      </c>
      <c r="Z54" s="6">
        <v>0.2</v>
      </c>
      <c r="AA54" s="6">
        <v>0.2</v>
      </c>
      <c r="AB54" s="6">
        <v>0.20000017888980531</v>
      </c>
      <c r="AC54" s="6">
        <v>0.17888980532552354</v>
      </c>
      <c r="AD54" s="6">
        <v>5.7622552757780769E-2</v>
      </c>
      <c r="AE54" s="6">
        <v>2.6604997361692476E-2</v>
      </c>
    </row>
    <row r="55" spans="6:31" x14ac:dyDescent="0.25">
      <c r="F55" t="str">
        <f ca="1"/>
        <v>UNITEDHEALTH GROUP INCORPORATED</v>
      </c>
      <c r="G55" s="6">
        <v>0.02</v>
      </c>
      <c r="H55" s="6">
        <v>0.02</v>
      </c>
      <c r="J55" s="6">
        <v>0.02</v>
      </c>
      <c r="K55" s="6">
        <v>0.02</v>
      </c>
      <c r="L55" s="6">
        <v>0.02</v>
      </c>
      <c r="M55" s="6">
        <v>0.02</v>
      </c>
      <c r="N55" s="6">
        <v>6.9257084542163574E-2</v>
      </c>
      <c r="O55" s="6">
        <v>0.14393984101473364</v>
      </c>
      <c r="P55" s="6">
        <v>0.2</v>
      </c>
      <c r="Q55" s="6">
        <v>0.2</v>
      </c>
      <c r="R55" s="6">
        <v>0.2</v>
      </c>
      <c r="S55" s="6">
        <v>0.15041312158828446</v>
      </c>
      <c r="T55" s="6">
        <v>9.9144488417891877E-2</v>
      </c>
      <c r="U55" s="6">
        <v>0.02</v>
      </c>
      <c r="V55" s="6">
        <v>0.02</v>
      </c>
      <c r="W55" s="6">
        <v>0.02</v>
      </c>
      <c r="X55" s="6">
        <v>0.02</v>
      </c>
      <c r="Y55" s="6">
        <v>0.02</v>
      </c>
      <c r="Z55" s="6">
        <v>0.02</v>
      </c>
      <c r="AA55" s="6">
        <v>0.02</v>
      </c>
      <c r="AB55" s="6">
        <v>0.02</v>
      </c>
      <c r="AC55" s="6">
        <v>0.02</v>
      </c>
      <c r="AD55" s="6">
        <v>0.02</v>
      </c>
      <c r="AE55" s="6">
        <v>3.2600344431157641E-2</v>
      </c>
    </row>
    <row r="56" spans="6:31" x14ac:dyDescent="0.25">
      <c r="F56" t="str">
        <f ca="1"/>
        <v>EXXON MOBIL CORPORATION</v>
      </c>
      <c r="G56" s="6">
        <v>0.02</v>
      </c>
      <c r="H56" s="6">
        <v>0.02</v>
      </c>
      <c r="J56" s="6">
        <v>0.02</v>
      </c>
      <c r="K56" s="6">
        <v>0.02</v>
      </c>
      <c r="L56" s="6">
        <v>0.02</v>
      </c>
      <c r="M56" s="6">
        <v>0.02</v>
      </c>
      <c r="N56" s="6">
        <v>0.02</v>
      </c>
      <c r="O56" s="6">
        <v>0.02</v>
      </c>
      <c r="P56" s="6">
        <v>0.02</v>
      </c>
      <c r="Q56" s="6">
        <v>0.02</v>
      </c>
      <c r="R56" s="6">
        <v>0.02</v>
      </c>
      <c r="S56" s="6">
        <v>0.12347658018703939</v>
      </c>
      <c r="T56" s="6">
        <v>0.19011412465077154</v>
      </c>
      <c r="U56" s="6">
        <v>0.02</v>
      </c>
      <c r="V56" s="6">
        <v>0.02</v>
      </c>
      <c r="W56" s="6">
        <v>0.02</v>
      </c>
      <c r="X56" s="6">
        <v>0.02</v>
      </c>
      <c r="Y56" s="6">
        <v>0.02</v>
      </c>
      <c r="Z56" s="6">
        <v>0.02</v>
      </c>
      <c r="AA56" s="6">
        <v>0.02</v>
      </c>
      <c r="AB56" s="6">
        <v>0.02</v>
      </c>
      <c r="AC56" s="6">
        <v>0.02</v>
      </c>
      <c r="AD56" s="6">
        <v>0.14836643628208057</v>
      </c>
      <c r="AE56" s="6">
        <v>0.18030498565108738</v>
      </c>
    </row>
    <row r="57" spans="6:31" x14ac:dyDescent="0.25">
      <c r="F57" t="str">
        <f ca="1"/>
        <v>Sony Group Corporation</v>
      </c>
      <c r="G57" s="6">
        <v>0.02</v>
      </c>
      <c r="H57" s="6">
        <v>0.02</v>
      </c>
      <c r="J57" s="6">
        <v>0.02</v>
      </c>
      <c r="K57" s="6">
        <v>0.02</v>
      </c>
      <c r="L57" s="6">
        <v>0.02</v>
      </c>
      <c r="M57" s="6">
        <v>0.02</v>
      </c>
      <c r="N57" s="6">
        <v>0.02</v>
      </c>
      <c r="O57" s="6">
        <v>0.02</v>
      </c>
      <c r="P57" s="6">
        <v>0.02</v>
      </c>
      <c r="Q57" s="6">
        <v>0.02</v>
      </c>
      <c r="R57" s="6">
        <v>0.02</v>
      </c>
      <c r="S57" s="6">
        <v>0.02</v>
      </c>
      <c r="T57" s="6">
        <v>0.02</v>
      </c>
      <c r="U57" s="6">
        <v>7.0744305106683683E-2</v>
      </c>
      <c r="V57" s="6">
        <v>0.18034070219037907</v>
      </c>
      <c r="W57" s="6">
        <v>0.2</v>
      </c>
      <c r="X57" s="6">
        <v>0.2</v>
      </c>
      <c r="Y57" s="6">
        <v>0.2</v>
      </c>
      <c r="Z57" s="6">
        <v>0.2</v>
      </c>
      <c r="AA57" s="6">
        <v>0.2</v>
      </c>
      <c r="AB57" s="6">
        <v>0.2000001718733849</v>
      </c>
      <c r="AC57" s="6">
        <v>0.17187338492164894</v>
      </c>
      <c r="AD57" s="6">
        <v>8.0609347003343754E-2</v>
      </c>
      <c r="AE57" s="6">
        <v>4.9297501470850713E-2</v>
      </c>
    </row>
    <row r="58" spans="6:31" x14ac:dyDescent="0.25">
      <c r="F58" t="str">
        <f ca="1"/>
        <v>Airbus SE</v>
      </c>
      <c r="G58" s="6">
        <v>2.0000000000000004E-2</v>
      </c>
      <c r="H58" s="6">
        <v>2.0000000000000004E-2</v>
      </c>
      <c r="J58" s="6">
        <v>2.0000000000000004E-2</v>
      </c>
      <c r="K58" s="6">
        <v>2.0000000000000004E-2</v>
      </c>
      <c r="L58" s="6">
        <v>9.0066698339374862E-2</v>
      </c>
      <c r="M58" s="6">
        <v>0.18692852805889223</v>
      </c>
      <c r="N58" s="6">
        <v>0.2</v>
      </c>
      <c r="O58" s="6">
        <v>0.2</v>
      </c>
      <c r="P58" s="6">
        <v>0.2</v>
      </c>
      <c r="Q58" s="6">
        <v>0.2</v>
      </c>
      <c r="R58" s="6">
        <v>0.2</v>
      </c>
      <c r="S58" s="6">
        <v>3.2717874389457821E-2</v>
      </c>
      <c r="T58" s="6">
        <v>6.236398611616626E-2</v>
      </c>
      <c r="U58" s="6">
        <v>0.02</v>
      </c>
      <c r="V58" s="6">
        <v>0.02</v>
      </c>
      <c r="W58" s="6">
        <v>0.02</v>
      </c>
      <c r="X58" s="6">
        <v>0.02</v>
      </c>
      <c r="Y58" s="6">
        <v>0.02</v>
      </c>
      <c r="Z58" s="6">
        <v>0.02</v>
      </c>
      <c r="AA58" s="6">
        <v>0.02</v>
      </c>
      <c r="AB58" s="6">
        <v>0.02</v>
      </c>
      <c r="AC58" s="6">
        <v>0.02</v>
      </c>
      <c r="AD58" s="6">
        <v>3.3445019897454277E-2</v>
      </c>
      <c r="AE58" s="6">
        <v>5.6064119160549139E-2</v>
      </c>
    </row>
    <row r="59" spans="6:31" x14ac:dyDescent="0.25">
      <c r="F59" t="str">
        <f ca="1"/>
        <v>PFIZER INC.</v>
      </c>
      <c r="G59" s="6">
        <v>0.02</v>
      </c>
      <c r="H59" s="6">
        <v>0.02</v>
      </c>
      <c r="J59" s="6">
        <v>0.02</v>
      </c>
      <c r="K59" s="6">
        <v>0.02</v>
      </c>
      <c r="L59" s="6">
        <v>0.02</v>
      </c>
      <c r="M59" s="6">
        <v>0.02</v>
      </c>
      <c r="N59" s="6">
        <v>0.02</v>
      </c>
      <c r="O59" s="6">
        <v>0.02</v>
      </c>
      <c r="P59" s="6">
        <v>3.4001169023879778E-2</v>
      </c>
      <c r="Q59" s="6">
        <v>8.8442253113429362E-2</v>
      </c>
      <c r="R59" s="6">
        <v>0.17901991537905412</v>
      </c>
      <c r="S59" s="6">
        <v>0.11381375979572056</v>
      </c>
      <c r="T59" s="6">
        <v>0.11535222315605199</v>
      </c>
      <c r="U59" s="6">
        <v>0.02</v>
      </c>
      <c r="V59" s="6">
        <v>0.02</v>
      </c>
      <c r="W59" s="6">
        <v>0.02</v>
      </c>
      <c r="X59" s="6">
        <v>0.02</v>
      </c>
      <c r="Y59" s="6">
        <v>0.02</v>
      </c>
      <c r="Z59" s="6">
        <v>0.02</v>
      </c>
      <c r="AA59" s="6">
        <v>0.02</v>
      </c>
      <c r="AB59" s="6">
        <v>0.02</v>
      </c>
      <c r="AC59" s="6">
        <v>0.02</v>
      </c>
      <c r="AD59" s="6">
        <v>6.7434349671119817E-2</v>
      </c>
      <c r="AE59" s="6">
        <v>8.4605640136932711E-2</v>
      </c>
    </row>
    <row r="60" spans="6:31" x14ac:dyDescent="0.25">
      <c r="F60" t="str">
        <f ca="1"/>
        <v>THE ALLSTATE CORPORATION</v>
      </c>
      <c r="G60" s="6">
        <v>0.02</v>
      </c>
      <c r="H60" s="6">
        <v>0.02</v>
      </c>
      <c r="J60" s="6">
        <v>0.02</v>
      </c>
      <c r="K60" s="6">
        <v>0.02</v>
      </c>
      <c r="L60" s="6">
        <v>0.02</v>
      </c>
      <c r="M60" s="6">
        <v>0.02</v>
      </c>
      <c r="N60" s="6">
        <v>0.02</v>
      </c>
      <c r="O60" s="6">
        <v>0.02</v>
      </c>
      <c r="P60" s="6">
        <v>0.02</v>
      </c>
      <c r="Q60" s="6">
        <v>0.02</v>
      </c>
      <c r="R60" s="6">
        <v>0.02</v>
      </c>
      <c r="S60" s="6">
        <v>0.02</v>
      </c>
      <c r="T60" s="6">
        <v>0.02</v>
      </c>
      <c r="U60" s="6">
        <v>0.02</v>
      </c>
      <c r="V60" s="6">
        <v>0.02</v>
      </c>
      <c r="W60" s="6">
        <v>0.02</v>
      </c>
      <c r="X60" s="6">
        <v>0.02</v>
      </c>
      <c r="Y60" s="6">
        <v>0.02</v>
      </c>
      <c r="Z60" s="6">
        <v>0.02</v>
      </c>
      <c r="AA60" s="6">
        <v>0.02</v>
      </c>
      <c r="AB60" s="6">
        <v>7.0634874790847471E-2</v>
      </c>
      <c r="AC60" s="6">
        <v>4.4629807628754278E-2</v>
      </c>
      <c r="AD60" s="6">
        <v>8.7092420608513507E-2</v>
      </c>
      <c r="AE60" s="6">
        <v>7.7157478539073704E-2</v>
      </c>
    </row>
    <row r="61" spans="6:31" x14ac:dyDescent="0.25">
      <c r="F61" t="str">
        <f ca="1"/>
        <v>NVIDIA CORPORATION</v>
      </c>
      <c r="G61" s="6">
        <v>0.20000019028534172</v>
      </c>
      <c r="H61" s="6">
        <v>0.20000019028534172</v>
      </c>
      <c r="J61" s="6">
        <v>0.20000019028534172</v>
      </c>
      <c r="K61" s="6">
        <v>0.19028534170848438</v>
      </c>
      <c r="L61" s="6">
        <v>0.10993310858852205</v>
      </c>
      <c r="M61" s="6">
        <v>0.02</v>
      </c>
      <c r="N61" s="6">
        <v>0.02</v>
      </c>
      <c r="O61" s="6">
        <v>0.02</v>
      </c>
      <c r="P61" s="6">
        <v>0.02</v>
      </c>
      <c r="Q61" s="6">
        <v>0.02</v>
      </c>
      <c r="R61" s="6">
        <v>0.02</v>
      </c>
      <c r="S61" s="6">
        <v>0.02</v>
      </c>
      <c r="T61" s="6">
        <v>0.02</v>
      </c>
      <c r="U61" s="6">
        <v>0.2</v>
      </c>
      <c r="V61" s="6">
        <v>0.2</v>
      </c>
      <c r="W61" s="6">
        <v>0.2</v>
      </c>
      <c r="X61" s="6">
        <v>0.2</v>
      </c>
      <c r="Y61" s="6">
        <v>0.20000017154125529</v>
      </c>
      <c r="Z61" s="6">
        <v>0.17154125529602368</v>
      </c>
      <c r="AA61" s="6">
        <v>0.12383243502225064</v>
      </c>
      <c r="AB61" s="6">
        <v>7.9626553105642081E-2</v>
      </c>
      <c r="AC61" s="6">
        <v>5.0524828062193099E-2</v>
      </c>
      <c r="AD61" s="6">
        <v>3.2104881982477296E-2</v>
      </c>
      <c r="AE61" s="6">
        <v>0.02</v>
      </c>
    </row>
    <row r="62" spans="6:31" x14ac:dyDescent="0.25">
      <c r="F62" t="str">
        <f ca="1"/>
        <v>CISCO SYSTEMS, INC.</v>
      </c>
      <c r="G62" s="6">
        <v>0.02</v>
      </c>
      <c r="H62" s="6">
        <v>0.02</v>
      </c>
      <c r="J62" s="6">
        <v>0.02</v>
      </c>
      <c r="K62" s="6">
        <v>0.02</v>
      </c>
      <c r="L62" s="6">
        <v>0.02</v>
      </c>
      <c r="M62" s="6">
        <v>0.02</v>
      </c>
      <c r="N62" s="6">
        <v>0.02</v>
      </c>
      <c r="O62" s="6">
        <v>0.02</v>
      </c>
      <c r="P62" s="6">
        <v>0.02</v>
      </c>
      <c r="Q62" s="6">
        <v>0.02</v>
      </c>
      <c r="R62" s="6">
        <v>0.02</v>
      </c>
      <c r="S62" s="6">
        <v>0.02</v>
      </c>
      <c r="T62" s="6">
        <v>0.02</v>
      </c>
      <c r="U62" s="6">
        <v>0.02</v>
      </c>
      <c r="V62" s="6">
        <v>0.02</v>
      </c>
      <c r="W62" s="6">
        <v>0.02</v>
      </c>
      <c r="X62" s="6">
        <v>0.02</v>
      </c>
      <c r="Y62" s="6">
        <v>4.5151985779579282E-2</v>
      </c>
      <c r="Z62" s="6">
        <v>0.1147294806940599</v>
      </c>
      <c r="AA62" s="6">
        <v>0.19387720691122423</v>
      </c>
      <c r="AB62" s="6">
        <v>0.2</v>
      </c>
      <c r="AC62" s="6">
        <v>0.20000017332499179</v>
      </c>
      <c r="AD62" s="6">
        <v>0.17332499180257491</v>
      </c>
      <c r="AE62" s="6">
        <v>0.12695253346185265</v>
      </c>
    </row>
    <row r="63" spans="6:31" x14ac:dyDescent="0.25">
      <c r="F63" t="str">
        <f ca="1"/>
        <v>BROADCOM INC.</v>
      </c>
      <c r="G63" s="6">
        <v>0.2</v>
      </c>
      <c r="H63" s="6">
        <v>0.2</v>
      </c>
      <c r="J63" s="6">
        <v>0.2</v>
      </c>
      <c r="K63" s="6">
        <v>0.2</v>
      </c>
      <c r="L63" s="6">
        <v>0.20000019307127193</v>
      </c>
      <c r="M63" s="6">
        <v>0.19307127194078738</v>
      </c>
      <c r="N63" s="6">
        <v>0.13074291545781869</v>
      </c>
      <c r="O63" s="6">
        <v>5.6059792986509517E-2</v>
      </c>
      <c r="P63" s="6">
        <v>0.02</v>
      </c>
      <c r="Q63" s="6">
        <v>0.02</v>
      </c>
      <c r="R63" s="6">
        <v>0.02</v>
      </c>
      <c r="S63" s="6">
        <v>0.02</v>
      </c>
      <c r="T63" s="6">
        <v>0.02</v>
      </c>
      <c r="U63" s="6">
        <v>0.2</v>
      </c>
      <c r="V63" s="6">
        <v>0.2</v>
      </c>
      <c r="W63" s="6">
        <v>0.2</v>
      </c>
      <c r="X63" s="6">
        <v>0.20000015484784267</v>
      </c>
      <c r="Y63" s="6">
        <v>0.15484784268144958</v>
      </c>
      <c r="Z63" s="6">
        <v>0.11372926400995524</v>
      </c>
      <c r="AA63" s="6">
        <v>8.2290358071098635E-2</v>
      </c>
      <c r="AB63" s="6">
        <v>5.1999169275215348E-2</v>
      </c>
      <c r="AC63" s="6">
        <v>2.6436652046411407E-2</v>
      </c>
      <c r="AD63" s="6">
        <v>0.02</v>
      </c>
      <c r="AE63" s="6">
        <v>0.02</v>
      </c>
    </row>
  </sheetData>
  <conditionalFormatting sqref="L3:Z17">
    <cfRule type="colorScale" priority="1">
      <colorScale>
        <cfvo type="min"/>
        <cfvo type="percentile" val="0"/>
        <cfvo type="max"/>
        <color rgb="FF63BE7B"/>
        <color rgb="FFFFEB84"/>
        <color rgb="FFF8696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1]!copyV5">
                <anchor moveWithCells="1" sizeWithCells="1">
                  <from>
                    <xdr:col>8</xdr:col>
                    <xdr:colOff>285750</xdr:colOff>
                    <xdr:row>41</xdr:row>
                    <xdr:rowOff>85725</xdr:rowOff>
                  </from>
                  <to>
                    <xdr:col>10</xdr:col>
                    <xdr:colOff>247650</xdr:colOff>
                    <xdr:row>43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FD179-9FA5-4229-981F-91BD6EAF0F47}">
  <sheetPr>
    <tabColor rgb="FFEDB9E8"/>
  </sheetPr>
  <dimension ref="A1:F24"/>
  <sheetViews>
    <sheetView zoomScale="120" zoomScaleNormal="120" workbookViewId="0">
      <selection activeCell="H21" sqref="H21"/>
    </sheetView>
  </sheetViews>
  <sheetFormatPr defaultRowHeight="15" x14ac:dyDescent="0.25"/>
  <sheetData>
    <row r="1" spans="1:6" x14ac:dyDescent="0.25">
      <c r="A1" t="s">
        <v>28</v>
      </c>
      <c r="C1" t="s">
        <v>29</v>
      </c>
    </row>
    <row r="2" spans="1:6" x14ac:dyDescent="0.25">
      <c r="A2" t="s">
        <v>13</v>
      </c>
      <c r="B2" t="s">
        <v>27</v>
      </c>
      <c r="C2" t="s">
        <v>3</v>
      </c>
      <c r="D2" t="s">
        <v>30</v>
      </c>
      <c r="E2" t="s">
        <v>13</v>
      </c>
      <c r="F2" t="s">
        <v>27</v>
      </c>
    </row>
    <row r="3" spans="1:6" x14ac:dyDescent="0.25">
      <c r="A3" s="6" cm="1">
        <f t="array" ref="A3:B24">_xlfn.VSTACK(_xlfn._xlws.SORT(TRANSPOSE(worst.portfolios),1,-1,FALSE),_xlfn._xlws.SORT(TRANSPOSE(best.portfolios),1,1,FALSE))</f>
        <v>0.30500025931047625</v>
      </c>
      <c r="B3" s="6">
        <v>0.41571691166539559</v>
      </c>
      <c r="C3" s="6" cm="1">
        <f t="array" ref="C3:C22">_xlfn.SEQUENCE(20,1,0,0.1)</f>
        <v>0</v>
      </c>
      <c r="D3" s="6" cm="1">
        <f t="array" ref="D3:D22">-_xlfn.ANCHORARRAY(C3)+1</f>
        <v>1</v>
      </c>
      <c r="E3" s="6" cm="1">
        <f t="array" ref="E3:E22">+_xlfn.ANCHORARRAY(C3)*market.risk</f>
        <v>0</v>
      </c>
    </row>
    <row r="4" spans="1:6" x14ac:dyDescent="0.25">
      <c r="A4" s="6">
        <v>0.3000002335114107</v>
      </c>
      <c r="B4" s="6">
        <v>0.39067142864544602</v>
      </c>
      <c r="C4" s="6">
        <v>0.1</v>
      </c>
      <c r="D4" s="6">
        <v>0.9</v>
      </c>
      <c r="E4" s="6">
        <v>1.249999997401419E-2</v>
      </c>
    </row>
    <row r="5" spans="1:6" x14ac:dyDescent="0.25">
      <c r="A5" s="6">
        <v>0.27499997502970186</v>
      </c>
      <c r="B5" s="6">
        <v>0.33965977998992586</v>
      </c>
      <c r="C5" s="6">
        <v>0.2</v>
      </c>
      <c r="D5" s="6">
        <v>0.8</v>
      </c>
      <c r="E5" s="6">
        <v>2.499999994802838E-2</v>
      </c>
    </row>
    <row r="6" spans="1:6" x14ac:dyDescent="0.25">
      <c r="A6" s="6">
        <v>0.24999990338549408</v>
      </c>
      <c r="B6" s="6">
        <v>0.27930730521329827</v>
      </c>
      <c r="C6" s="6">
        <v>0.30000000000000004</v>
      </c>
      <c r="D6" s="6">
        <v>0.7</v>
      </c>
      <c r="E6" s="6">
        <v>3.7499999922042573E-2</v>
      </c>
    </row>
    <row r="7" spans="1:6" x14ac:dyDescent="0.25">
      <c r="A7" s="6">
        <v>0.22500012513017817</v>
      </c>
      <c r="B7" s="6">
        <v>0.23560137395604036</v>
      </c>
      <c r="C7" s="6">
        <v>0.4</v>
      </c>
      <c r="D7" s="6">
        <v>0.6</v>
      </c>
      <c r="E7" s="6">
        <v>4.999999989605676E-2</v>
      </c>
    </row>
    <row r="8" spans="1:6" x14ac:dyDescent="0.25">
      <c r="A8" s="6">
        <v>0.20000000696891687</v>
      </c>
      <c r="B8" s="6">
        <v>0.18136787385571435</v>
      </c>
      <c r="C8" s="6">
        <v>0.5</v>
      </c>
      <c r="D8" s="6">
        <v>0.5</v>
      </c>
      <c r="E8" s="6">
        <v>6.2499999870070946E-2</v>
      </c>
    </row>
    <row r="9" spans="1:6" x14ac:dyDescent="0.25">
      <c r="A9" s="6">
        <v>0.17499999795252799</v>
      </c>
      <c r="B9" s="6">
        <v>0.13972777162904301</v>
      </c>
      <c r="C9" s="6">
        <v>0.6</v>
      </c>
      <c r="D9" s="6">
        <v>0.4</v>
      </c>
      <c r="E9" s="6">
        <v>7.4999999844085133E-2</v>
      </c>
    </row>
    <row r="10" spans="1:6" x14ac:dyDescent="0.25">
      <c r="A10" s="6">
        <v>0.1499999389827846</v>
      </c>
      <c r="B10" s="6">
        <v>0.11795888722628137</v>
      </c>
      <c r="C10" s="6">
        <v>0.7</v>
      </c>
      <c r="D10" s="6">
        <v>0.30000000000000004</v>
      </c>
      <c r="E10" s="6">
        <v>8.7499999818099319E-2</v>
      </c>
    </row>
    <row r="11" spans="1:6" x14ac:dyDescent="0.25">
      <c r="A11" s="6">
        <v>0.12499999784202441</v>
      </c>
      <c r="B11" s="6">
        <v>8.1740382537998965E-2</v>
      </c>
      <c r="C11" s="6">
        <v>0.79999999999999993</v>
      </c>
      <c r="D11" s="6">
        <v>0.20000000000000007</v>
      </c>
      <c r="E11" s="6">
        <v>9.9999999792113506E-2</v>
      </c>
    </row>
    <row r="12" spans="1:6" x14ac:dyDescent="0.25">
      <c r="A12" s="6">
        <v>0.10000009492219404</v>
      </c>
      <c r="B12" s="6">
        <v>9.6881482362222576E-2</v>
      </c>
      <c r="C12" s="6">
        <v>0.89999999999999991</v>
      </c>
      <c r="D12" s="6">
        <v>0.10000000000000009</v>
      </c>
      <c r="E12" s="6">
        <v>0.11249999976612769</v>
      </c>
    </row>
    <row r="13" spans="1:6" x14ac:dyDescent="0.25">
      <c r="A13" s="6">
        <v>9.5000290810991456E-2</v>
      </c>
      <c r="B13" s="6">
        <v>0.10818550602420474</v>
      </c>
      <c r="C13" s="6">
        <v>0.99999999999999989</v>
      </c>
      <c r="D13" s="6">
        <v>0</v>
      </c>
      <c r="E13" s="6">
        <v>0.12499999974014188</v>
      </c>
    </row>
    <row r="14" spans="1:6" x14ac:dyDescent="0.25">
      <c r="A14" s="6">
        <v>9.5000094616300823E-2</v>
      </c>
      <c r="B14" s="6">
        <v>0.17977016547117544</v>
      </c>
      <c r="C14" s="6">
        <v>1.0999999999999999</v>
      </c>
      <c r="D14" s="6">
        <v>-9.9999999999999867E-2</v>
      </c>
      <c r="E14" s="6">
        <v>0.13749999971415605</v>
      </c>
    </row>
    <row r="15" spans="1:6" x14ac:dyDescent="0.25">
      <c r="A15" s="6">
        <v>0.10000009437061858</v>
      </c>
      <c r="B15" s="6">
        <v>0.23320817744211525</v>
      </c>
      <c r="C15" s="6">
        <v>1.2</v>
      </c>
      <c r="D15" s="6">
        <v>-0.19999999999999996</v>
      </c>
      <c r="E15" s="6">
        <v>0.14999999968817027</v>
      </c>
    </row>
    <row r="16" spans="1:6" x14ac:dyDescent="0.25">
      <c r="A16" s="34">
        <v>0.12499999974014189</v>
      </c>
      <c r="B16" s="34">
        <v>0.3332650266516447</v>
      </c>
      <c r="C16" s="6">
        <v>1.3</v>
      </c>
      <c r="D16" s="6">
        <v>-0.30000000000000004</v>
      </c>
      <c r="E16" s="6">
        <v>0.16249999966218448</v>
      </c>
    </row>
    <row r="17" spans="1:5" x14ac:dyDescent="0.25">
      <c r="A17" s="6">
        <v>0.14999999915372497</v>
      </c>
      <c r="B17" s="6">
        <v>0.38623376783717661</v>
      </c>
      <c r="C17" s="6">
        <v>1.4000000000000001</v>
      </c>
      <c r="D17" s="6">
        <v>-0.40000000000000013</v>
      </c>
      <c r="E17" s="6">
        <v>0.17499999963619867</v>
      </c>
    </row>
    <row r="18" spans="1:5" x14ac:dyDescent="0.25">
      <c r="A18" s="6">
        <v>0.17499989953562084</v>
      </c>
      <c r="B18" s="6">
        <v>0.42300830241049325</v>
      </c>
      <c r="C18" s="6">
        <v>1.5000000000000002</v>
      </c>
      <c r="D18" s="6">
        <v>-0.50000000000000022</v>
      </c>
      <c r="E18" s="6">
        <v>0.18749999961021285</v>
      </c>
    </row>
    <row r="19" spans="1:5" x14ac:dyDescent="0.25">
      <c r="A19" s="6">
        <v>0.1999999968835752</v>
      </c>
      <c r="B19" s="6">
        <v>0.44734013608757273</v>
      </c>
      <c r="C19" s="6">
        <v>1.6000000000000003</v>
      </c>
      <c r="D19" s="6">
        <v>-0.60000000000000031</v>
      </c>
      <c r="E19" s="6">
        <v>0.19999999958422707</v>
      </c>
    </row>
    <row r="20" spans="1:5" x14ac:dyDescent="0.25">
      <c r="A20" s="6">
        <v>0.22499981977307101</v>
      </c>
      <c r="B20" s="6">
        <v>0.46849870325669163</v>
      </c>
      <c r="C20" s="6">
        <v>1.7000000000000004</v>
      </c>
      <c r="D20" s="6">
        <v>-0.7000000000000004</v>
      </c>
      <c r="E20" s="6">
        <v>0.21249999955824128</v>
      </c>
    </row>
    <row r="21" spans="1:5" x14ac:dyDescent="0.25">
      <c r="A21" s="6">
        <v>0.25000004273535426</v>
      </c>
      <c r="B21" s="6">
        <v>0.48082941311843985</v>
      </c>
      <c r="C21" s="6">
        <v>1.8000000000000005</v>
      </c>
      <c r="D21" s="6">
        <v>-0.80000000000000049</v>
      </c>
      <c r="E21" s="6">
        <v>0.22499999953225547</v>
      </c>
    </row>
    <row r="22" spans="1:5" x14ac:dyDescent="0.25">
      <c r="A22" s="6">
        <v>0.27499984583978665</v>
      </c>
      <c r="B22" s="6">
        <v>0.48112205898943017</v>
      </c>
      <c r="C22" s="6">
        <v>1.9000000000000006</v>
      </c>
      <c r="D22" s="6">
        <v>-0.90000000000000058</v>
      </c>
      <c r="E22" s="6">
        <v>0.23749999950626965</v>
      </c>
    </row>
    <row r="23" spans="1:5" x14ac:dyDescent="0.25">
      <c r="A23" s="6">
        <v>0.29999989186204057</v>
      </c>
      <c r="B23" s="6">
        <v>0.48012054460657894</v>
      </c>
    </row>
    <row r="24" spans="1:5" x14ac:dyDescent="0.25">
      <c r="A24" s="6">
        <v>0.30499988719013499</v>
      </c>
      <c r="B24" s="6">
        <v>0.45162936354520988</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82FA3-4668-472F-B05F-137054F0A6E1}">
  <sheetPr codeName="Sheet3">
    <tabColor rgb="FFFFFFB9"/>
  </sheetPr>
  <dimension ref="A2:P260"/>
  <sheetViews>
    <sheetView zoomScale="120" zoomScaleNormal="120" workbookViewId="0">
      <selection activeCell="A5" sqref="A5"/>
    </sheetView>
  </sheetViews>
  <sheetFormatPr defaultRowHeight="15" x14ac:dyDescent="0.25"/>
  <cols>
    <col min="1" max="1" width="27.28515625" customWidth="1"/>
  </cols>
  <sheetData>
    <row r="2" spans="1:16" x14ac:dyDescent="0.25">
      <c r="A2" t="str">
        <f>"Adj Close as of "&amp;TEXT(start.date,"MM/DD/YY")</f>
        <v>Adj Close as of 02/27/24</v>
      </c>
      <c r="B2">
        <v>202.04</v>
      </c>
      <c r="C2">
        <v>173.16</v>
      </c>
      <c r="D2">
        <v>412.19</v>
      </c>
      <c r="E2">
        <v>327.67</v>
      </c>
      <c r="F2">
        <v>156.19999999999999</v>
      </c>
      <c r="G2">
        <v>180.26</v>
      </c>
      <c r="H2">
        <v>490.6</v>
      </c>
      <c r="I2">
        <v>100.91</v>
      </c>
      <c r="J2">
        <v>16.98</v>
      </c>
      <c r="K2">
        <v>40.9</v>
      </c>
      <c r="L2">
        <v>25.45</v>
      </c>
      <c r="M2">
        <v>157.30000000000001</v>
      </c>
      <c r="N2">
        <v>77.64</v>
      </c>
      <c r="O2">
        <v>46.59</v>
      </c>
      <c r="P2">
        <v>127.23</v>
      </c>
    </row>
    <row r="3" spans="1:16" x14ac:dyDescent="0.25">
      <c r="A3" t="str">
        <f>"Latest Close as of "&amp;TEXT(end.date,"MM/DD/YY")</f>
        <v>Latest Close as of 02/28/25</v>
      </c>
      <c r="B3" cm="1" vm="16">
        <f t="array" aca="1" ref="B3" ca="1">_xlfn.TAKE(_xlfn.CHOOSECOLS(_xlfn.ANCHORARRAY(The.Dates),2),-1)</f>
        <v>292.98</v>
      </c>
      <c r="C3" cm="1" vm="17">
        <f t="array" aca="1" ref="C3" ca="1">_xlfn.TAKE(_xlfn.ANCHORARRAY(C8),-1)</f>
        <v>212.28</v>
      </c>
      <c r="D3">
        <v>404.63</v>
      </c>
      <c r="E3" cm="1" vm="18">
        <f t="array" aca="1" ref="E3" ca="1">_xlfn.TAKE(_xlfn.ANCHORARRAY(E8),-1)</f>
        <v>362.27</v>
      </c>
      <c r="F3" cm="1" vm="19">
        <f t="array" aca="1" ref="F3" ca="1">_xlfn.TAKE(_xlfn.ANCHORARRAY(F8),-1)</f>
        <v>173.84</v>
      </c>
      <c r="G3" cm="1" vm="20">
        <f t="array" aca="1" ref="G3" ca="1">_xlfn.TAKE(_xlfn.ANCHORARRAY(G8),-1)</f>
        <v>264.64999999999998</v>
      </c>
      <c r="H3" cm="1" vm="21">
        <f t="array" aca="1" ref="H3" ca="1">_xlfn.TAKE(_xlfn.ANCHORARRAY(H8),-1)</f>
        <v>474.96</v>
      </c>
      <c r="I3" cm="1" vm="22">
        <f t="array" aca="1" ref="I3" ca="1">_xlfn.TAKE(_xlfn.ANCHORARRAY(I8),-1)</f>
        <v>111.33</v>
      </c>
      <c r="J3" cm="1" vm="23">
        <f t="array" aca="1" ref="J3" ca="1">_xlfn.TAKE(_xlfn.ANCHORARRAY(J8),-1)</f>
        <v>24.2224</v>
      </c>
      <c r="K3" cm="1" vm="24">
        <f t="array" aca="1" ref="K3" ca="1">_xlfn.TAKE(_xlfn.ANCHORARRAY(K8),-1)</f>
        <v>43.071199999999997</v>
      </c>
      <c r="L3" cm="1" vm="25">
        <f t="array" aca="1" ref="L3" ca="1">_xlfn.TAKE(_xlfn.ANCHORARRAY(L8),-1)</f>
        <v>26.43</v>
      </c>
      <c r="M3" cm="1" vm="26">
        <f t="array" aca="1" ref="M3" ca="1">_xlfn.TAKE(_xlfn.ANCHORARRAY(M8),-1)</f>
        <v>199.15</v>
      </c>
      <c r="N3" cm="1" vm="27">
        <f t="array" aca="1" ref="N3" ca="1">_xlfn.TAKE(_xlfn.ANCHORARRAY(N8),-1)</f>
        <v>124.92</v>
      </c>
      <c r="O3" cm="1" vm="28">
        <f t="array" aca="1" ref="O3" ca="1">_xlfn.TAKE(_xlfn.ANCHORARRAY(O8),-1)</f>
        <v>64.11</v>
      </c>
      <c r="P3" cm="1" vm="29">
        <f t="array" aca="1" ref="P3" ca="1">_xlfn.TAKE(_xlfn.ANCHORARRAY(P8),-1)</f>
        <v>199.43</v>
      </c>
    </row>
    <row r="4" spans="1:16" x14ac:dyDescent="0.25">
      <c r="A4" t="s">
        <v>9</v>
      </c>
      <c r="B4" s="6">
        <f t="shared" ref="B4:P4" ca="1" si="0">(B3/B2)^(1/YEARFRAC(start.date,end.date))-1</f>
        <v>0.44861681396723041</v>
      </c>
      <c r="C4" s="6">
        <f t="shared" ca="1" si="0"/>
        <v>0.22522671064020372</v>
      </c>
      <c r="D4" s="6">
        <f t="shared" si="0"/>
        <v>-1.8290717563247627E-2</v>
      </c>
      <c r="E4" s="6">
        <f t="shared" ca="1" si="0"/>
        <v>0.10528665447388752</v>
      </c>
      <c r="F4" s="6">
        <f t="shared" ca="1" si="0"/>
        <v>0.11260232117391888</v>
      </c>
      <c r="G4" s="6">
        <f t="shared" ca="1" si="0"/>
        <v>0.46659620822502035</v>
      </c>
      <c r="H4" s="6">
        <f t="shared" ca="1" si="0"/>
        <v>-3.1792441941888905E-2</v>
      </c>
      <c r="I4" s="6">
        <f t="shared" ca="1" si="0"/>
        <v>0.10296004748831922</v>
      </c>
      <c r="J4" s="6">
        <f t="shared" ca="1" si="0"/>
        <v>0.42512224373282481</v>
      </c>
      <c r="K4" s="6">
        <f t="shared" ca="1" si="0"/>
        <v>5.2934698062967023E-2</v>
      </c>
      <c r="L4" s="6">
        <f t="shared" ca="1" si="0"/>
        <v>3.8398186822130587E-2</v>
      </c>
      <c r="M4" s="6">
        <f t="shared" ca="1" si="0"/>
        <v>0.26522506995371309</v>
      </c>
      <c r="N4" s="6">
        <f t="shared" ca="1" si="0"/>
        <v>0.60684615542088038</v>
      </c>
      <c r="O4" s="6">
        <f t="shared" ca="1" si="0"/>
        <v>0.37483012999642451</v>
      </c>
      <c r="P4" s="6">
        <f t="shared" ca="1" si="0"/>
        <v>0.56552583592268602</v>
      </c>
    </row>
    <row r="6" spans="1:16" x14ac:dyDescent="0.25">
      <c r="B6" s="4" t="str" cm="1">
        <f t="array" aca="1" ref="B6:P6" ca="1">+TRANSPOSE(Stock.List)</f>
        <v>TSLA</v>
      </c>
      <c r="C6" s="4" t="str">
        <f ca="1"/>
        <v>AMZN</v>
      </c>
      <c r="D6" s="4" t="str">
        <f ca="1"/>
        <v>MSFT</v>
      </c>
      <c r="E6" s="4" t="str">
        <f ca="1"/>
        <v>SHW</v>
      </c>
      <c r="F6" s="4" t="str">
        <f ca="1"/>
        <v>PG</v>
      </c>
      <c r="G6" s="4" t="str">
        <f ca="1"/>
        <v>JPM</v>
      </c>
      <c r="H6" s="4" t="str">
        <f ca="1"/>
        <v>UNH</v>
      </c>
      <c r="I6" s="4" t="str">
        <f ca="1"/>
        <v>XOM</v>
      </c>
      <c r="J6" s="4" t="str">
        <f ca="1"/>
        <v>SONY</v>
      </c>
      <c r="K6" s="4" t="str">
        <f ca="1"/>
        <v>EADSY</v>
      </c>
      <c r="L6" s="4" t="str">
        <f ca="1"/>
        <v>PFE</v>
      </c>
      <c r="M6" s="4" t="str">
        <f ca="1"/>
        <v>ALL</v>
      </c>
      <c r="N6" s="4" t="str">
        <f ca="1"/>
        <v>NVDA</v>
      </c>
      <c r="O6" s="4" t="str">
        <f ca="1"/>
        <v>CSCO</v>
      </c>
      <c r="P6" s="4" t="str">
        <f ca="1"/>
        <v>AVGO</v>
      </c>
    </row>
    <row r="7" spans="1:16" x14ac:dyDescent="0.25">
      <c r="A7" t="s">
        <v>8</v>
      </c>
      <c r="B7" t="e" cm="1" vm="1">
        <f t="array" ref="B7:P7">+TRANSPOSE(Portfolio.Companies)</f>
        <v>#VALUE!</v>
      </c>
      <c r="C7" t="e" vm="2">
        <v>#VALUE!</v>
      </c>
      <c r="D7" t="e" vm="3">
        <v>#VALUE!</v>
      </c>
      <c r="E7" t="e" vm="4">
        <v>#VALUE!</v>
      </c>
      <c r="F7" t="e" vm="5">
        <v>#VALUE!</v>
      </c>
      <c r="G7" t="e" vm="6">
        <v>#VALUE!</v>
      </c>
      <c r="H7" t="e" vm="7">
        <v>#VALUE!</v>
      </c>
      <c r="I7" t="e" vm="8">
        <v>#VALUE!</v>
      </c>
      <c r="J7" t="e" vm="9">
        <v>#VALUE!</v>
      </c>
      <c r="K7" t="e" vm="10">
        <v>#VALUE!</v>
      </c>
      <c r="L7" t="e" vm="11">
        <v>#VALUE!</v>
      </c>
      <c r="M7" t="e" vm="12">
        <v>#VALUE!</v>
      </c>
      <c r="N7" t="e" vm="13">
        <v>#VALUE!</v>
      </c>
      <c r="O7" t="e" vm="14">
        <v>#VALUE!</v>
      </c>
      <c r="P7" t="e" vm="15">
        <v>#VALUE!</v>
      </c>
    </row>
    <row r="8" spans="1:16" x14ac:dyDescent="0.25">
      <c r="A8" s="5" cm="1" vm="30">
        <f t="array" aca="1" ref="A8:B260" ca="1">_xlfn.STOCKHISTORY(B7,start.date,end.date,0,0,0,1)</f>
        <v>45349</v>
      </c>
      <c r="B8" vm="31">
        <f ca="1"/>
        <v>199.73</v>
      </c>
      <c r="C8" cm="1" vm="32">
        <f t="array" aca="1" ref="C8:C260" ca="1">_xlfn.STOCKHISTORY(C7,start.date,end.date,0,0,1)</f>
        <v>173.54</v>
      </c>
      <c r="D8" cm="1" vm="33">
        <f t="array" aca="1" ref="D8:D260" ca="1">_xlfn.STOCKHISTORY(D7,start.date,end.date,0,0,1)</f>
        <v>407.48</v>
      </c>
      <c r="E8" cm="1" vm="34">
        <f t="array" aca="1" ref="E8:E260" ca="1">_xlfn.STOCKHISTORY(E7,start.date,end.date,0,0,1)</f>
        <v>327.72</v>
      </c>
      <c r="F8" cm="1" vm="35">
        <f t="array" aca="1" ref="F8:F260" ca="1">_xlfn.STOCKHISTORY(F7,start.date,end.date,0,0,1)</f>
        <v>159.30000000000001</v>
      </c>
      <c r="G8" cm="1" vm="36">
        <f t="array" aca="1" ref="G8:G260" ca="1">_xlfn.STOCKHISTORY(G7,start.date,end.date,0,0,1)</f>
        <v>183.45</v>
      </c>
      <c r="H8" cm="1" vm="37">
        <f t="array" aca="1" ref="H8:H260" ca="1">_xlfn.STOCKHISTORY(H7,start.date,end.date,0,0,1)</f>
        <v>513.41999999999996</v>
      </c>
      <c r="I8" cm="1" vm="38">
        <f t="array" aca="1" ref="I8:I260" ca="1">_xlfn.STOCKHISTORY(I7,start.date,end.date,0,0,1)</f>
        <v>104.03</v>
      </c>
      <c r="J8" cm="1" vm="39">
        <f t="array" aca="1" ref="J8:J260" ca="1">_xlfn.STOCKHISTORY(J7,start.date,end.date,0,0,1)</f>
        <v>17.158000000000001</v>
      </c>
      <c r="K8" cm="1" vm="40">
        <f t="array" aca="1" ref="K8:K260" ca="1">_xlfn.STOCKHISTORY(K7,start.date,end.date,0,0,1)</f>
        <v>40.08</v>
      </c>
      <c r="L8" cm="1" vm="41">
        <f t="array" aca="1" ref="L8:L260" ca="1">_xlfn.STOCKHISTORY(L7,start.date,end.date,0,0,1)</f>
        <v>26.89</v>
      </c>
      <c r="M8" cm="1" vm="42">
        <f t="array" aca="1" ref="M8:M260" ca="1">_xlfn.STOCKHISTORY(M7,start.date,end.date,0,0,1)</f>
        <v>159.54</v>
      </c>
      <c r="N8" cm="1" vm="43">
        <f t="array" aca="1" ref="N8:N260" ca="1">_xlfn.STOCKHISTORY(N7,start.date,end.date,0,0,1)</f>
        <v>78.700999999999993</v>
      </c>
      <c r="O8" cm="1" vm="44">
        <f t="array" aca="1" ref="O8:O260" ca="1">_xlfn.STOCKHISTORY(O7,start.date,end.date,0,0,1)</f>
        <v>48.31</v>
      </c>
      <c r="P8" cm="1" vm="45">
        <f t="array" aca="1" ref="P8:P260" ca="1">_xlfn.STOCKHISTORY(P7,start.date,end.date,0,0,1)</f>
        <v>129.62299999999999</v>
      </c>
    </row>
    <row r="9" spans="1:16" x14ac:dyDescent="0.25">
      <c r="A9" vm="46">
        <f ca="1"/>
        <v>45350</v>
      </c>
      <c r="B9" vm="47">
        <f ca="1"/>
        <v>202.04</v>
      </c>
      <c r="C9" vm="48">
        <f ca="1"/>
        <v>173.16</v>
      </c>
      <c r="D9" vm="49">
        <f ca="1"/>
        <v>407.72</v>
      </c>
      <c r="E9" vm="50">
        <f ca="1"/>
        <v>329.68</v>
      </c>
      <c r="F9" vm="51">
        <f ca="1"/>
        <v>160.05000000000001</v>
      </c>
      <c r="G9" vm="52">
        <f ca="1"/>
        <v>184.38</v>
      </c>
      <c r="H9" vm="53">
        <f ca="1"/>
        <v>498.28</v>
      </c>
      <c r="I9" vm="54">
        <f ca="1"/>
        <v>104.32</v>
      </c>
      <c r="J9" vm="55">
        <f ca="1"/>
        <v>17.032</v>
      </c>
      <c r="K9" vm="56">
        <f ca="1"/>
        <v>41.63</v>
      </c>
      <c r="L9" vm="57">
        <f ca="1"/>
        <v>27.04</v>
      </c>
      <c r="M9" vm="58">
        <f ca="1"/>
        <v>160.59</v>
      </c>
      <c r="N9" vm="59">
        <f ca="1"/>
        <v>77.662999999999997</v>
      </c>
      <c r="O9" vm="60">
        <f ca="1"/>
        <v>48.06</v>
      </c>
      <c r="P9" vm="61">
        <f ca="1"/>
        <v>128.94200000000001</v>
      </c>
    </row>
    <row r="10" spans="1:16" x14ac:dyDescent="0.25">
      <c r="A10" vm="62">
        <f ca="1"/>
        <v>45351</v>
      </c>
      <c r="B10" vm="63">
        <f ca="1"/>
        <v>201.88</v>
      </c>
      <c r="C10" vm="64">
        <f ca="1"/>
        <v>176.76</v>
      </c>
      <c r="D10" vm="65">
        <f ca="1"/>
        <v>413.64</v>
      </c>
      <c r="E10" vm="66">
        <f ca="1"/>
        <v>332.03</v>
      </c>
      <c r="F10" vm="67">
        <f ca="1"/>
        <v>158.94</v>
      </c>
      <c r="G10" vm="68">
        <f ca="1"/>
        <v>186.06</v>
      </c>
      <c r="H10" vm="69">
        <f ca="1"/>
        <v>493.6</v>
      </c>
      <c r="I10" vm="70">
        <f ca="1"/>
        <v>104.52</v>
      </c>
      <c r="J10" vm="71">
        <f ca="1"/>
        <v>17.161999999999999</v>
      </c>
      <c r="K10" vm="72">
        <f ca="1"/>
        <v>41.33</v>
      </c>
      <c r="L10" vm="73">
        <f ca="1"/>
        <v>26.56</v>
      </c>
      <c r="M10" vm="74">
        <f ca="1"/>
        <v>159.52000000000001</v>
      </c>
      <c r="N10" vm="75">
        <f ca="1"/>
        <v>79.111999999999995</v>
      </c>
      <c r="O10" vm="76">
        <f ca="1"/>
        <v>48.37</v>
      </c>
      <c r="P10" vm="77">
        <f ca="1"/>
        <v>130.04900000000001</v>
      </c>
    </row>
    <row r="11" spans="1:16" x14ac:dyDescent="0.25">
      <c r="A11" vm="78">
        <f ca="1"/>
        <v>45352</v>
      </c>
      <c r="B11" vm="79">
        <f ca="1"/>
        <v>202.64</v>
      </c>
      <c r="C11" vm="80">
        <f ca="1"/>
        <v>178.22</v>
      </c>
      <c r="D11" vm="81">
        <f ca="1"/>
        <v>415.5</v>
      </c>
      <c r="E11" vm="82">
        <f ca="1"/>
        <v>335.23</v>
      </c>
      <c r="F11" vm="83">
        <f ca="1"/>
        <v>158.85</v>
      </c>
      <c r="G11" vm="84">
        <f ca="1"/>
        <v>185.29</v>
      </c>
      <c r="H11" vm="85">
        <f ca="1"/>
        <v>489.53</v>
      </c>
      <c r="I11" vm="86">
        <f ca="1"/>
        <v>105.84</v>
      </c>
      <c r="J11" vm="87">
        <f ca="1"/>
        <v>17.603999999999999</v>
      </c>
      <c r="K11" vm="88">
        <f ca="1"/>
        <v>41.31</v>
      </c>
      <c r="L11" vm="89">
        <f ca="1"/>
        <v>26.59</v>
      </c>
      <c r="M11" vm="90">
        <f ca="1"/>
        <v>155.15</v>
      </c>
      <c r="N11" vm="91">
        <f ca="1"/>
        <v>82.278999999999996</v>
      </c>
      <c r="O11" vm="92">
        <f ca="1"/>
        <v>48.4</v>
      </c>
      <c r="P11" vm="93">
        <f ca="1"/>
        <v>139.917</v>
      </c>
    </row>
    <row r="12" spans="1:16" x14ac:dyDescent="0.25">
      <c r="A12" vm="94">
        <f ca="1"/>
        <v>45355</v>
      </c>
      <c r="B12" vm="95">
        <f ca="1"/>
        <v>188.14</v>
      </c>
      <c r="C12" vm="96">
        <f ca="1"/>
        <v>177.58</v>
      </c>
      <c r="D12" vm="97">
        <f ca="1"/>
        <v>414.92</v>
      </c>
      <c r="E12" vm="98">
        <f ca="1"/>
        <v>337.1</v>
      </c>
      <c r="F12" vm="99">
        <f ca="1"/>
        <v>159.56</v>
      </c>
      <c r="G12" vm="100">
        <f ca="1"/>
        <v>186.68</v>
      </c>
      <c r="H12" vm="101">
        <f ca="1"/>
        <v>481.87</v>
      </c>
      <c r="I12" vm="102">
        <f ca="1"/>
        <v>104.36</v>
      </c>
      <c r="J12" vm="103">
        <f ca="1"/>
        <v>17.295999999999999</v>
      </c>
      <c r="K12" vm="104">
        <f ca="1"/>
        <v>42.16</v>
      </c>
      <c r="L12" vm="105">
        <f ca="1"/>
        <v>25.89</v>
      </c>
      <c r="M12" vm="106">
        <f ca="1"/>
        <v>156.38</v>
      </c>
      <c r="N12" vm="107">
        <f ca="1"/>
        <v>85.236999999999995</v>
      </c>
      <c r="O12" vm="108">
        <f ca="1"/>
        <v>49.13</v>
      </c>
      <c r="P12" vm="109">
        <f ca="1"/>
        <v>140.226</v>
      </c>
    </row>
    <row r="13" spans="1:16" x14ac:dyDescent="0.25">
      <c r="A13" vm="110">
        <f ca="1"/>
        <v>45356</v>
      </c>
      <c r="B13" vm="111">
        <f ca="1"/>
        <v>180.74</v>
      </c>
      <c r="C13" vm="112">
        <f ca="1"/>
        <v>174.12</v>
      </c>
      <c r="D13" vm="113">
        <f ca="1"/>
        <v>402.65</v>
      </c>
      <c r="E13" vm="114">
        <f ca="1"/>
        <v>333.28</v>
      </c>
      <c r="F13" vm="115">
        <f ca="1"/>
        <v>159.32</v>
      </c>
      <c r="G13" vm="116">
        <f ca="1"/>
        <v>188.55</v>
      </c>
      <c r="H13" vm="117">
        <f ca="1"/>
        <v>473.15</v>
      </c>
      <c r="I13" vm="118">
        <f ca="1"/>
        <v>105.64</v>
      </c>
      <c r="J13" vm="119">
        <f ca="1"/>
        <v>17.132000000000001</v>
      </c>
      <c r="K13" vm="120">
        <f ca="1"/>
        <v>42.59</v>
      </c>
      <c r="L13" vm="121">
        <f ca="1"/>
        <v>26.08</v>
      </c>
      <c r="M13" vm="122">
        <f ca="1"/>
        <v>156.77000000000001</v>
      </c>
      <c r="N13" vm="123">
        <f ca="1"/>
        <v>85.963999999999999</v>
      </c>
      <c r="O13" vm="124">
        <f ca="1"/>
        <v>48.95</v>
      </c>
      <c r="P13" vm="125">
        <f ca="1"/>
        <v>134.27500000000001</v>
      </c>
    </row>
    <row r="14" spans="1:16" x14ac:dyDescent="0.25">
      <c r="A14" vm="126">
        <f ca="1"/>
        <v>45357</v>
      </c>
      <c r="B14" vm="127">
        <f ca="1"/>
        <v>176.54</v>
      </c>
      <c r="C14" vm="128">
        <f ca="1"/>
        <v>173.51</v>
      </c>
      <c r="D14" vm="129">
        <f ca="1"/>
        <v>402.09</v>
      </c>
      <c r="E14" vm="130">
        <f ca="1"/>
        <v>336.49</v>
      </c>
      <c r="F14" vm="131">
        <f ca="1"/>
        <v>159.57</v>
      </c>
      <c r="G14" vm="132">
        <f ca="1"/>
        <v>189.53</v>
      </c>
      <c r="H14" vm="133">
        <f ca="1"/>
        <v>472.6</v>
      </c>
      <c r="I14" vm="134">
        <f ca="1"/>
        <v>106.77</v>
      </c>
      <c r="J14" vm="135">
        <f ca="1"/>
        <v>17.353999999999999</v>
      </c>
      <c r="K14" vm="136">
        <f ca="1"/>
        <v>43.04</v>
      </c>
      <c r="L14" vm="137">
        <f ca="1"/>
        <v>27.19</v>
      </c>
      <c r="M14" vm="138">
        <f ca="1"/>
        <v>157.04</v>
      </c>
      <c r="N14" vm="139">
        <f ca="1"/>
        <v>88.7</v>
      </c>
      <c r="O14" vm="140">
        <f ca="1"/>
        <v>49.17</v>
      </c>
      <c r="P14" vm="141">
        <f ca="1"/>
        <v>135</v>
      </c>
    </row>
    <row r="15" spans="1:16" x14ac:dyDescent="0.25">
      <c r="A15" vm="142">
        <f ca="1"/>
        <v>45358</v>
      </c>
      <c r="B15" vm="143">
        <f ca="1"/>
        <v>178.65</v>
      </c>
      <c r="C15" vm="144">
        <f ca="1"/>
        <v>176.82</v>
      </c>
      <c r="D15" vm="145">
        <f ca="1"/>
        <v>409.14</v>
      </c>
      <c r="E15" vm="146">
        <f ca="1"/>
        <v>344.66</v>
      </c>
      <c r="F15" vm="147">
        <f ca="1"/>
        <v>160.62</v>
      </c>
      <c r="G15" vm="148">
        <f ca="1"/>
        <v>187.87</v>
      </c>
      <c r="H15" vm="149">
        <f ca="1"/>
        <v>478.78</v>
      </c>
      <c r="I15" vm="150">
        <f ca="1"/>
        <v>107.37</v>
      </c>
      <c r="J15" vm="151">
        <f ca="1"/>
        <v>17.38</v>
      </c>
      <c r="K15" vm="152">
        <f ca="1"/>
        <v>43.28</v>
      </c>
      <c r="L15" vm="153">
        <f ca="1"/>
        <v>26.79</v>
      </c>
      <c r="M15" vm="154">
        <f ca="1"/>
        <v>156.63999999999999</v>
      </c>
      <c r="N15" vm="155">
        <f ca="1"/>
        <v>92.668999999999997</v>
      </c>
      <c r="O15" vm="156">
        <f ca="1"/>
        <v>48.9</v>
      </c>
      <c r="P15" vm="157">
        <f ca="1"/>
        <v>140.70099999999999</v>
      </c>
    </row>
    <row r="16" spans="1:16" x14ac:dyDescent="0.25">
      <c r="A16" vm="158">
        <f ca="1"/>
        <v>45359</v>
      </c>
      <c r="B16" vm="159">
        <f ca="1"/>
        <v>175.34</v>
      </c>
      <c r="C16" vm="160">
        <f ca="1"/>
        <v>175.35</v>
      </c>
      <c r="D16" vm="161">
        <f ca="1"/>
        <v>406.22</v>
      </c>
      <c r="E16" vm="162">
        <f ca="1"/>
        <v>340.69</v>
      </c>
      <c r="F16" vm="163">
        <f ca="1"/>
        <v>160.35</v>
      </c>
      <c r="G16" vm="164">
        <f ca="1"/>
        <v>188.22</v>
      </c>
      <c r="H16" vm="165">
        <f ca="1"/>
        <v>476.57</v>
      </c>
      <c r="I16" vm="166">
        <f ca="1"/>
        <v>108.38</v>
      </c>
      <c r="J16" vm="167">
        <f ca="1"/>
        <v>17.442</v>
      </c>
      <c r="K16" vm="168">
        <f ca="1"/>
        <v>43.07</v>
      </c>
      <c r="L16" vm="169">
        <f ca="1"/>
        <v>27.22</v>
      </c>
      <c r="M16" vm="170">
        <f ca="1"/>
        <v>156.91999999999999</v>
      </c>
      <c r="N16" vm="171">
        <f ca="1"/>
        <v>87.528000000000006</v>
      </c>
      <c r="O16" vm="172">
        <f ca="1"/>
        <v>49.5</v>
      </c>
      <c r="P16" vm="173">
        <f ca="1"/>
        <v>130.87200000000001</v>
      </c>
    </row>
    <row r="17" spans="1:16" x14ac:dyDescent="0.25">
      <c r="A17" vm="174">
        <f ca="1"/>
        <v>45362</v>
      </c>
      <c r="B17" vm="175">
        <f ca="1"/>
        <v>177.77</v>
      </c>
      <c r="C17" vm="176">
        <f ca="1"/>
        <v>171.96</v>
      </c>
      <c r="D17" vm="177">
        <f ca="1"/>
        <v>404.52</v>
      </c>
      <c r="E17" vm="178">
        <f ca="1"/>
        <v>340.39</v>
      </c>
      <c r="F17" vm="179">
        <f ca="1"/>
        <v>161.55000000000001</v>
      </c>
      <c r="G17" vm="180">
        <f ca="1"/>
        <v>188.29</v>
      </c>
      <c r="H17" vm="181">
        <f ca="1"/>
        <v>489.15</v>
      </c>
      <c r="I17" vm="182">
        <f ca="1"/>
        <v>109.02</v>
      </c>
      <c r="J17" vm="183">
        <f ca="1"/>
        <v>17.352</v>
      </c>
      <c r="K17" vm="184">
        <f ca="1"/>
        <v>42.93</v>
      </c>
      <c r="L17" vm="185">
        <f ca="1"/>
        <v>28.37</v>
      </c>
      <c r="M17" vm="186">
        <f ca="1"/>
        <v>159.94</v>
      </c>
      <c r="N17" vm="187">
        <f ca="1"/>
        <v>85.774000000000001</v>
      </c>
      <c r="O17" vm="188">
        <f ca="1"/>
        <v>50.22</v>
      </c>
      <c r="P17" vm="189">
        <f ca="1"/>
        <v>129.31200000000001</v>
      </c>
    </row>
    <row r="18" spans="1:16" x14ac:dyDescent="0.25">
      <c r="A18" vm="190">
        <f ca="1"/>
        <v>45363</v>
      </c>
      <c r="B18" vm="191">
        <f ca="1"/>
        <v>177.54</v>
      </c>
      <c r="C18" vm="192">
        <f ca="1"/>
        <v>175.39</v>
      </c>
      <c r="D18" vm="193">
        <f ca="1"/>
        <v>415.28</v>
      </c>
      <c r="E18" vm="194">
        <f ca="1"/>
        <v>342.7</v>
      </c>
      <c r="F18" vm="195">
        <f ca="1"/>
        <v>161.93</v>
      </c>
      <c r="G18" vm="196">
        <f ca="1"/>
        <v>189.84</v>
      </c>
      <c r="H18" vm="197">
        <f ca="1"/>
        <v>489.35</v>
      </c>
      <c r="I18" vm="198">
        <f ca="1"/>
        <v>108.32</v>
      </c>
      <c r="J18" vm="199">
        <f ca="1"/>
        <v>17.55</v>
      </c>
      <c r="K18" vm="200">
        <f ca="1"/>
        <v>43.21</v>
      </c>
      <c r="L18" vm="201">
        <f ca="1"/>
        <v>28.01</v>
      </c>
      <c r="M18" vm="202">
        <f ca="1"/>
        <v>159.6</v>
      </c>
      <c r="N18" vm="203">
        <f ca="1"/>
        <v>91.912999999999997</v>
      </c>
      <c r="O18" vm="204">
        <f ca="1"/>
        <v>50.07</v>
      </c>
      <c r="P18" vm="205">
        <f ca="1"/>
        <v>129.18799999999999</v>
      </c>
    </row>
    <row r="19" spans="1:16" x14ac:dyDescent="0.25">
      <c r="A19" vm="206">
        <f ca="1"/>
        <v>45364</v>
      </c>
      <c r="B19" vm="207">
        <f ca="1"/>
        <v>169.48</v>
      </c>
      <c r="C19" vm="208">
        <f ca="1"/>
        <v>176.55500000000001</v>
      </c>
      <c r="D19" vm="209">
        <f ca="1"/>
        <v>415.1</v>
      </c>
      <c r="E19" vm="210">
        <f ca="1"/>
        <v>336.81</v>
      </c>
      <c r="F19" vm="211">
        <f ca="1"/>
        <v>162.30000000000001</v>
      </c>
      <c r="G19" vm="212">
        <f ca="1"/>
        <v>191.38</v>
      </c>
      <c r="H19" vm="213">
        <f ca="1"/>
        <v>488</v>
      </c>
      <c r="I19" vm="214">
        <f ca="1"/>
        <v>109.53</v>
      </c>
      <c r="J19" vm="215">
        <f ca="1"/>
        <v>17.568000000000001</v>
      </c>
      <c r="K19" vm="216">
        <f ca="1"/>
        <v>43.7</v>
      </c>
      <c r="L19" vm="217">
        <f ca="1"/>
        <v>28.22</v>
      </c>
      <c r="M19" vm="218">
        <f ca="1"/>
        <v>160.08000000000001</v>
      </c>
      <c r="N19" vm="219">
        <f ca="1"/>
        <v>90.888000000000005</v>
      </c>
      <c r="O19" vm="220">
        <f ca="1"/>
        <v>50.11</v>
      </c>
      <c r="P19" vm="221">
        <f ca="1"/>
        <v>125.78700000000001</v>
      </c>
    </row>
    <row r="20" spans="1:16" x14ac:dyDescent="0.25">
      <c r="A20" vm="222">
        <f ca="1"/>
        <v>45365</v>
      </c>
      <c r="B20" vm="223">
        <f ca="1"/>
        <v>162.5</v>
      </c>
      <c r="C20" vm="224">
        <f ca="1"/>
        <v>178.75</v>
      </c>
      <c r="D20" vm="225">
        <f ca="1"/>
        <v>425.22</v>
      </c>
      <c r="E20" vm="226">
        <f ca="1"/>
        <v>334.92</v>
      </c>
      <c r="F20" vm="227">
        <f ca="1"/>
        <v>161.5</v>
      </c>
      <c r="G20" vm="228">
        <f ca="1"/>
        <v>187.97</v>
      </c>
      <c r="H20" vm="229">
        <f ca="1"/>
        <v>489</v>
      </c>
      <c r="I20" vm="230">
        <f ca="1"/>
        <v>111.47</v>
      </c>
      <c r="J20" vm="231">
        <f ca="1"/>
        <v>17.420000000000002</v>
      </c>
      <c r="K20" vm="232">
        <f ca="1"/>
        <v>43.68</v>
      </c>
      <c r="L20" vm="233">
        <f ca="1"/>
        <v>28.13</v>
      </c>
      <c r="M20" vm="234">
        <f ca="1"/>
        <v>159.38</v>
      </c>
      <c r="N20" vm="235">
        <f ca="1"/>
        <v>87.944000000000003</v>
      </c>
      <c r="O20" vm="236">
        <f ca="1"/>
        <v>49.79</v>
      </c>
      <c r="P20" vm="237">
        <f ca="1"/>
        <v>126.227</v>
      </c>
    </row>
    <row r="21" spans="1:16" x14ac:dyDescent="0.25">
      <c r="A21" vm="238">
        <f ca="1"/>
        <v>45366</v>
      </c>
      <c r="B21" vm="239">
        <f ca="1"/>
        <v>163.57</v>
      </c>
      <c r="C21" vm="240">
        <f ca="1"/>
        <v>174.42</v>
      </c>
      <c r="D21" vm="241">
        <f ca="1"/>
        <v>416.42</v>
      </c>
      <c r="E21" vm="242">
        <f ca="1"/>
        <v>334.66</v>
      </c>
      <c r="F21" vm="243">
        <f ca="1"/>
        <v>161.38</v>
      </c>
      <c r="G21" vm="244">
        <f ca="1"/>
        <v>190.3</v>
      </c>
      <c r="H21" vm="245">
        <f ca="1"/>
        <v>490.82</v>
      </c>
      <c r="I21" vm="246">
        <f ca="1"/>
        <v>111.27</v>
      </c>
      <c r="J21" vm="247">
        <f ca="1"/>
        <v>17.475999999999999</v>
      </c>
      <c r="K21" vm="248">
        <f ca="1"/>
        <v>44.38</v>
      </c>
      <c r="L21" vm="249">
        <f ca="1"/>
        <v>27.94</v>
      </c>
      <c r="M21" vm="250">
        <f ca="1"/>
        <v>162.19999999999999</v>
      </c>
      <c r="N21" vm="251">
        <f ca="1"/>
        <v>87.836500000000001</v>
      </c>
      <c r="O21" vm="252">
        <f ca="1"/>
        <v>48.93</v>
      </c>
      <c r="P21" vm="253">
        <f ca="1"/>
        <v>123.55</v>
      </c>
    </row>
    <row r="22" spans="1:16" x14ac:dyDescent="0.25">
      <c r="A22" vm="254">
        <f ca="1"/>
        <v>45369</v>
      </c>
      <c r="B22" vm="255">
        <f ca="1"/>
        <v>173.8</v>
      </c>
      <c r="C22" vm="256">
        <f ca="1"/>
        <v>174.48</v>
      </c>
      <c r="D22" vm="257">
        <f ca="1"/>
        <v>417.32</v>
      </c>
      <c r="E22" vm="258">
        <f ca="1"/>
        <v>335.27</v>
      </c>
      <c r="F22" vm="259">
        <f ca="1"/>
        <v>161.21</v>
      </c>
      <c r="G22" vm="260">
        <f ca="1"/>
        <v>192.66</v>
      </c>
      <c r="H22" vm="261">
        <f ca="1"/>
        <v>487.05</v>
      </c>
      <c r="I22" vm="262">
        <f ca="1"/>
        <v>112.3</v>
      </c>
      <c r="J22" vm="263">
        <f ca="1"/>
        <v>17.806000000000001</v>
      </c>
      <c r="K22" vm="264">
        <f ca="1"/>
        <v>44.33</v>
      </c>
      <c r="L22" vm="265">
        <f ca="1"/>
        <v>27.72</v>
      </c>
      <c r="M22" vm="266">
        <f ca="1"/>
        <v>163.01</v>
      </c>
      <c r="N22" vm="267">
        <f ca="1"/>
        <v>88.454999999999998</v>
      </c>
      <c r="O22" vm="268">
        <f ca="1"/>
        <v>49.27</v>
      </c>
      <c r="P22" vm="269">
        <f ca="1"/>
        <v>123.724</v>
      </c>
    </row>
    <row r="23" spans="1:16" x14ac:dyDescent="0.25">
      <c r="A23" vm="270">
        <f ca="1"/>
        <v>45370</v>
      </c>
      <c r="B23" vm="271">
        <f ca="1"/>
        <v>171.32</v>
      </c>
      <c r="C23" vm="272">
        <f ca="1"/>
        <v>175.9</v>
      </c>
      <c r="D23" vm="273">
        <f ca="1"/>
        <v>421.41</v>
      </c>
      <c r="E23" vm="274">
        <f ca="1"/>
        <v>336.58</v>
      </c>
      <c r="F23" vm="275">
        <f ca="1"/>
        <v>161.83000000000001</v>
      </c>
      <c r="G23" vm="276">
        <f ca="1"/>
        <v>193.79</v>
      </c>
      <c r="H23" vm="277">
        <f ca="1"/>
        <v>493.32</v>
      </c>
      <c r="I23" vm="278">
        <f ca="1"/>
        <v>113.09</v>
      </c>
      <c r="J23" vm="279">
        <f ca="1"/>
        <v>17.8</v>
      </c>
      <c r="K23" vm="280">
        <f ca="1"/>
        <v>45.23</v>
      </c>
      <c r="L23" vm="281">
        <f ca="1"/>
        <v>27.63</v>
      </c>
      <c r="M23" vm="282">
        <f ca="1"/>
        <v>162.36000000000001</v>
      </c>
      <c r="N23" vm="283">
        <f ca="1"/>
        <v>89.397999999999996</v>
      </c>
      <c r="O23" vm="284">
        <f ca="1"/>
        <v>49.14</v>
      </c>
      <c r="P23" vm="285">
        <f ca="1"/>
        <v>123.801</v>
      </c>
    </row>
    <row r="24" spans="1:16" x14ac:dyDescent="0.25">
      <c r="A24" vm="286">
        <f ca="1"/>
        <v>45371</v>
      </c>
      <c r="B24" vm="287">
        <f ca="1"/>
        <v>175.66</v>
      </c>
      <c r="C24" vm="288">
        <f ca="1"/>
        <v>178.15</v>
      </c>
      <c r="D24" vm="289">
        <f ca="1"/>
        <v>425.23</v>
      </c>
      <c r="E24" vm="290">
        <f ca="1"/>
        <v>341.05</v>
      </c>
      <c r="F24" vm="291">
        <f ca="1"/>
        <v>161.99</v>
      </c>
      <c r="G24" vm="292">
        <f ca="1"/>
        <v>196.33</v>
      </c>
      <c r="H24" vm="293">
        <f ca="1"/>
        <v>494.23</v>
      </c>
      <c r="I24" vm="294">
        <f ca="1"/>
        <v>112.99</v>
      </c>
      <c r="J24" vm="295">
        <f ca="1"/>
        <v>17.923999999999999</v>
      </c>
      <c r="K24" vm="296">
        <f ca="1"/>
        <v>46.35</v>
      </c>
      <c r="L24" vm="297">
        <f ca="1"/>
        <v>27.7</v>
      </c>
      <c r="M24" vm="298">
        <f ca="1"/>
        <v>161.16999999999999</v>
      </c>
      <c r="N24" vm="299">
        <f ca="1"/>
        <v>90.372</v>
      </c>
      <c r="O24" vm="300">
        <f ca="1"/>
        <v>49.55</v>
      </c>
      <c r="P24" vm="301">
        <f ca="1"/>
        <v>127.6</v>
      </c>
    </row>
    <row r="25" spans="1:16" x14ac:dyDescent="0.25">
      <c r="A25" vm="302">
        <f ca="1"/>
        <v>45372</v>
      </c>
      <c r="B25" vm="303">
        <f ca="1"/>
        <v>172.82</v>
      </c>
      <c r="C25" vm="288">
        <f ca="1"/>
        <v>178.15</v>
      </c>
      <c r="D25" vm="304">
        <f ca="1"/>
        <v>429.37</v>
      </c>
      <c r="E25" vm="305">
        <f ca="1"/>
        <v>347.23</v>
      </c>
      <c r="F25" vm="306">
        <f ca="1"/>
        <v>161.86000000000001</v>
      </c>
      <c r="G25" vm="307">
        <f ca="1"/>
        <v>199.06</v>
      </c>
      <c r="H25" vm="308">
        <f ca="1"/>
        <v>491.69</v>
      </c>
      <c r="I25" vm="309">
        <f ca="1"/>
        <v>113.49</v>
      </c>
      <c r="J25" vm="310">
        <f ca="1"/>
        <v>17.744</v>
      </c>
      <c r="K25" vm="311">
        <f ca="1"/>
        <v>45.87</v>
      </c>
      <c r="L25" vm="312">
        <f ca="1"/>
        <v>27.66</v>
      </c>
      <c r="M25" vm="313">
        <f ca="1"/>
        <v>162.16999999999999</v>
      </c>
      <c r="N25" vm="314">
        <f ca="1"/>
        <v>91.435000000000002</v>
      </c>
      <c r="O25" vm="315">
        <f ca="1"/>
        <v>49.88</v>
      </c>
      <c r="P25" vm="316">
        <f ca="1"/>
        <v>134.80000000000001</v>
      </c>
    </row>
    <row r="26" spans="1:16" x14ac:dyDescent="0.25">
      <c r="A26" vm="317">
        <f ca="1"/>
        <v>45373</v>
      </c>
      <c r="B26" vm="318">
        <f ca="1"/>
        <v>170.83</v>
      </c>
      <c r="C26" vm="319">
        <f ca="1"/>
        <v>178.87</v>
      </c>
      <c r="D26" vm="320">
        <f ca="1"/>
        <v>428.74</v>
      </c>
      <c r="E26" vm="321">
        <f ca="1"/>
        <v>342.87</v>
      </c>
      <c r="F26" vm="322">
        <f ca="1"/>
        <v>161.66</v>
      </c>
      <c r="G26" vm="323">
        <f ca="1"/>
        <v>196.62</v>
      </c>
      <c r="H26" vm="324">
        <f ca="1"/>
        <v>490.07</v>
      </c>
      <c r="I26" vm="309">
        <f ca="1"/>
        <v>113.49</v>
      </c>
      <c r="J26" vm="325">
        <f ca="1"/>
        <v>17.724</v>
      </c>
      <c r="K26" vm="326">
        <f ca="1"/>
        <v>45.95</v>
      </c>
      <c r="L26" vm="327">
        <f ca="1"/>
        <v>27.36</v>
      </c>
      <c r="M26" vm="328">
        <f ca="1"/>
        <v>165.25</v>
      </c>
      <c r="N26" vm="329">
        <f ca="1"/>
        <v>94.289000000000001</v>
      </c>
      <c r="O26" vm="330">
        <f ca="1"/>
        <v>49.78</v>
      </c>
      <c r="P26" vm="331">
        <f ca="1"/>
        <v>135.34700000000001</v>
      </c>
    </row>
    <row r="27" spans="1:16" x14ac:dyDescent="0.25">
      <c r="A27" vm="332">
        <f ca="1"/>
        <v>45376</v>
      </c>
      <c r="B27" vm="333">
        <f ca="1"/>
        <v>172.63</v>
      </c>
      <c r="C27" vm="334">
        <f ca="1"/>
        <v>179.71</v>
      </c>
      <c r="D27" vm="335">
        <f ca="1"/>
        <v>422.86</v>
      </c>
      <c r="E27" vm="336">
        <f ca="1"/>
        <v>342</v>
      </c>
      <c r="F27" vm="337">
        <f ca="1"/>
        <v>160.19</v>
      </c>
      <c r="G27" vm="338">
        <f ca="1"/>
        <v>194.82</v>
      </c>
      <c r="H27" vm="339">
        <f ca="1"/>
        <v>485.88</v>
      </c>
      <c r="I27" vm="340">
        <f ca="1"/>
        <v>114.65</v>
      </c>
      <c r="J27" vm="341">
        <f ca="1"/>
        <v>17.192</v>
      </c>
      <c r="K27" vm="342">
        <f ca="1"/>
        <v>45.98</v>
      </c>
      <c r="L27" vm="343">
        <f ca="1"/>
        <v>27.43</v>
      </c>
      <c r="M27" vm="344">
        <f ca="1"/>
        <v>168.97</v>
      </c>
      <c r="N27" vm="345">
        <f ca="1"/>
        <v>95.001999999999995</v>
      </c>
      <c r="O27" vm="346">
        <f ca="1"/>
        <v>49.68</v>
      </c>
      <c r="P27" vm="347">
        <f ca="1"/>
        <v>135.15799999999999</v>
      </c>
    </row>
    <row r="28" spans="1:16" x14ac:dyDescent="0.25">
      <c r="A28" vm="348">
        <f ca="1"/>
        <v>45377</v>
      </c>
      <c r="B28" vm="349">
        <f ca="1"/>
        <v>177.67</v>
      </c>
      <c r="C28" vm="350">
        <f ca="1"/>
        <v>178.3</v>
      </c>
      <c r="D28" vm="351">
        <f ca="1"/>
        <v>421.65</v>
      </c>
      <c r="E28" vm="336">
        <f ca="1"/>
        <v>342</v>
      </c>
      <c r="F28" vm="352">
        <f ca="1"/>
        <v>160.55000000000001</v>
      </c>
      <c r="G28" vm="353">
        <f ca="1"/>
        <v>195.73</v>
      </c>
      <c r="H28" vm="354">
        <f ca="1"/>
        <v>492.31</v>
      </c>
      <c r="I28" vm="355">
        <f ca="1"/>
        <v>113.79</v>
      </c>
      <c r="J28" vm="356">
        <f ca="1"/>
        <v>17.344000000000001</v>
      </c>
      <c r="K28" vm="357">
        <f ca="1"/>
        <v>46.03</v>
      </c>
      <c r="L28" vm="358">
        <f ca="1"/>
        <v>27.59</v>
      </c>
      <c r="M28" vm="359">
        <f ca="1"/>
        <v>170.81</v>
      </c>
      <c r="N28" vm="360">
        <f ca="1"/>
        <v>92.561000000000007</v>
      </c>
      <c r="O28" vm="300">
        <f ca="1"/>
        <v>49.55</v>
      </c>
      <c r="P28" vm="361">
        <f ca="1"/>
        <v>133.149</v>
      </c>
    </row>
    <row r="29" spans="1:16" x14ac:dyDescent="0.25">
      <c r="A29" vm="362">
        <f ca="1"/>
        <v>45378</v>
      </c>
      <c r="B29" vm="363">
        <f ca="1"/>
        <v>179.83</v>
      </c>
      <c r="C29" vm="363">
        <f ca="1"/>
        <v>179.83</v>
      </c>
      <c r="D29" vm="364">
        <f ca="1"/>
        <v>421.43</v>
      </c>
      <c r="E29" vm="365">
        <f ca="1"/>
        <v>346.89</v>
      </c>
      <c r="F29" vm="366">
        <f ca="1"/>
        <v>162.61000000000001</v>
      </c>
      <c r="G29" vm="367">
        <f ca="1"/>
        <v>199.52</v>
      </c>
      <c r="H29" vm="368">
        <f ca="1"/>
        <v>493.1</v>
      </c>
      <c r="I29" vm="369">
        <f ca="1"/>
        <v>114.97</v>
      </c>
      <c r="J29" vm="370">
        <f ca="1"/>
        <v>17.308</v>
      </c>
      <c r="K29" vm="371">
        <f ca="1"/>
        <v>46.56</v>
      </c>
      <c r="L29" vm="372">
        <f ca="1"/>
        <v>27.78</v>
      </c>
      <c r="M29" vm="373">
        <f ca="1"/>
        <v>169.84</v>
      </c>
      <c r="N29" vm="374">
        <f ca="1"/>
        <v>90.25</v>
      </c>
      <c r="O29" vm="375">
        <f ca="1"/>
        <v>49.77</v>
      </c>
      <c r="P29" vm="376">
        <f ca="1"/>
        <v>131.87299999999999</v>
      </c>
    </row>
    <row r="30" spans="1:16" x14ac:dyDescent="0.25">
      <c r="A30" vm="377">
        <f ca="1"/>
        <v>45379</v>
      </c>
      <c r="B30" vm="378">
        <f ca="1"/>
        <v>175.79</v>
      </c>
      <c r="C30" vm="379">
        <f ca="1"/>
        <v>180.38</v>
      </c>
      <c r="D30" vm="380">
        <f ca="1"/>
        <v>420.72</v>
      </c>
      <c r="E30" vm="381">
        <f ca="1"/>
        <v>347.33</v>
      </c>
      <c r="F30" vm="382">
        <f ca="1"/>
        <v>162.25</v>
      </c>
      <c r="G30" vm="383">
        <f ca="1"/>
        <v>200.3</v>
      </c>
      <c r="H30" vm="384">
        <f ca="1"/>
        <v>494.7</v>
      </c>
      <c r="I30" vm="385">
        <f ca="1"/>
        <v>116.24</v>
      </c>
      <c r="J30" vm="386">
        <f ca="1"/>
        <v>17.148</v>
      </c>
      <c r="K30" vm="387">
        <f ca="1"/>
        <v>46.16</v>
      </c>
      <c r="L30" vm="388">
        <f ca="1"/>
        <v>27.75</v>
      </c>
      <c r="M30" vm="389">
        <f ca="1"/>
        <v>173.01</v>
      </c>
      <c r="N30" vm="390">
        <f ca="1"/>
        <v>90.355999999999995</v>
      </c>
      <c r="O30" vm="391">
        <f ca="1"/>
        <v>49.91</v>
      </c>
      <c r="P30" vm="392">
        <f ca="1"/>
        <v>132.541</v>
      </c>
    </row>
    <row r="31" spans="1:16" x14ac:dyDescent="0.25">
      <c r="A31" vm="393">
        <f ca="1"/>
        <v>45383</v>
      </c>
      <c r="B31" vm="394">
        <f ca="1"/>
        <v>175.22</v>
      </c>
      <c r="C31" vm="395">
        <f ca="1"/>
        <v>180.97</v>
      </c>
      <c r="D31" vm="396">
        <f ca="1"/>
        <v>424.57</v>
      </c>
      <c r="E31" vm="397">
        <f ca="1"/>
        <v>338.16</v>
      </c>
      <c r="F31" vm="398">
        <f ca="1"/>
        <v>160.58000000000001</v>
      </c>
      <c r="G31" vm="399">
        <f ca="1"/>
        <v>198.94</v>
      </c>
      <c r="H31" vm="400">
        <f ca="1"/>
        <v>489.7</v>
      </c>
      <c r="I31" vm="401">
        <f ca="1"/>
        <v>116.99</v>
      </c>
      <c r="J31" vm="402">
        <f ca="1"/>
        <v>17.234000000000002</v>
      </c>
      <c r="K31" vm="403">
        <f ca="1"/>
        <v>45.92</v>
      </c>
      <c r="L31" vm="265">
        <f ca="1"/>
        <v>27.72</v>
      </c>
      <c r="M31" vm="404">
        <f ca="1"/>
        <v>172.57</v>
      </c>
      <c r="N31" vm="405">
        <f ca="1"/>
        <v>90.363</v>
      </c>
      <c r="O31" vm="406">
        <f ca="1"/>
        <v>50.04</v>
      </c>
      <c r="P31" vm="407">
        <f ca="1"/>
        <v>135.02600000000001</v>
      </c>
    </row>
    <row r="32" spans="1:16" x14ac:dyDescent="0.25">
      <c r="A32" vm="408">
        <f ca="1"/>
        <v>45384</v>
      </c>
      <c r="B32" vm="409">
        <f ca="1"/>
        <v>166.63</v>
      </c>
      <c r="C32" vm="410">
        <f ca="1"/>
        <v>180.69</v>
      </c>
      <c r="D32" vm="411">
        <f ca="1"/>
        <v>421.44</v>
      </c>
      <c r="E32" vm="412">
        <f ca="1"/>
        <v>333.96</v>
      </c>
      <c r="F32" vm="413">
        <f ca="1"/>
        <v>160.57</v>
      </c>
      <c r="G32" vm="414">
        <f ca="1"/>
        <v>198.86</v>
      </c>
      <c r="H32" vm="415">
        <f ca="1"/>
        <v>458.14</v>
      </c>
      <c r="I32" vm="416">
        <f ca="1"/>
        <v>119.28</v>
      </c>
      <c r="J32" vm="417">
        <f ca="1"/>
        <v>17.065999999999999</v>
      </c>
      <c r="K32" vm="418">
        <f ca="1"/>
        <v>45.07</v>
      </c>
      <c r="L32" vm="419">
        <f ca="1"/>
        <v>27.55</v>
      </c>
      <c r="M32" vm="420">
        <f ca="1"/>
        <v>172.54</v>
      </c>
      <c r="N32" vm="421">
        <f ca="1"/>
        <v>89.451999999999998</v>
      </c>
      <c r="O32" vm="422">
        <f ca="1"/>
        <v>49.36</v>
      </c>
      <c r="P32" vm="423">
        <f ca="1"/>
        <v>133.876</v>
      </c>
    </row>
    <row r="33" spans="1:16" x14ac:dyDescent="0.25">
      <c r="A33" vm="424">
        <f ca="1"/>
        <v>45385</v>
      </c>
      <c r="B33" vm="425">
        <f ca="1"/>
        <v>168.38</v>
      </c>
      <c r="C33" vm="426">
        <f ca="1"/>
        <v>182.41</v>
      </c>
      <c r="D33" vm="427">
        <f ca="1"/>
        <v>420.45</v>
      </c>
      <c r="E33" vm="428">
        <f ca="1"/>
        <v>334.29</v>
      </c>
      <c r="F33" vm="429">
        <f ca="1"/>
        <v>156.15</v>
      </c>
      <c r="G33" vm="430">
        <f ca="1"/>
        <v>198.3</v>
      </c>
      <c r="H33" vm="431">
        <f ca="1"/>
        <v>459.74</v>
      </c>
      <c r="I33" vm="432">
        <f ca="1"/>
        <v>119.3</v>
      </c>
      <c r="J33" vm="433">
        <f ca="1"/>
        <v>17.154</v>
      </c>
      <c r="K33" vm="434">
        <f ca="1"/>
        <v>45.43</v>
      </c>
      <c r="L33" vm="169">
        <f ca="1"/>
        <v>27.22</v>
      </c>
      <c r="M33" vm="435">
        <f ca="1"/>
        <v>173.42</v>
      </c>
      <c r="N33" vm="436">
        <f ca="1"/>
        <v>88.963999999999999</v>
      </c>
      <c r="O33" vm="437">
        <f ca="1"/>
        <v>48.74</v>
      </c>
      <c r="P33" vm="438">
        <f ca="1"/>
        <v>136.321</v>
      </c>
    </row>
    <row r="34" spans="1:16" x14ac:dyDescent="0.25">
      <c r="A34" vm="439">
        <f ca="1"/>
        <v>45386</v>
      </c>
      <c r="B34" vm="440">
        <f ca="1"/>
        <v>171.11</v>
      </c>
      <c r="C34" vm="441">
        <f ca="1"/>
        <v>180</v>
      </c>
      <c r="D34" vm="442">
        <f ca="1"/>
        <v>417.88</v>
      </c>
      <c r="E34" vm="443">
        <f ca="1"/>
        <v>329.86</v>
      </c>
      <c r="F34" vm="444">
        <f ca="1"/>
        <v>155.44999999999999</v>
      </c>
      <c r="G34" vm="445">
        <f ca="1"/>
        <v>195.65</v>
      </c>
      <c r="H34" vm="446">
        <f ca="1"/>
        <v>455.38</v>
      </c>
      <c r="I34" vm="447">
        <f ca="1"/>
        <v>119.72</v>
      </c>
      <c r="J34" vm="448">
        <f ca="1"/>
        <v>16.91</v>
      </c>
      <c r="K34" vm="449">
        <f ca="1"/>
        <v>44.97</v>
      </c>
      <c r="L34" vm="450">
        <f ca="1"/>
        <v>26.65</v>
      </c>
      <c r="M34" vm="451">
        <f ca="1"/>
        <v>171.23</v>
      </c>
      <c r="N34" vm="452">
        <f ca="1"/>
        <v>85.905000000000001</v>
      </c>
      <c r="O34" vm="453">
        <f ca="1"/>
        <v>48.11</v>
      </c>
      <c r="P34" vm="454">
        <f ca="1"/>
        <v>131.75</v>
      </c>
    </row>
    <row r="35" spans="1:16" x14ac:dyDescent="0.25">
      <c r="A35" vm="455">
        <f ca="1"/>
        <v>45387</v>
      </c>
      <c r="B35" vm="456">
        <f ca="1"/>
        <v>164.9</v>
      </c>
      <c r="C35" vm="457">
        <f ca="1"/>
        <v>185.07</v>
      </c>
      <c r="D35" vm="458">
        <f ca="1"/>
        <v>425.52</v>
      </c>
      <c r="E35" vm="459">
        <f ca="1"/>
        <v>331.85</v>
      </c>
      <c r="F35" vm="460">
        <f ca="1"/>
        <v>156.1</v>
      </c>
      <c r="G35" vm="461">
        <f ca="1"/>
        <v>197.45</v>
      </c>
      <c r="H35" vm="462">
        <f ca="1"/>
        <v>455.74</v>
      </c>
      <c r="I35" vm="463">
        <f ca="1"/>
        <v>121.37</v>
      </c>
      <c r="J35" vm="464">
        <f ca="1"/>
        <v>16.963999999999999</v>
      </c>
      <c r="K35" vm="465">
        <f ca="1"/>
        <v>45.55</v>
      </c>
      <c r="L35" vm="466">
        <f ca="1"/>
        <v>26.66</v>
      </c>
      <c r="M35" vm="303">
        <f ca="1"/>
        <v>172.82</v>
      </c>
      <c r="N35" vm="467">
        <f ca="1"/>
        <v>88.007999999999996</v>
      </c>
      <c r="O35" vm="468">
        <f ca="1"/>
        <v>48.55</v>
      </c>
      <c r="P35" vm="469">
        <f ca="1"/>
        <v>133.94300000000001</v>
      </c>
    </row>
    <row r="36" spans="1:16" x14ac:dyDescent="0.25">
      <c r="A36" vm="470">
        <f ca="1"/>
        <v>45390</v>
      </c>
      <c r="B36" vm="471">
        <f ca="1"/>
        <v>172.98</v>
      </c>
      <c r="C36" vm="472">
        <f ca="1"/>
        <v>185.19</v>
      </c>
      <c r="D36" vm="473">
        <f ca="1"/>
        <v>424.59</v>
      </c>
      <c r="E36" vm="474">
        <f ca="1"/>
        <v>332.3</v>
      </c>
      <c r="F36" vm="475">
        <f ca="1"/>
        <v>156.04</v>
      </c>
      <c r="G36" vm="476">
        <f ca="1"/>
        <v>198.48</v>
      </c>
      <c r="H36" vm="477">
        <f ca="1"/>
        <v>456</v>
      </c>
      <c r="I36" vm="478">
        <f ca="1"/>
        <v>120.55</v>
      </c>
      <c r="J36" vm="479">
        <f ca="1"/>
        <v>16.864000000000001</v>
      </c>
      <c r="K36" vm="480">
        <f ca="1"/>
        <v>46.04</v>
      </c>
      <c r="L36" vm="481">
        <f ca="1"/>
        <v>26.58</v>
      </c>
      <c r="M36" vm="482">
        <f ca="1"/>
        <v>172.36</v>
      </c>
      <c r="N36" vm="483">
        <f ca="1"/>
        <v>87.132999999999996</v>
      </c>
      <c r="O36" vm="484">
        <f ca="1"/>
        <v>48.24</v>
      </c>
      <c r="P36" vm="485">
        <f ca="1"/>
        <v>133.61000000000001</v>
      </c>
    </row>
    <row r="37" spans="1:16" x14ac:dyDescent="0.25">
      <c r="A37" vm="486">
        <f ca="1"/>
        <v>45391</v>
      </c>
      <c r="B37" vm="487">
        <f ca="1"/>
        <v>176.88</v>
      </c>
      <c r="C37" vm="488">
        <f ca="1"/>
        <v>185.67</v>
      </c>
      <c r="D37" vm="489">
        <f ca="1"/>
        <v>426.28</v>
      </c>
      <c r="E37" vm="490">
        <f ca="1"/>
        <v>334.55</v>
      </c>
      <c r="F37" vm="491">
        <f ca="1"/>
        <v>156.66</v>
      </c>
      <c r="G37" vm="492">
        <f ca="1"/>
        <v>197.15</v>
      </c>
      <c r="H37" vm="493">
        <f ca="1"/>
        <v>459.72</v>
      </c>
      <c r="I37" vm="494">
        <f ca="1"/>
        <v>121.18</v>
      </c>
      <c r="J37" vm="495">
        <f ca="1"/>
        <v>16.928000000000001</v>
      </c>
      <c r="K37" vm="496">
        <f ca="1"/>
        <v>44.65</v>
      </c>
      <c r="L37" vm="497">
        <f ca="1"/>
        <v>26.78</v>
      </c>
      <c r="M37" vm="498">
        <f ca="1"/>
        <v>168.33</v>
      </c>
      <c r="N37" vm="499">
        <f ca="1"/>
        <v>85.353999999999999</v>
      </c>
      <c r="O37" vm="500">
        <f ca="1"/>
        <v>50.01</v>
      </c>
      <c r="P37" vm="501">
        <f ca="1"/>
        <v>133.40799999999999</v>
      </c>
    </row>
    <row r="38" spans="1:16" x14ac:dyDescent="0.25">
      <c r="A38" vm="502">
        <f ca="1"/>
        <v>45392</v>
      </c>
      <c r="B38" vm="503">
        <f ca="1"/>
        <v>171.76</v>
      </c>
      <c r="C38" vm="504">
        <f ca="1"/>
        <v>185.95</v>
      </c>
      <c r="D38" vm="505">
        <f ca="1"/>
        <v>423.26</v>
      </c>
      <c r="E38" vm="506">
        <f ca="1"/>
        <v>321.16000000000003</v>
      </c>
      <c r="F38" vm="507">
        <f ca="1"/>
        <v>157.24</v>
      </c>
      <c r="G38" vm="508">
        <f ca="1"/>
        <v>195.47</v>
      </c>
      <c r="H38" vm="509">
        <f ca="1"/>
        <v>450.05</v>
      </c>
      <c r="I38" vm="510">
        <f ca="1"/>
        <v>122.2</v>
      </c>
      <c r="J38" vm="511">
        <f ca="1"/>
        <v>16.826000000000001</v>
      </c>
      <c r="K38" vm="512">
        <f ca="1"/>
        <v>44.07</v>
      </c>
      <c r="L38" vm="513">
        <f ca="1"/>
        <v>26.32</v>
      </c>
      <c r="M38" vm="514">
        <f ca="1"/>
        <v>169.75</v>
      </c>
      <c r="N38" vm="515">
        <f ca="1"/>
        <v>87.039000000000001</v>
      </c>
      <c r="O38" vm="516">
        <f ca="1"/>
        <v>49.21</v>
      </c>
      <c r="P38" vm="517">
        <f ca="1"/>
        <v>132.23699999999999</v>
      </c>
    </row>
    <row r="39" spans="1:16" x14ac:dyDescent="0.25">
      <c r="A39" vm="518">
        <f ca="1"/>
        <v>45393</v>
      </c>
      <c r="B39" vm="519">
        <f ca="1"/>
        <v>174.6</v>
      </c>
      <c r="C39" vm="520">
        <f ca="1"/>
        <v>189.05</v>
      </c>
      <c r="D39" vm="521">
        <f ca="1"/>
        <v>427.93</v>
      </c>
      <c r="E39" vm="522">
        <f ca="1"/>
        <v>319.92</v>
      </c>
      <c r="F39" vm="523">
        <f ca="1"/>
        <v>155.84</v>
      </c>
      <c r="G39" vm="524">
        <f ca="1"/>
        <v>195.43</v>
      </c>
      <c r="H39" vm="525">
        <f ca="1"/>
        <v>441.72</v>
      </c>
      <c r="I39" vm="526">
        <f ca="1"/>
        <v>121.79</v>
      </c>
      <c r="J39" vm="527">
        <f ca="1"/>
        <v>16.812000000000001</v>
      </c>
      <c r="K39" vm="528">
        <f ca="1"/>
        <v>43.63</v>
      </c>
      <c r="L39" vm="529">
        <f ca="1"/>
        <v>26.34</v>
      </c>
      <c r="M39" vm="530">
        <f ca="1"/>
        <v>165.61</v>
      </c>
      <c r="N39" vm="531">
        <f ca="1"/>
        <v>90.616</v>
      </c>
      <c r="O39" vm="532">
        <f ca="1"/>
        <v>49.53</v>
      </c>
      <c r="P39" vm="533">
        <f ca="1"/>
        <v>138.24600000000001</v>
      </c>
    </row>
    <row r="40" spans="1:16" x14ac:dyDescent="0.25">
      <c r="A40" vm="534">
        <f ca="1"/>
        <v>45394</v>
      </c>
      <c r="B40" vm="535">
        <f ca="1"/>
        <v>171.05</v>
      </c>
      <c r="C40" vm="536">
        <f ca="1"/>
        <v>186.13</v>
      </c>
      <c r="D40" vm="537">
        <f ca="1"/>
        <v>421.9</v>
      </c>
      <c r="E40" vm="538">
        <f ca="1"/>
        <v>318.25</v>
      </c>
      <c r="F40" vm="539">
        <f ca="1"/>
        <v>155.33000000000001</v>
      </c>
      <c r="G40" vm="540">
        <f ca="1"/>
        <v>182.79</v>
      </c>
      <c r="H40" vm="541">
        <f ca="1"/>
        <v>439.2</v>
      </c>
      <c r="I40" vm="542">
        <f ca="1"/>
        <v>120.37</v>
      </c>
      <c r="J40" vm="543">
        <f ca="1"/>
        <v>16.797999999999998</v>
      </c>
      <c r="K40" vm="544">
        <f ca="1"/>
        <v>43</v>
      </c>
      <c r="L40" vm="545">
        <f ca="1"/>
        <v>25.86</v>
      </c>
      <c r="M40" vm="546">
        <f ca="1"/>
        <v>166.81</v>
      </c>
      <c r="N40" vm="547">
        <f ca="1"/>
        <v>88.186000000000007</v>
      </c>
      <c r="O40" vm="548">
        <f ca="1"/>
        <v>48.49</v>
      </c>
      <c r="P40" vm="549">
        <f ca="1"/>
        <v>134.40700000000001</v>
      </c>
    </row>
    <row r="41" spans="1:16" x14ac:dyDescent="0.25">
      <c r="A41" vm="550">
        <f ca="1"/>
        <v>45397</v>
      </c>
      <c r="B41" vm="551">
        <f ca="1"/>
        <v>161.47999999999999</v>
      </c>
      <c r="C41" vm="552">
        <f ca="1"/>
        <v>183.62</v>
      </c>
      <c r="D41" vm="65">
        <f ca="1"/>
        <v>413.64</v>
      </c>
      <c r="E41" vm="553">
        <f ca="1"/>
        <v>313.97000000000003</v>
      </c>
      <c r="F41" vm="444">
        <f ca="1"/>
        <v>155.44999999999999</v>
      </c>
      <c r="G41" vm="554">
        <f ca="1"/>
        <v>182.89</v>
      </c>
      <c r="H41" vm="555">
        <f ca="1"/>
        <v>445.63</v>
      </c>
      <c r="I41" vm="556">
        <f ca="1"/>
        <v>119.68</v>
      </c>
      <c r="J41" vm="557">
        <f ca="1"/>
        <v>16.46</v>
      </c>
      <c r="K41" vm="558">
        <f ca="1"/>
        <v>43.13</v>
      </c>
      <c r="L41" vm="559">
        <f ca="1"/>
        <v>25.91</v>
      </c>
      <c r="M41" vm="560">
        <f ca="1"/>
        <v>165.76</v>
      </c>
      <c r="N41" vm="561">
        <f ca="1"/>
        <v>86.001000000000005</v>
      </c>
      <c r="O41" vm="484">
        <f ca="1"/>
        <v>48.24</v>
      </c>
      <c r="P41" vm="562">
        <f ca="1"/>
        <v>131.06899999999999</v>
      </c>
    </row>
    <row r="42" spans="1:16" x14ac:dyDescent="0.25">
      <c r="A42" vm="563">
        <f ca="1"/>
        <v>45398</v>
      </c>
      <c r="B42" vm="564">
        <f ca="1"/>
        <v>157.11000000000001</v>
      </c>
      <c r="C42" vm="565">
        <f ca="1"/>
        <v>183.32</v>
      </c>
      <c r="D42" vm="566">
        <f ca="1"/>
        <v>414.58</v>
      </c>
      <c r="E42" vm="567">
        <f ca="1"/>
        <v>308.38</v>
      </c>
      <c r="F42" vm="568">
        <f ca="1"/>
        <v>155.94999999999999</v>
      </c>
      <c r="G42" vm="569">
        <f ca="1"/>
        <v>180.8</v>
      </c>
      <c r="H42" vm="570">
        <f ca="1"/>
        <v>468.89</v>
      </c>
      <c r="I42" vm="571">
        <f ca="1"/>
        <v>118.69</v>
      </c>
      <c r="J42" vm="572">
        <f ca="1"/>
        <v>16.594000000000001</v>
      </c>
      <c r="K42" vm="573">
        <f ca="1"/>
        <v>42.23</v>
      </c>
      <c r="L42" vm="574">
        <f ca="1"/>
        <v>25.69</v>
      </c>
      <c r="M42" vm="575">
        <f ca="1"/>
        <v>164.21</v>
      </c>
      <c r="N42" vm="576">
        <f ca="1"/>
        <v>87.415000000000006</v>
      </c>
      <c r="O42" vm="577">
        <f ca="1"/>
        <v>47.92</v>
      </c>
      <c r="P42" vm="578">
        <f ca="1"/>
        <v>132.90600000000001</v>
      </c>
    </row>
    <row r="43" spans="1:16" x14ac:dyDescent="0.25">
      <c r="A43" vm="579">
        <f ca="1"/>
        <v>45399</v>
      </c>
      <c r="B43" vm="444">
        <f ca="1"/>
        <v>155.44999999999999</v>
      </c>
      <c r="C43" vm="580">
        <f ca="1"/>
        <v>181.28</v>
      </c>
      <c r="D43" vm="581">
        <f ca="1"/>
        <v>411.84</v>
      </c>
      <c r="E43" vm="582">
        <f ca="1"/>
        <v>310.16000000000003</v>
      </c>
      <c r="F43" vm="583">
        <f ca="1"/>
        <v>156.96</v>
      </c>
      <c r="G43" vm="584">
        <f ca="1"/>
        <v>180.08</v>
      </c>
      <c r="H43" vm="585">
        <f ca="1"/>
        <v>478.99</v>
      </c>
      <c r="I43" vm="586">
        <f ca="1"/>
        <v>118.63</v>
      </c>
      <c r="J43" vm="587">
        <f ca="1"/>
        <v>16.315999999999999</v>
      </c>
      <c r="K43" vm="588">
        <f ca="1"/>
        <v>42.64</v>
      </c>
      <c r="L43" vm="589">
        <f ca="1"/>
        <v>25.42</v>
      </c>
      <c r="M43" vm="590">
        <f ca="1"/>
        <v>162.91999999999999</v>
      </c>
      <c r="N43" vm="591">
        <f ca="1"/>
        <v>84.034999999999997</v>
      </c>
      <c r="O43" vm="592">
        <f ca="1"/>
        <v>47.79</v>
      </c>
      <c r="P43" vm="593">
        <f ca="1"/>
        <v>128.26300000000001</v>
      </c>
    </row>
    <row r="44" spans="1:16" x14ac:dyDescent="0.25">
      <c r="A44" vm="594">
        <f ca="1"/>
        <v>45400</v>
      </c>
      <c r="B44" vm="595">
        <f ca="1"/>
        <v>149.93</v>
      </c>
      <c r="C44" vm="596">
        <f ca="1"/>
        <v>179.22</v>
      </c>
      <c r="D44" vm="597">
        <f ca="1"/>
        <v>404.27</v>
      </c>
      <c r="E44" vm="598">
        <f ca="1"/>
        <v>309.38</v>
      </c>
      <c r="F44" vm="599">
        <f ca="1"/>
        <v>157.29</v>
      </c>
      <c r="G44" vm="600">
        <f ca="1"/>
        <v>181.25</v>
      </c>
      <c r="H44" vm="601">
        <f ca="1"/>
        <v>493.18</v>
      </c>
      <c r="I44" vm="602">
        <f ca="1"/>
        <v>118.52</v>
      </c>
      <c r="J44" vm="603">
        <f ca="1"/>
        <v>16.376000000000001</v>
      </c>
      <c r="K44" vm="604">
        <f ca="1"/>
        <v>42.52</v>
      </c>
      <c r="L44" vm="605">
        <f ca="1"/>
        <v>25.39</v>
      </c>
      <c r="M44" vm="606">
        <f ca="1"/>
        <v>169.11</v>
      </c>
      <c r="N44" vm="607">
        <f ca="1"/>
        <v>84.671000000000006</v>
      </c>
      <c r="O44" vm="453">
        <f ca="1"/>
        <v>48.11</v>
      </c>
      <c r="P44" vm="608">
        <f ca="1"/>
        <v>125.899</v>
      </c>
    </row>
    <row r="45" spans="1:16" x14ac:dyDescent="0.25">
      <c r="A45" vm="609">
        <f ca="1"/>
        <v>45401</v>
      </c>
      <c r="B45" vm="610">
        <f ca="1"/>
        <v>147.05000000000001</v>
      </c>
      <c r="C45" vm="611">
        <f ca="1"/>
        <v>174.63</v>
      </c>
      <c r="D45" vm="612">
        <f ca="1"/>
        <v>399.12</v>
      </c>
      <c r="E45" vm="613">
        <f ca="1"/>
        <v>305.95999999999998</v>
      </c>
      <c r="F45" vm="614">
        <f ca="1"/>
        <v>158.13999999999999</v>
      </c>
      <c r="G45" vm="615">
        <f ca="1"/>
        <v>185.8</v>
      </c>
      <c r="H45" vm="616">
        <f ca="1"/>
        <v>501.13</v>
      </c>
      <c r="I45" vm="617">
        <f ca="1"/>
        <v>119.88</v>
      </c>
      <c r="J45" vm="618">
        <f ca="1"/>
        <v>16.260000000000002</v>
      </c>
      <c r="K45" vm="604">
        <f ca="1"/>
        <v>42.52</v>
      </c>
      <c r="L45" vm="619">
        <f ca="1"/>
        <v>26</v>
      </c>
      <c r="M45" vm="620">
        <f ca="1"/>
        <v>172.96</v>
      </c>
      <c r="N45" vm="621">
        <f ca="1"/>
        <v>76.2</v>
      </c>
      <c r="O45" vm="622">
        <f ca="1"/>
        <v>48.32</v>
      </c>
      <c r="P45" vm="623">
        <f ca="1"/>
        <v>120.471</v>
      </c>
    </row>
    <row r="46" spans="1:16" x14ac:dyDescent="0.25">
      <c r="A46" vm="624">
        <f ca="1"/>
        <v>45404</v>
      </c>
      <c r="B46" vm="625">
        <f ca="1"/>
        <v>142.05000000000001</v>
      </c>
      <c r="C46" vm="626">
        <f ca="1"/>
        <v>177.23</v>
      </c>
      <c r="D46" vm="627">
        <f ca="1"/>
        <v>400.96</v>
      </c>
      <c r="E46" vm="628">
        <f ca="1"/>
        <v>309.26</v>
      </c>
      <c r="F46" vm="629">
        <f ca="1"/>
        <v>160.54</v>
      </c>
      <c r="G46" vm="630">
        <f ca="1"/>
        <v>189.41</v>
      </c>
      <c r="H46" vm="631">
        <f ca="1"/>
        <v>491.23</v>
      </c>
      <c r="I46" vm="632">
        <f ca="1"/>
        <v>120.56</v>
      </c>
      <c r="J46" vm="633">
        <f ca="1"/>
        <v>16.312000000000001</v>
      </c>
      <c r="K46" vm="634">
        <f ca="1"/>
        <v>43.01</v>
      </c>
      <c r="L46" vm="635">
        <f ca="1"/>
        <v>26.26</v>
      </c>
      <c r="M46" vm="636">
        <f ca="1"/>
        <v>175.41</v>
      </c>
      <c r="N46" vm="637">
        <f ca="1"/>
        <v>79.518000000000001</v>
      </c>
      <c r="O46" vm="638">
        <f ca="1"/>
        <v>48.14</v>
      </c>
      <c r="P46" vm="639">
        <f ca="1"/>
        <v>122.446</v>
      </c>
    </row>
    <row r="47" spans="1:16" x14ac:dyDescent="0.25">
      <c r="A47" vm="640">
        <f ca="1"/>
        <v>45405</v>
      </c>
      <c r="B47" vm="641">
        <f ca="1"/>
        <v>144.68</v>
      </c>
      <c r="C47" vm="642">
        <f ca="1"/>
        <v>179.54</v>
      </c>
      <c r="D47" vm="643">
        <f ca="1"/>
        <v>407.57</v>
      </c>
      <c r="E47" vm="644">
        <f ca="1"/>
        <v>302.36</v>
      </c>
      <c r="F47" vm="227">
        <f ca="1"/>
        <v>161.5</v>
      </c>
      <c r="G47" vm="645">
        <f ca="1"/>
        <v>192.14</v>
      </c>
      <c r="H47" vm="646">
        <f ca="1"/>
        <v>486.18</v>
      </c>
      <c r="I47" vm="647">
        <f ca="1"/>
        <v>121.03</v>
      </c>
      <c r="J47" vm="648">
        <f ca="1"/>
        <v>16.361999999999998</v>
      </c>
      <c r="K47" vm="649">
        <f ca="1"/>
        <v>43.58</v>
      </c>
      <c r="L47" vm="513">
        <f ca="1"/>
        <v>26.32</v>
      </c>
      <c r="M47" vm="650">
        <f ca="1"/>
        <v>175.28</v>
      </c>
      <c r="N47" vm="651">
        <f ca="1"/>
        <v>82.423000000000002</v>
      </c>
      <c r="O47" vm="622">
        <f ca="1"/>
        <v>48.32</v>
      </c>
      <c r="P47" vm="652">
        <f ca="1"/>
        <v>124.919</v>
      </c>
    </row>
    <row r="48" spans="1:16" x14ac:dyDescent="0.25">
      <c r="A48" vm="653">
        <f ca="1"/>
        <v>45406</v>
      </c>
      <c r="B48" vm="654">
        <f ca="1"/>
        <v>162.13</v>
      </c>
      <c r="C48" vm="655">
        <f ca="1"/>
        <v>176.59</v>
      </c>
      <c r="D48" vm="656">
        <f ca="1"/>
        <v>409.06</v>
      </c>
      <c r="E48" vm="657">
        <f ca="1"/>
        <v>303.73</v>
      </c>
      <c r="F48" vm="658">
        <f ca="1"/>
        <v>162.6</v>
      </c>
      <c r="G48" vm="659">
        <f ca="1"/>
        <v>193.08</v>
      </c>
      <c r="H48" vm="660">
        <f ca="1"/>
        <v>487.3</v>
      </c>
      <c r="I48" vm="661">
        <f ca="1"/>
        <v>121.05</v>
      </c>
      <c r="J48" vm="662">
        <f ca="1"/>
        <v>16.542000000000002</v>
      </c>
      <c r="K48" vm="663">
        <f ca="1"/>
        <v>43.29</v>
      </c>
      <c r="L48" vm="664">
        <f ca="1"/>
        <v>26.27</v>
      </c>
      <c r="M48" vm="665">
        <f ca="1"/>
        <v>172.27</v>
      </c>
      <c r="N48" vm="666">
        <f ca="1"/>
        <v>79.677000000000007</v>
      </c>
      <c r="O48" vm="667">
        <f ca="1"/>
        <v>48.35</v>
      </c>
      <c r="P48" vm="668">
        <f ca="1"/>
        <v>125.682</v>
      </c>
    </row>
    <row r="49" spans="1:16" x14ac:dyDescent="0.25">
      <c r="A49" vm="669">
        <f ca="1"/>
        <v>45407</v>
      </c>
      <c r="B49" vm="670">
        <f ca="1"/>
        <v>170.18</v>
      </c>
      <c r="C49" vm="671">
        <f ca="1"/>
        <v>173.67</v>
      </c>
      <c r="D49" vm="672">
        <f ca="1"/>
        <v>399.04</v>
      </c>
      <c r="E49" vm="673">
        <f ca="1"/>
        <v>304.81</v>
      </c>
      <c r="F49" vm="674">
        <f ca="1"/>
        <v>162.55000000000001</v>
      </c>
      <c r="G49" vm="675">
        <f ca="1"/>
        <v>193.37</v>
      </c>
      <c r="H49" vm="676">
        <f ca="1"/>
        <v>493.86</v>
      </c>
      <c r="I49" vm="677">
        <f ca="1"/>
        <v>121.33</v>
      </c>
      <c r="J49" vm="678">
        <f ca="1"/>
        <v>16.488</v>
      </c>
      <c r="K49" vm="679">
        <f ca="1"/>
        <v>41.55</v>
      </c>
      <c r="L49" vm="680">
        <f ca="1"/>
        <v>25.26</v>
      </c>
      <c r="M49" vm="681">
        <f ca="1"/>
        <v>172.34</v>
      </c>
      <c r="N49" vm="682">
        <f ca="1"/>
        <v>82.632000000000005</v>
      </c>
      <c r="O49" vm="683">
        <f ca="1"/>
        <v>48.1</v>
      </c>
      <c r="P49" vm="684">
        <f ca="1"/>
        <v>129.44200000000001</v>
      </c>
    </row>
    <row r="50" spans="1:16" x14ac:dyDescent="0.25">
      <c r="A50" vm="685">
        <f ca="1"/>
        <v>45408</v>
      </c>
      <c r="B50" vm="686">
        <f ca="1"/>
        <v>168.29</v>
      </c>
      <c r="C50" vm="687">
        <f ca="1"/>
        <v>179.62</v>
      </c>
      <c r="D50" vm="688">
        <f ca="1"/>
        <v>406.32</v>
      </c>
      <c r="E50" vm="689">
        <f ca="1"/>
        <v>306.45</v>
      </c>
      <c r="F50" vm="690">
        <f ca="1"/>
        <v>161.29</v>
      </c>
      <c r="G50" vm="691">
        <f ca="1"/>
        <v>193.49</v>
      </c>
      <c r="H50" vm="692">
        <f ca="1"/>
        <v>495.35</v>
      </c>
      <c r="I50" vm="693">
        <f ca="1"/>
        <v>117.96</v>
      </c>
      <c r="J50" vm="694">
        <f ca="1"/>
        <v>16.466000000000001</v>
      </c>
      <c r="K50" vm="695">
        <f ca="1"/>
        <v>41.92</v>
      </c>
      <c r="L50" vm="696">
        <f ca="1"/>
        <v>25.4</v>
      </c>
      <c r="M50" vm="697">
        <f ca="1"/>
        <v>170.07</v>
      </c>
      <c r="N50" vm="698">
        <f ca="1"/>
        <v>87.734999999999999</v>
      </c>
      <c r="O50" vm="699">
        <f ca="1"/>
        <v>47.86</v>
      </c>
      <c r="P50" vm="549">
        <f ca="1"/>
        <v>134.40700000000001</v>
      </c>
    </row>
    <row r="51" spans="1:16" x14ac:dyDescent="0.25">
      <c r="A51" vm="700">
        <f ca="1"/>
        <v>45411</v>
      </c>
      <c r="B51" vm="701">
        <f ca="1"/>
        <v>194.05</v>
      </c>
      <c r="C51" vm="702">
        <f ca="1"/>
        <v>180.96</v>
      </c>
      <c r="D51" vm="703">
        <f ca="1"/>
        <v>402.25</v>
      </c>
      <c r="E51" vm="704">
        <f ca="1"/>
        <v>306.08999999999997</v>
      </c>
      <c r="F51" vm="322">
        <f ca="1"/>
        <v>161.66</v>
      </c>
      <c r="G51" vm="705">
        <f ca="1"/>
        <v>193.28</v>
      </c>
      <c r="H51" vm="706">
        <f ca="1"/>
        <v>489.03</v>
      </c>
      <c r="I51" vm="707">
        <f ca="1"/>
        <v>119.64</v>
      </c>
      <c r="J51" vm="708">
        <f ca="1"/>
        <v>16.597999999999999</v>
      </c>
      <c r="K51" vm="56">
        <f ca="1"/>
        <v>41.63</v>
      </c>
      <c r="L51" vm="709">
        <f ca="1"/>
        <v>25.64</v>
      </c>
      <c r="M51" vm="710">
        <f ca="1"/>
        <v>169.58</v>
      </c>
      <c r="N51" vm="711">
        <f ca="1"/>
        <v>87.757000000000005</v>
      </c>
      <c r="O51" vm="712">
        <f ca="1"/>
        <v>47.78</v>
      </c>
      <c r="P51" vm="713">
        <f ca="1"/>
        <v>133.86199999999999</v>
      </c>
    </row>
    <row r="52" spans="1:16" x14ac:dyDescent="0.25">
      <c r="A52" vm="714">
        <f ca="1"/>
        <v>45412</v>
      </c>
      <c r="B52" vm="715">
        <f ca="1"/>
        <v>183.28</v>
      </c>
      <c r="C52" vm="716">
        <f ca="1"/>
        <v>175</v>
      </c>
      <c r="D52" vm="717">
        <f ca="1"/>
        <v>389.33</v>
      </c>
      <c r="E52" vm="718">
        <f ca="1"/>
        <v>299.61</v>
      </c>
      <c r="F52" vm="719">
        <f ca="1"/>
        <v>163.19999999999999</v>
      </c>
      <c r="G52" vm="720">
        <f ca="1"/>
        <v>191.74</v>
      </c>
      <c r="H52" vm="721">
        <f ca="1"/>
        <v>483.7</v>
      </c>
      <c r="I52" vm="722">
        <f ca="1"/>
        <v>118.27</v>
      </c>
      <c r="J52" vm="723">
        <f ca="1"/>
        <v>16.513999999999999</v>
      </c>
      <c r="K52" vm="724">
        <f ca="1"/>
        <v>41.04</v>
      </c>
      <c r="L52" vm="725">
        <f ca="1"/>
        <v>25.62</v>
      </c>
      <c r="M52" vm="726">
        <f ca="1"/>
        <v>170.06</v>
      </c>
      <c r="N52" vm="727">
        <f ca="1"/>
        <v>86.402000000000001</v>
      </c>
      <c r="O52" vm="728">
        <f ca="1"/>
        <v>46.98</v>
      </c>
      <c r="P52" vm="729">
        <f ca="1"/>
        <v>130.02699999999999</v>
      </c>
    </row>
    <row r="53" spans="1:16" x14ac:dyDescent="0.25">
      <c r="A53" vm="730">
        <f ca="1"/>
        <v>45413</v>
      </c>
      <c r="B53" vm="731">
        <f ca="1"/>
        <v>179.99</v>
      </c>
      <c r="C53" vm="732">
        <f ca="1"/>
        <v>179</v>
      </c>
      <c r="D53" vm="733">
        <f ca="1"/>
        <v>394.94</v>
      </c>
      <c r="E53" vm="734">
        <f ca="1"/>
        <v>303.33999999999997</v>
      </c>
      <c r="F53" vm="735">
        <f ca="1"/>
        <v>163.4</v>
      </c>
      <c r="G53" vm="736">
        <f ca="1"/>
        <v>191.86</v>
      </c>
      <c r="H53" vm="737">
        <f ca="1"/>
        <v>484.11</v>
      </c>
      <c r="I53" vm="738">
        <f ca="1"/>
        <v>116.03</v>
      </c>
      <c r="J53" vm="739">
        <f ca="1"/>
        <v>16.577999999999999</v>
      </c>
      <c r="K53" vm="740">
        <f ca="1"/>
        <v>41.2</v>
      </c>
      <c r="L53" vm="741">
        <f ca="1"/>
        <v>27.18</v>
      </c>
      <c r="M53" vm="742">
        <f ca="1"/>
        <v>171.56</v>
      </c>
      <c r="N53" vm="743">
        <f ca="1"/>
        <v>83.040999999999997</v>
      </c>
      <c r="O53" vm="744">
        <f ca="1"/>
        <v>46.84</v>
      </c>
      <c r="P53" vm="745">
        <f ca="1"/>
        <v>124.286</v>
      </c>
    </row>
    <row r="54" spans="1:16" x14ac:dyDescent="0.25">
      <c r="A54" vm="746">
        <f ca="1"/>
        <v>45414</v>
      </c>
      <c r="B54" vm="747">
        <f ca="1"/>
        <v>180.01</v>
      </c>
      <c r="C54" vm="748">
        <f ca="1"/>
        <v>184.72</v>
      </c>
      <c r="D54" vm="749">
        <f ca="1"/>
        <v>397.84</v>
      </c>
      <c r="E54" vm="750">
        <f ca="1"/>
        <v>304.45999999999998</v>
      </c>
      <c r="F54" vm="751">
        <f ca="1"/>
        <v>163.84</v>
      </c>
      <c r="G54" vm="752">
        <f ca="1"/>
        <v>191.66</v>
      </c>
      <c r="H54" vm="753">
        <f ca="1"/>
        <v>492.97</v>
      </c>
      <c r="I54" vm="385">
        <f ca="1"/>
        <v>116.24</v>
      </c>
      <c r="J54" vm="754">
        <f ca="1"/>
        <v>16.815999999999999</v>
      </c>
      <c r="K54" vm="755">
        <f ca="1"/>
        <v>41.1</v>
      </c>
      <c r="L54" vm="297">
        <f ca="1"/>
        <v>27.7</v>
      </c>
      <c r="M54" vm="756">
        <f ca="1"/>
        <v>169.18</v>
      </c>
      <c r="N54" vm="757">
        <f ca="1"/>
        <v>85.816999999999993</v>
      </c>
      <c r="O54" vm="758">
        <f ca="1"/>
        <v>46.79</v>
      </c>
      <c r="P54" vm="759">
        <f ca="1"/>
        <v>123.857</v>
      </c>
    </row>
    <row r="55" spans="1:16" x14ac:dyDescent="0.25">
      <c r="A55" vm="760">
        <f ca="1"/>
        <v>45415</v>
      </c>
      <c r="B55" vm="761">
        <f ca="1"/>
        <v>181.19</v>
      </c>
      <c r="C55" vm="762">
        <f ca="1"/>
        <v>186.21</v>
      </c>
      <c r="D55" vm="763">
        <f ca="1"/>
        <v>406.66</v>
      </c>
      <c r="E55" vm="764">
        <f ca="1"/>
        <v>311.3</v>
      </c>
      <c r="F55" vm="765">
        <f ca="1"/>
        <v>164.46</v>
      </c>
      <c r="G55" vm="766">
        <f ca="1"/>
        <v>190.51</v>
      </c>
      <c r="H55" vm="767">
        <f ca="1"/>
        <v>492.45</v>
      </c>
      <c r="I55" vm="768">
        <f ca="1"/>
        <v>116</v>
      </c>
      <c r="J55" vm="769">
        <f ca="1"/>
        <v>16.908000000000001</v>
      </c>
      <c r="K55" vm="770">
        <f ca="1"/>
        <v>41.59</v>
      </c>
      <c r="L55" vm="771">
        <f ca="1"/>
        <v>27.81</v>
      </c>
      <c r="M55" vm="772">
        <f ca="1"/>
        <v>168.18</v>
      </c>
      <c r="N55" vm="773">
        <f ca="1"/>
        <v>88.789000000000001</v>
      </c>
      <c r="O55" vm="774">
        <f ca="1"/>
        <v>47.12</v>
      </c>
      <c r="P55" vm="775">
        <f ca="1"/>
        <v>127.81100000000001</v>
      </c>
    </row>
    <row r="56" spans="1:16" x14ac:dyDescent="0.25">
      <c r="A56" vm="776">
        <f ca="1"/>
        <v>45418</v>
      </c>
      <c r="B56" vm="777">
        <f ca="1"/>
        <v>184.76</v>
      </c>
      <c r="C56" vm="778">
        <f ca="1"/>
        <v>188.7</v>
      </c>
      <c r="D56" vm="779">
        <f ca="1"/>
        <v>413.54</v>
      </c>
      <c r="E56" vm="780">
        <f ca="1"/>
        <v>314.99</v>
      </c>
      <c r="F56" vm="781">
        <f ca="1"/>
        <v>164.44</v>
      </c>
      <c r="G56" vm="782">
        <f ca="1"/>
        <v>192</v>
      </c>
      <c r="H56" vm="783">
        <f ca="1"/>
        <v>494.38</v>
      </c>
      <c r="I56" vm="784">
        <f ca="1"/>
        <v>116.75</v>
      </c>
      <c r="J56" vm="785">
        <f ca="1"/>
        <v>16.968</v>
      </c>
      <c r="K56" vm="786">
        <f ca="1"/>
        <v>42.29</v>
      </c>
      <c r="L56" vm="787">
        <f ca="1"/>
        <v>28.16</v>
      </c>
      <c r="M56" vm="788">
        <f ca="1"/>
        <v>170.08</v>
      </c>
      <c r="N56" vm="789">
        <f ca="1"/>
        <v>92.14</v>
      </c>
      <c r="O56" vm="790">
        <f ca="1"/>
        <v>47.11</v>
      </c>
      <c r="P56" vm="791">
        <f ca="1"/>
        <v>131.03100000000001</v>
      </c>
    </row>
    <row r="57" spans="1:16" x14ac:dyDescent="0.25">
      <c r="A57" vm="792">
        <f ca="1"/>
        <v>45419</v>
      </c>
      <c r="B57" vm="793">
        <f ca="1"/>
        <v>177.81</v>
      </c>
      <c r="C57" vm="794">
        <f ca="1"/>
        <v>188.76</v>
      </c>
      <c r="D57" vm="795">
        <f ca="1"/>
        <v>409.34</v>
      </c>
      <c r="E57" vm="796">
        <f ca="1"/>
        <v>318.75</v>
      </c>
      <c r="F57" vm="560">
        <f ca="1"/>
        <v>165.76</v>
      </c>
      <c r="G57" vm="797">
        <f ca="1"/>
        <v>191.75</v>
      </c>
      <c r="H57" vm="798">
        <f ca="1"/>
        <v>500.96</v>
      </c>
      <c r="I57" vm="799">
        <f ca="1"/>
        <v>116.17</v>
      </c>
      <c r="J57" vm="800">
        <f ca="1"/>
        <v>16.329999999999998</v>
      </c>
      <c r="K57" vm="801">
        <f ca="1"/>
        <v>42.71</v>
      </c>
      <c r="L57" vm="802">
        <f ca="1"/>
        <v>27.77</v>
      </c>
      <c r="M57" vm="803">
        <f ca="1"/>
        <v>168.19</v>
      </c>
      <c r="N57" vm="804">
        <f ca="1"/>
        <v>90.554000000000002</v>
      </c>
      <c r="O57" vm="805">
        <f ca="1"/>
        <v>47.28</v>
      </c>
      <c r="P57" vm="806">
        <f ca="1"/>
        <v>130.31100000000001</v>
      </c>
    </row>
    <row r="58" spans="1:16" x14ac:dyDescent="0.25">
      <c r="A58" vm="807">
        <f ca="1"/>
        <v>45420</v>
      </c>
      <c r="B58" vm="808">
        <f ca="1"/>
        <v>174.72</v>
      </c>
      <c r="C58" vm="809">
        <f ca="1"/>
        <v>188</v>
      </c>
      <c r="D58" vm="810">
        <f ca="1"/>
        <v>410.54</v>
      </c>
      <c r="E58" vm="811">
        <f ca="1"/>
        <v>319</v>
      </c>
      <c r="F58" vm="812">
        <f ca="1"/>
        <v>165.07</v>
      </c>
      <c r="G58" vm="445">
        <f ca="1"/>
        <v>195.65</v>
      </c>
      <c r="H58" vm="813">
        <f ca="1"/>
        <v>503.21</v>
      </c>
      <c r="I58" vm="814">
        <f ca="1"/>
        <v>116.15</v>
      </c>
      <c r="J58" vm="815">
        <f ca="1"/>
        <v>15.67</v>
      </c>
      <c r="K58" vm="816">
        <f ca="1"/>
        <v>43.34</v>
      </c>
      <c r="L58" vm="817">
        <f ca="1"/>
        <v>28.27</v>
      </c>
      <c r="M58" vm="818">
        <f ca="1"/>
        <v>170.28</v>
      </c>
      <c r="N58" vm="819">
        <f ca="1"/>
        <v>90.412000000000006</v>
      </c>
      <c r="O58" vm="820">
        <f ca="1"/>
        <v>48</v>
      </c>
      <c r="P58" vm="821">
        <f ca="1"/>
        <v>132.53700000000001</v>
      </c>
    </row>
    <row r="59" spans="1:16" x14ac:dyDescent="0.25">
      <c r="A59" vm="822">
        <f ca="1"/>
        <v>45421</v>
      </c>
      <c r="B59" vm="823">
        <f ca="1"/>
        <v>171.97</v>
      </c>
      <c r="C59" vm="824">
        <f ca="1"/>
        <v>189.5</v>
      </c>
      <c r="D59" vm="825">
        <f ca="1"/>
        <v>412.32</v>
      </c>
      <c r="E59" vm="826">
        <f ca="1"/>
        <v>320.45</v>
      </c>
      <c r="F59" vm="827">
        <f ca="1"/>
        <v>166.04</v>
      </c>
      <c r="G59" vm="828">
        <f ca="1"/>
        <v>197.5</v>
      </c>
      <c r="H59" vm="829">
        <f ca="1"/>
        <v>507.03</v>
      </c>
      <c r="I59" vm="830">
        <f ca="1"/>
        <v>118.44</v>
      </c>
      <c r="J59" vm="831">
        <f ca="1"/>
        <v>15.494</v>
      </c>
      <c r="K59" vm="832">
        <f ca="1"/>
        <v>43.9</v>
      </c>
      <c r="L59" vm="833">
        <f ca="1"/>
        <v>28.18</v>
      </c>
      <c r="M59" vm="834">
        <f ca="1"/>
        <v>171.46</v>
      </c>
      <c r="N59" vm="835">
        <f ca="1"/>
        <v>88.747</v>
      </c>
      <c r="O59" vm="592">
        <f ca="1"/>
        <v>47.79</v>
      </c>
      <c r="P59" vm="836">
        <f ca="1"/>
        <v>130.56700000000001</v>
      </c>
    </row>
    <row r="60" spans="1:16" x14ac:dyDescent="0.25">
      <c r="A60" vm="837">
        <f ca="1"/>
        <v>45422</v>
      </c>
      <c r="B60" vm="838">
        <f ca="1"/>
        <v>168.47</v>
      </c>
      <c r="C60" vm="839">
        <f ca="1"/>
        <v>187.48</v>
      </c>
      <c r="D60" vm="840">
        <f ca="1"/>
        <v>414.74</v>
      </c>
      <c r="E60" vm="841">
        <f ca="1"/>
        <v>320.86</v>
      </c>
      <c r="F60" vm="842">
        <f ca="1"/>
        <v>166.85</v>
      </c>
      <c r="G60" vm="843">
        <f ca="1"/>
        <v>198.77</v>
      </c>
      <c r="H60" vm="844">
        <f ca="1"/>
        <v>512.80999999999995</v>
      </c>
      <c r="I60" vm="693">
        <f ca="1"/>
        <v>117.96</v>
      </c>
      <c r="J60" vm="845">
        <f ca="1"/>
        <v>15.074</v>
      </c>
      <c r="K60" vm="544">
        <f ca="1"/>
        <v>43</v>
      </c>
      <c r="L60" vm="201">
        <f ca="1"/>
        <v>28.01</v>
      </c>
      <c r="M60" vm="846">
        <f ca="1"/>
        <v>172.71</v>
      </c>
      <c r="N60" vm="847">
        <f ca="1"/>
        <v>89.878</v>
      </c>
      <c r="O60" vm="60">
        <f ca="1"/>
        <v>48.06</v>
      </c>
      <c r="P60" vm="848">
        <f ca="1"/>
        <v>133.28</v>
      </c>
    </row>
    <row r="61" spans="1:16" x14ac:dyDescent="0.25">
      <c r="A61" vm="849">
        <f ca="1"/>
        <v>45425</v>
      </c>
      <c r="B61" vm="850">
        <f ca="1"/>
        <v>171.89</v>
      </c>
      <c r="C61" vm="851">
        <f ca="1"/>
        <v>186.57</v>
      </c>
      <c r="D61" vm="852">
        <f ca="1"/>
        <v>413.72</v>
      </c>
      <c r="E61" vm="853">
        <f ca="1"/>
        <v>315.87</v>
      </c>
      <c r="F61" vm="854">
        <f ca="1"/>
        <v>165.87</v>
      </c>
      <c r="G61" vm="855">
        <f ca="1"/>
        <v>198.73</v>
      </c>
      <c r="H61" vm="856">
        <f ca="1"/>
        <v>511.74</v>
      </c>
      <c r="I61" vm="857">
        <f ca="1"/>
        <v>117.91</v>
      </c>
      <c r="J61" vm="858">
        <f ca="1"/>
        <v>15.23</v>
      </c>
      <c r="K61" vm="859">
        <f ca="1"/>
        <v>42.557499999999997</v>
      </c>
      <c r="L61" vm="860">
        <f ca="1"/>
        <v>28.44</v>
      </c>
      <c r="M61" vm="861">
        <f ca="1"/>
        <v>169.88</v>
      </c>
      <c r="N61" vm="862">
        <f ca="1"/>
        <v>90.399000000000001</v>
      </c>
      <c r="O61" vm="863">
        <f ca="1"/>
        <v>48.68</v>
      </c>
      <c r="P61" vm="864">
        <f ca="1"/>
        <v>133.751</v>
      </c>
    </row>
    <row r="62" spans="1:16" x14ac:dyDescent="0.25">
      <c r="A62" vm="865">
        <f ca="1"/>
        <v>45426</v>
      </c>
      <c r="B62" vm="866">
        <f ca="1"/>
        <v>177.55</v>
      </c>
      <c r="C62" vm="867">
        <f ca="1"/>
        <v>187.07</v>
      </c>
      <c r="D62" vm="868">
        <f ca="1"/>
        <v>416.56</v>
      </c>
      <c r="E62" vm="869">
        <f ca="1"/>
        <v>314.05</v>
      </c>
      <c r="F62" vm="560">
        <f ca="1"/>
        <v>165.76</v>
      </c>
      <c r="G62" vm="870">
        <f ca="1"/>
        <v>201.51</v>
      </c>
      <c r="H62" vm="871">
        <f ca="1"/>
        <v>513.88</v>
      </c>
      <c r="I62" vm="872">
        <f ca="1"/>
        <v>117.67</v>
      </c>
      <c r="J62" vm="873">
        <f ca="1"/>
        <v>16.245999999999999</v>
      </c>
      <c r="K62" vm="874">
        <f ca="1"/>
        <v>42.95</v>
      </c>
      <c r="L62" vm="875">
        <f ca="1"/>
        <v>28.38</v>
      </c>
      <c r="M62" vm="876">
        <f ca="1"/>
        <v>169.08</v>
      </c>
      <c r="N62" vm="877">
        <f ca="1"/>
        <v>91.355999999999995</v>
      </c>
      <c r="O62" vm="124">
        <f ca="1"/>
        <v>48.95</v>
      </c>
      <c r="P62" vm="878">
        <f ca="1"/>
        <v>138.00299999999999</v>
      </c>
    </row>
    <row r="63" spans="1:16" x14ac:dyDescent="0.25">
      <c r="A63" vm="879">
        <f ca="1"/>
        <v>45427</v>
      </c>
      <c r="B63" vm="880">
        <f ca="1"/>
        <v>173.99</v>
      </c>
      <c r="C63" vm="881">
        <f ca="1"/>
        <v>185.99</v>
      </c>
      <c r="D63" vm="882">
        <f ca="1"/>
        <v>423.08</v>
      </c>
      <c r="E63" vm="883">
        <f ca="1"/>
        <v>316.37</v>
      </c>
      <c r="F63" vm="884">
        <f ca="1"/>
        <v>166.51</v>
      </c>
      <c r="G63" vm="885">
        <f ca="1"/>
        <v>202.11</v>
      </c>
      <c r="H63" vm="886">
        <f ca="1"/>
        <v>517.54999999999995</v>
      </c>
      <c r="I63" vm="887">
        <f ca="1"/>
        <v>118.58</v>
      </c>
      <c r="J63" vm="888">
        <f ca="1"/>
        <v>16.696000000000002</v>
      </c>
      <c r="K63" vm="889">
        <f ca="1"/>
        <v>43.47</v>
      </c>
      <c r="L63" vm="890">
        <f ca="1"/>
        <v>28.82</v>
      </c>
      <c r="M63" vm="891">
        <f ca="1"/>
        <v>166.27</v>
      </c>
      <c r="N63" vm="892">
        <f ca="1"/>
        <v>94.63</v>
      </c>
      <c r="O63" vm="893">
        <f ca="1"/>
        <v>49.67</v>
      </c>
      <c r="P63" vm="894">
        <f ca="1"/>
        <v>143.61699999999999</v>
      </c>
    </row>
    <row r="64" spans="1:16" x14ac:dyDescent="0.25">
      <c r="A64" vm="895">
        <f ca="1"/>
        <v>45428</v>
      </c>
      <c r="B64" vm="896">
        <f ca="1"/>
        <v>174.84</v>
      </c>
      <c r="C64" vm="897">
        <f ca="1"/>
        <v>183.63</v>
      </c>
      <c r="D64" vm="898">
        <f ca="1"/>
        <v>420.99</v>
      </c>
      <c r="E64" vm="899">
        <f ca="1"/>
        <v>314.02</v>
      </c>
      <c r="F64" vm="900">
        <f ca="1"/>
        <v>167.86</v>
      </c>
      <c r="G64" vm="901">
        <f ca="1"/>
        <v>202.47</v>
      </c>
      <c r="H64" vm="902">
        <f ca="1"/>
        <v>521.27</v>
      </c>
      <c r="I64" vm="903">
        <f ca="1"/>
        <v>117.87</v>
      </c>
      <c r="J64" vm="904">
        <f ca="1"/>
        <v>16.678000000000001</v>
      </c>
      <c r="K64" vm="905">
        <f ca="1"/>
        <v>42.97</v>
      </c>
      <c r="L64" vm="906">
        <f ca="1"/>
        <v>28.92</v>
      </c>
      <c r="M64" vm="876">
        <f ca="1"/>
        <v>169.08</v>
      </c>
      <c r="N64" vm="907">
        <f ca="1"/>
        <v>94.358999999999995</v>
      </c>
      <c r="O64" vm="908">
        <f ca="1"/>
        <v>48.34</v>
      </c>
      <c r="P64" vm="909">
        <f ca="1"/>
        <v>141.21299999999999</v>
      </c>
    </row>
    <row r="65" spans="1:16" x14ac:dyDescent="0.25">
      <c r="A65" vm="910">
        <f ca="1"/>
        <v>45429</v>
      </c>
      <c r="B65" vm="911">
        <f ca="1"/>
        <v>177.46</v>
      </c>
      <c r="C65" vm="912">
        <f ca="1"/>
        <v>184.7</v>
      </c>
      <c r="D65" vm="913">
        <f ca="1"/>
        <v>420.21</v>
      </c>
      <c r="E65" vm="914">
        <f ca="1"/>
        <v>312.39999999999998</v>
      </c>
      <c r="F65" vm="915">
        <f ca="1"/>
        <v>167.64</v>
      </c>
      <c r="G65" vm="916">
        <f ca="1"/>
        <v>204.79</v>
      </c>
      <c r="H65" vm="917">
        <f ca="1"/>
        <v>524.63</v>
      </c>
      <c r="I65" vm="707">
        <f ca="1"/>
        <v>119.64</v>
      </c>
      <c r="J65" vm="918">
        <f ca="1"/>
        <v>16.75</v>
      </c>
      <c r="K65" vm="919">
        <f ca="1"/>
        <v>43.22</v>
      </c>
      <c r="L65" vm="920">
        <f ca="1"/>
        <v>28.64</v>
      </c>
      <c r="M65" vm="921">
        <f ca="1"/>
        <v>169.51</v>
      </c>
      <c r="N65" vm="922">
        <f ca="1"/>
        <v>92.478999999999999</v>
      </c>
      <c r="O65" vm="923">
        <f ca="1"/>
        <v>48.17</v>
      </c>
      <c r="P65" vm="924">
        <f ca="1"/>
        <v>139.529</v>
      </c>
    </row>
    <row r="66" spans="1:16" x14ac:dyDescent="0.25">
      <c r="A66" vm="925">
        <f ca="1"/>
        <v>45432</v>
      </c>
      <c r="B66" vm="926">
        <f ca="1"/>
        <v>174.95</v>
      </c>
      <c r="C66" vm="927">
        <f ca="1"/>
        <v>183.54</v>
      </c>
      <c r="D66" vm="928">
        <f ca="1"/>
        <v>425.34</v>
      </c>
      <c r="E66" vm="929">
        <f ca="1"/>
        <v>309.42</v>
      </c>
      <c r="F66" vm="930">
        <f ca="1"/>
        <v>167.31</v>
      </c>
      <c r="G66" vm="931">
        <f ca="1"/>
        <v>195.58</v>
      </c>
      <c r="H66" vm="932">
        <f ca="1"/>
        <v>517.23</v>
      </c>
      <c r="I66" vm="933">
        <f ca="1"/>
        <v>118.67</v>
      </c>
      <c r="J66" vm="934">
        <f ca="1"/>
        <v>16.718</v>
      </c>
      <c r="K66" vm="935">
        <f ca="1"/>
        <v>43.67</v>
      </c>
      <c r="L66" vm="936">
        <f ca="1"/>
        <v>28.53</v>
      </c>
      <c r="M66" vm="900">
        <f ca="1"/>
        <v>167.86</v>
      </c>
      <c r="N66" vm="937">
        <f ca="1"/>
        <v>94.78</v>
      </c>
      <c r="O66" vm="938">
        <f ca="1"/>
        <v>47.13</v>
      </c>
      <c r="P66" vm="939">
        <f ca="1"/>
        <v>141.40299999999999</v>
      </c>
    </row>
    <row r="67" spans="1:16" x14ac:dyDescent="0.25">
      <c r="A67" vm="940">
        <f ca="1"/>
        <v>45433</v>
      </c>
      <c r="B67" vm="941">
        <f ca="1"/>
        <v>186.6</v>
      </c>
      <c r="C67" vm="942">
        <f ca="1"/>
        <v>183.15</v>
      </c>
      <c r="D67" vm="943">
        <f ca="1"/>
        <v>429.04</v>
      </c>
      <c r="E67" vm="944">
        <f ca="1"/>
        <v>309.95999999999998</v>
      </c>
      <c r="F67" vm="945">
        <f ca="1"/>
        <v>168.35</v>
      </c>
      <c r="G67" vm="367">
        <f ca="1"/>
        <v>199.52</v>
      </c>
      <c r="H67" vm="946">
        <f ca="1"/>
        <v>523.54999999999995</v>
      </c>
      <c r="I67" vm="947">
        <f ca="1"/>
        <v>117.85</v>
      </c>
      <c r="J67" vm="948">
        <f ca="1"/>
        <v>16.399999999999999</v>
      </c>
      <c r="K67" vm="949">
        <f ca="1"/>
        <v>43.89</v>
      </c>
      <c r="L67" vm="950">
        <f ca="1"/>
        <v>28.56</v>
      </c>
      <c r="M67" vm="803">
        <f ca="1"/>
        <v>168.19</v>
      </c>
      <c r="N67" vm="951">
        <f ca="1"/>
        <v>95.385999999999996</v>
      </c>
      <c r="O67" vm="952">
        <f ca="1"/>
        <v>46.94</v>
      </c>
      <c r="P67" vm="953">
        <f ca="1"/>
        <v>139.91999999999999</v>
      </c>
    </row>
    <row r="68" spans="1:16" x14ac:dyDescent="0.25">
      <c r="A68" vm="954">
        <f ca="1"/>
        <v>45434</v>
      </c>
      <c r="B68" vm="955">
        <f ca="1"/>
        <v>180.11</v>
      </c>
      <c r="C68" vm="956">
        <f ca="1"/>
        <v>183.13</v>
      </c>
      <c r="D68" vm="957">
        <f ca="1"/>
        <v>430.52</v>
      </c>
      <c r="E68" vm="958">
        <f ca="1"/>
        <v>307.22000000000003</v>
      </c>
      <c r="F68" vm="959">
        <f ca="1"/>
        <v>167.81</v>
      </c>
      <c r="G68" vm="960">
        <f ca="1"/>
        <v>198.31</v>
      </c>
      <c r="H68" vm="961">
        <f ca="1"/>
        <v>521.35</v>
      </c>
      <c r="I68" vm="962">
        <f ca="1"/>
        <v>115.48</v>
      </c>
      <c r="J68" vm="963">
        <f ca="1"/>
        <v>16.251999999999999</v>
      </c>
      <c r="K68" vm="964">
        <f ca="1"/>
        <v>43.24</v>
      </c>
      <c r="L68" vm="965">
        <f ca="1"/>
        <v>29.6</v>
      </c>
      <c r="M68" vm="966">
        <f ca="1"/>
        <v>166.17</v>
      </c>
      <c r="N68" vm="967">
        <f ca="1"/>
        <v>94.95</v>
      </c>
      <c r="O68" vm="968">
        <f ca="1"/>
        <v>47.43</v>
      </c>
      <c r="P68" vm="969">
        <f ca="1"/>
        <v>139.22399999999999</v>
      </c>
    </row>
    <row r="69" spans="1:16" x14ac:dyDescent="0.25">
      <c r="A69" vm="970">
        <f ca="1"/>
        <v>45435</v>
      </c>
      <c r="B69" vm="971">
        <f ca="1"/>
        <v>173.74</v>
      </c>
      <c r="C69" vm="972">
        <f ca="1"/>
        <v>181.05</v>
      </c>
      <c r="D69" vm="973">
        <f ca="1"/>
        <v>427</v>
      </c>
      <c r="E69" vm="974">
        <f ca="1"/>
        <v>303.08999999999997</v>
      </c>
      <c r="F69" vm="975">
        <f ca="1"/>
        <v>165.49</v>
      </c>
      <c r="G69" vm="976">
        <f ca="1"/>
        <v>196.92</v>
      </c>
      <c r="H69" vm="977">
        <f ca="1"/>
        <v>516.83000000000004</v>
      </c>
      <c r="I69" vm="978">
        <f ca="1"/>
        <v>113.51</v>
      </c>
      <c r="J69" vm="979">
        <f ca="1"/>
        <v>16.16</v>
      </c>
      <c r="K69" vm="980">
        <f ca="1"/>
        <v>43.25</v>
      </c>
      <c r="L69" vm="981">
        <f ca="1"/>
        <v>28.69</v>
      </c>
      <c r="M69" vm="982">
        <f ca="1"/>
        <v>164</v>
      </c>
      <c r="N69" vm="983">
        <f ca="1"/>
        <v>103.79900000000001</v>
      </c>
      <c r="O69" vm="984">
        <f ca="1"/>
        <v>46.6</v>
      </c>
      <c r="P69" vm="985">
        <f ca="1"/>
        <v>139.32900000000001</v>
      </c>
    </row>
    <row r="70" spans="1:16" x14ac:dyDescent="0.25">
      <c r="A70" vm="986">
        <f ca="1"/>
        <v>45436</v>
      </c>
      <c r="B70" vm="987">
        <f ca="1"/>
        <v>179.24</v>
      </c>
      <c r="C70" vm="988">
        <f ca="1"/>
        <v>180.75</v>
      </c>
      <c r="D70" vm="989">
        <f ca="1"/>
        <v>430.16</v>
      </c>
      <c r="E70" vm="990">
        <f ca="1"/>
        <v>304.83999999999997</v>
      </c>
      <c r="F70" vm="991">
        <f ca="1"/>
        <v>165.33</v>
      </c>
      <c r="G70" vm="992">
        <f ca="1"/>
        <v>200.71</v>
      </c>
      <c r="H70" vm="993">
        <f ca="1"/>
        <v>508.17</v>
      </c>
      <c r="I70" vm="994">
        <f ca="1"/>
        <v>113.42</v>
      </c>
      <c r="J70" vm="995">
        <f ca="1"/>
        <v>16.058</v>
      </c>
      <c r="K70" vm="996">
        <f ca="1"/>
        <v>43.1</v>
      </c>
      <c r="L70" vm="997">
        <f ca="1"/>
        <v>28.88</v>
      </c>
      <c r="M70" vm="998">
        <f ca="1"/>
        <v>164.84</v>
      </c>
      <c r="N70" vm="999">
        <f ca="1"/>
        <v>106.46899999999999</v>
      </c>
      <c r="O70" vm="1000">
        <f ca="1"/>
        <v>46.42</v>
      </c>
      <c r="P70" vm="1001">
        <f ca="1"/>
        <v>140.78399999999999</v>
      </c>
    </row>
    <row r="71" spans="1:16" x14ac:dyDescent="0.25">
      <c r="A71" vm="1002">
        <f ca="1"/>
        <v>45440</v>
      </c>
      <c r="B71" vm="1003">
        <f ca="1"/>
        <v>176.75</v>
      </c>
      <c r="C71" vm="1004">
        <f ca="1"/>
        <v>182.15</v>
      </c>
      <c r="D71" vm="1005">
        <f ca="1"/>
        <v>430.32</v>
      </c>
      <c r="E71" vm="1006">
        <f ca="1"/>
        <v>301.73</v>
      </c>
      <c r="F71" vm="1007">
        <f ca="1"/>
        <v>163.11000000000001</v>
      </c>
      <c r="G71" vm="1008">
        <f ca="1"/>
        <v>199.5</v>
      </c>
      <c r="H71" vm="1009">
        <f ca="1"/>
        <v>503.68</v>
      </c>
      <c r="I71" vm="1010">
        <f ca="1"/>
        <v>114.86</v>
      </c>
      <c r="J71" vm="1011">
        <f ca="1"/>
        <v>15.974</v>
      </c>
      <c r="K71" vm="1012">
        <f ca="1"/>
        <v>42.86</v>
      </c>
      <c r="L71" vm="1013">
        <f ca="1"/>
        <v>28.3</v>
      </c>
      <c r="M71" vm="1014">
        <f ca="1"/>
        <v>164.67</v>
      </c>
      <c r="N71" vm="1015">
        <f ca="1"/>
        <v>113.901</v>
      </c>
      <c r="O71" vm="1016">
        <f ca="1"/>
        <v>46.28</v>
      </c>
      <c r="P71" vm="1017">
        <f ca="1"/>
        <v>141.245</v>
      </c>
    </row>
    <row r="72" spans="1:16" x14ac:dyDescent="0.25">
      <c r="A72" vm="1018">
        <f ca="1"/>
        <v>45441</v>
      </c>
      <c r="B72" vm="1019">
        <f ca="1"/>
        <v>176.19</v>
      </c>
      <c r="C72" vm="1020">
        <f ca="1"/>
        <v>182.02</v>
      </c>
      <c r="D72" vm="1021">
        <f ca="1"/>
        <v>429.17</v>
      </c>
      <c r="E72" vm="1022">
        <f ca="1"/>
        <v>297.43</v>
      </c>
      <c r="F72" vm="1023">
        <f ca="1"/>
        <v>161.65</v>
      </c>
      <c r="G72" vm="1024">
        <f ca="1"/>
        <v>198.11</v>
      </c>
      <c r="H72" vm="1025">
        <f ca="1"/>
        <v>484.72</v>
      </c>
      <c r="I72" vm="1026">
        <f ca="1"/>
        <v>113.63</v>
      </c>
      <c r="J72" vm="1027">
        <f ca="1"/>
        <v>15.69</v>
      </c>
      <c r="K72" vm="1028">
        <f ca="1"/>
        <v>42.36</v>
      </c>
      <c r="L72" vm="1029">
        <f ca="1"/>
        <v>27.82</v>
      </c>
      <c r="M72" vm="1030">
        <f ca="1"/>
        <v>163.5</v>
      </c>
      <c r="N72" vm="1031">
        <f ca="1"/>
        <v>114.825</v>
      </c>
      <c r="O72" vm="1032">
        <f ca="1"/>
        <v>46.08</v>
      </c>
      <c r="P72" vm="1033">
        <f ca="1"/>
        <v>139.06700000000001</v>
      </c>
    </row>
    <row r="73" spans="1:16" x14ac:dyDescent="0.25">
      <c r="A73" vm="1034">
        <f ca="1"/>
        <v>45442</v>
      </c>
      <c r="B73" vm="1035">
        <f ca="1"/>
        <v>178.79</v>
      </c>
      <c r="C73" vm="1036">
        <f ca="1"/>
        <v>179.32</v>
      </c>
      <c r="D73" vm="1037">
        <f ca="1"/>
        <v>414.67</v>
      </c>
      <c r="E73" vm="1038">
        <f ca="1"/>
        <v>302.05</v>
      </c>
      <c r="F73" vm="1039">
        <f ca="1"/>
        <v>162.58000000000001</v>
      </c>
      <c r="G73" vm="1040">
        <f ca="1"/>
        <v>199.33</v>
      </c>
      <c r="H73" vm="1041">
        <f ca="1"/>
        <v>481.65</v>
      </c>
      <c r="I73" vm="1042">
        <f ca="1"/>
        <v>113.99</v>
      </c>
      <c r="J73" vm="1043">
        <f ca="1"/>
        <v>16.158000000000001</v>
      </c>
      <c r="K73" vm="1044">
        <f ca="1"/>
        <v>42.91</v>
      </c>
      <c r="L73" vm="1045">
        <f ca="1"/>
        <v>28.2</v>
      </c>
      <c r="M73" vm="1046">
        <f ca="1"/>
        <v>164.98</v>
      </c>
      <c r="N73" vm="1047">
        <f ca="1"/>
        <v>110.5</v>
      </c>
      <c r="O73" vm="1048">
        <f ca="1"/>
        <v>46.12</v>
      </c>
      <c r="P73" vm="1049">
        <f ca="1"/>
        <v>136.40799999999999</v>
      </c>
    </row>
    <row r="74" spans="1:16" x14ac:dyDescent="0.25">
      <c r="A74" vm="1050">
        <f ca="1"/>
        <v>45443</v>
      </c>
      <c r="B74" vm="1051">
        <f ca="1"/>
        <v>178.08</v>
      </c>
      <c r="C74" vm="1052">
        <f ca="1"/>
        <v>176.44</v>
      </c>
      <c r="D74" vm="1053">
        <f ca="1"/>
        <v>415.13</v>
      </c>
      <c r="E74" vm="1054">
        <f ca="1"/>
        <v>303.8</v>
      </c>
      <c r="F74" vm="1055">
        <f ca="1"/>
        <v>164.54</v>
      </c>
      <c r="G74" vm="1056">
        <f ca="1"/>
        <v>202.63</v>
      </c>
      <c r="H74" vm="1057">
        <f ca="1"/>
        <v>495.37</v>
      </c>
      <c r="I74" vm="1058">
        <f ca="1"/>
        <v>117.26</v>
      </c>
      <c r="J74" vm="1059">
        <f ca="1"/>
        <v>16.468</v>
      </c>
      <c r="K74" vm="1060">
        <f ca="1"/>
        <v>42.49</v>
      </c>
      <c r="L74" vm="1061">
        <f ca="1"/>
        <v>28.66</v>
      </c>
      <c r="M74" vm="1062">
        <f ca="1"/>
        <v>167.52</v>
      </c>
      <c r="N74" vm="1063">
        <f ca="1"/>
        <v>109.633</v>
      </c>
      <c r="O74" vm="1064">
        <f ca="1"/>
        <v>46.5</v>
      </c>
      <c r="P74" vm="1065">
        <f ca="1"/>
        <v>132.85499999999999</v>
      </c>
    </row>
    <row r="75" spans="1:16" x14ac:dyDescent="0.25">
      <c r="A75" vm="1066">
        <f ca="1"/>
        <v>45446</v>
      </c>
      <c r="B75" vm="1067">
        <f ca="1"/>
        <v>176.29</v>
      </c>
      <c r="C75" vm="1068">
        <f ca="1"/>
        <v>178.34</v>
      </c>
      <c r="D75" vm="1069">
        <f ca="1"/>
        <v>413.52</v>
      </c>
      <c r="E75" vm="1070">
        <f ca="1"/>
        <v>302.02999999999997</v>
      </c>
      <c r="F75" vm="1071">
        <f ca="1"/>
        <v>164.65</v>
      </c>
      <c r="G75" vm="1072">
        <f ca="1"/>
        <v>201.82</v>
      </c>
      <c r="H75" vm="1073">
        <f ca="1"/>
        <v>497.44</v>
      </c>
      <c r="I75" vm="1074">
        <f ca="1"/>
        <v>114.45</v>
      </c>
      <c r="J75" vm="1075">
        <f ca="1"/>
        <v>16.72</v>
      </c>
      <c r="K75" vm="1076">
        <f ca="1"/>
        <v>42.4</v>
      </c>
      <c r="L75" vm="1077">
        <f ca="1"/>
        <v>29.31</v>
      </c>
      <c r="M75" vm="1078">
        <f ca="1"/>
        <v>164.12</v>
      </c>
      <c r="N75" vm="1079">
        <f ca="1"/>
        <v>115</v>
      </c>
      <c r="O75" vm="1080">
        <f ca="1"/>
        <v>46.65</v>
      </c>
      <c r="P75" vm="1081">
        <f ca="1"/>
        <v>132.19</v>
      </c>
    </row>
    <row r="76" spans="1:16" x14ac:dyDescent="0.25">
      <c r="A76" vm="1082">
        <f ca="1"/>
        <v>45447</v>
      </c>
      <c r="B76" vm="1083">
        <f ca="1"/>
        <v>174.77</v>
      </c>
      <c r="C76" vm="1084">
        <f ca="1"/>
        <v>179.34</v>
      </c>
      <c r="D76" vm="1085">
        <f ca="1"/>
        <v>416.07</v>
      </c>
      <c r="E76" vm="1086">
        <f ca="1"/>
        <v>305.83999999999997</v>
      </c>
      <c r="F76" vm="1087">
        <f ca="1"/>
        <v>167.01</v>
      </c>
      <c r="G76" vm="1088">
        <f ca="1"/>
        <v>199.16</v>
      </c>
      <c r="H76" vm="1089">
        <f ca="1"/>
        <v>505.49</v>
      </c>
      <c r="I76" vm="1090">
        <f ca="1"/>
        <v>112.67</v>
      </c>
      <c r="J76" vm="1091">
        <f ca="1"/>
        <v>17.206</v>
      </c>
      <c r="K76" vm="1092">
        <f ca="1"/>
        <v>41.69</v>
      </c>
      <c r="L76" vm="1093">
        <f ca="1"/>
        <v>29.49</v>
      </c>
      <c r="M76" vm="1094">
        <f ca="1"/>
        <v>163.41999999999999</v>
      </c>
      <c r="N76" vm="1095">
        <f ca="1"/>
        <v>116.437</v>
      </c>
      <c r="O76" vm="1096">
        <f ca="1"/>
        <v>47.42</v>
      </c>
      <c r="P76" vm="1097">
        <f ca="1"/>
        <v>133.08199999999999</v>
      </c>
    </row>
    <row r="77" spans="1:16" x14ac:dyDescent="0.25">
      <c r="A77" vm="1098">
        <f ca="1"/>
        <v>45448</v>
      </c>
      <c r="B77" vm="716">
        <f ca="1"/>
        <v>175</v>
      </c>
      <c r="C77" vm="580">
        <f ca="1"/>
        <v>181.28</v>
      </c>
      <c r="D77" vm="1099">
        <f ca="1"/>
        <v>424.01</v>
      </c>
      <c r="E77" vm="1100">
        <f ca="1"/>
        <v>308.23</v>
      </c>
      <c r="F77" vm="1101">
        <f ca="1"/>
        <v>166.05</v>
      </c>
      <c r="G77" vm="1102">
        <f ca="1"/>
        <v>197.26</v>
      </c>
      <c r="H77" vm="1103">
        <f ca="1"/>
        <v>503.12</v>
      </c>
      <c r="I77" vm="1104">
        <f ca="1"/>
        <v>113.12</v>
      </c>
      <c r="J77" vm="1105">
        <f ca="1"/>
        <v>17.327999999999999</v>
      </c>
      <c r="K77" vm="1106">
        <f ca="1"/>
        <v>41.7</v>
      </c>
      <c r="L77" vm="1107">
        <f ca="1"/>
        <v>29.55</v>
      </c>
      <c r="M77" vm="1108">
        <f ca="1"/>
        <v>163.30000000000001</v>
      </c>
      <c r="N77" vm="1109">
        <f ca="1"/>
        <v>122.44</v>
      </c>
      <c r="O77" vm="1110">
        <f ca="1"/>
        <v>46.02</v>
      </c>
      <c r="P77" vm="1111">
        <f ca="1"/>
        <v>141.309</v>
      </c>
    </row>
    <row r="78" spans="1:16" x14ac:dyDescent="0.25">
      <c r="A78" vm="1112">
        <f ca="1"/>
        <v>45449</v>
      </c>
      <c r="B78" vm="1113">
        <f ca="1"/>
        <v>177.94</v>
      </c>
      <c r="C78" vm="1114">
        <f ca="1"/>
        <v>185</v>
      </c>
      <c r="D78" vm="1115">
        <f ca="1"/>
        <v>424.52</v>
      </c>
      <c r="E78" vm="1116">
        <f ca="1"/>
        <v>304.06</v>
      </c>
      <c r="F78" vm="838">
        <f ca="1"/>
        <v>168.47</v>
      </c>
      <c r="G78" vm="1117">
        <f ca="1"/>
        <v>196.91</v>
      </c>
      <c r="H78" vm="1118">
        <f ca="1"/>
        <v>501.92</v>
      </c>
      <c r="I78" vm="1119">
        <f ca="1"/>
        <v>113.97</v>
      </c>
      <c r="J78" vm="1120">
        <f ca="1"/>
        <v>17.446000000000002</v>
      </c>
      <c r="K78" vm="1121">
        <f ca="1"/>
        <v>41.74</v>
      </c>
      <c r="L78" vm="1122">
        <f ca="1"/>
        <v>28.8</v>
      </c>
      <c r="M78" vm="1123">
        <f ca="1"/>
        <v>163.12</v>
      </c>
      <c r="N78" vm="1124">
        <f ca="1"/>
        <v>120.998</v>
      </c>
      <c r="O78" vm="1125">
        <f ca="1"/>
        <v>46.23</v>
      </c>
      <c r="P78" vm="1126">
        <f ca="1"/>
        <v>140.12700000000001</v>
      </c>
    </row>
    <row r="79" spans="1:16" x14ac:dyDescent="0.25">
      <c r="A79" vm="1127">
        <f ca="1"/>
        <v>45450</v>
      </c>
      <c r="B79" vm="1128">
        <f ca="1"/>
        <v>177.48</v>
      </c>
      <c r="C79" vm="1129">
        <f ca="1"/>
        <v>184.3</v>
      </c>
      <c r="D79" vm="1130">
        <f ca="1"/>
        <v>423.85</v>
      </c>
      <c r="E79" vm="1131">
        <f ca="1"/>
        <v>291.95</v>
      </c>
      <c r="F79" vm="1132">
        <f ca="1"/>
        <v>167.06</v>
      </c>
      <c r="G79" vm="1133">
        <f ca="1"/>
        <v>199.95</v>
      </c>
      <c r="H79" vm="1134">
        <f ca="1"/>
        <v>490.69</v>
      </c>
      <c r="I79" vm="1135">
        <f ca="1"/>
        <v>112.75</v>
      </c>
      <c r="J79" vm="1136">
        <f ca="1"/>
        <v>17.09</v>
      </c>
      <c r="K79" vm="1137">
        <f ca="1"/>
        <v>40.51</v>
      </c>
      <c r="L79" vm="1138">
        <f ca="1"/>
        <v>28.58</v>
      </c>
      <c r="M79" vm="1139">
        <f ca="1"/>
        <v>165.06</v>
      </c>
      <c r="N79" vm="1140">
        <f ca="1"/>
        <v>120.88800000000001</v>
      </c>
      <c r="O79" vm="1141">
        <f ca="1"/>
        <v>45.84</v>
      </c>
      <c r="P79" vm="1142">
        <f ca="1"/>
        <v>140.66399999999999</v>
      </c>
    </row>
    <row r="80" spans="1:16" x14ac:dyDescent="0.25">
      <c r="A80" vm="1143">
        <f ca="1"/>
        <v>45453</v>
      </c>
      <c r="B80" vm="1144">
        <f ca="1"/>
        <v>173.79</v>
      </c>
      <c r="C80" vm="1145">
        <f ca="1"/>
        <v>187.06</v>
      </c>
      <c r="D80" vm="1146">
        <f ca="1"/>
        <v>427.87</v>
      </c>
      <c r="E80" vm="1147">
        <f ca="1"/>
        <v>293.11</v>
      </c>
      <c r="F80" vm="1148">
        <f ca="1"/>
        <v>167.35</v>
      </c>
      <c r="G80" vm="1149">
        <f ca="1"/>
        <v>199.61</v>
      </c>
      <c r="H80" vm="1150">
        <f ca="1"/>
        <v>495</v>
      </c>
      <c r="I80" vm="1151">
        <f ca="1"/>
        <v>113.08</v>
      </c>
      <c r="J80" vm="1152">
        <f ca="1"/>
        <v>17.128</v>
      </c>
      <c r="K80" vm="1153">
        <f ca="1"/>
        <v>40.200000000000003</v>
      </c>
      <c r="L80" vm="1154">
        <f ca="1"/>
        <v>28.07</v>
      </c>
      <c r="M80" vm="1155">
        <f ca="1"/>
        <v>163.81</v>
      </c>
      <c r="N80" vm="526">
        <f ca="1"/>
        <v>121.79</v>
      </c>
      <c r="O80" vm="1156">
        <f ca="1"/>
        <v>45.85</v>
      </c>
      <c r="P80" vm="1157">
        <f ca="1"/>
        <v>144.047</v>
      </c>
    </row>
    <row r="81" spans="1:16" x14ac:dyDescent="0.25">
      <c r="A81" vm="1158">
        <f ca="1"/>
        <v>45454</v>
      </c>
      <c r="B81" vm="1159">
        <f ca="1"/>
        <v>170.66</v>
      </c>
      <c r="C81" vm="1160">
        <f ca="1"/>
        <v>187.23</v>
      </c>
      <c r="D81" vm="1161">
        <f ca="1"/>
        <v>432.68</v>
      </c>
      <c r="E81" vm="1162">
        <f ca="1"/>
        <v>296</v>
      </c>
      <c r="F81" vm="1163">
        <f ca="1"/>
        <v>167.48</v>
      </c>
      <c r="G81" vm="1164">
        <f ca="1"/>
        <v>194.36</v>
      </c>
      <c r="H81" vm="1165">
        <f ca="1"/>
        <v>496.22</v>
      </c>
      <c r="I81" vm="1166">
        <f ca="1"/>
        <v>112.17</v>
      </c>
      <c r="J81" vm="1167">
        <f ca="1"/>
        <v>17</v>
      </c>
      <c r="K81" vm="1168">
        <f ca="1"/>
        <v>39.799999999999997</v>
      </c>
      <c r="L81" vm="1169">
        <f ca="1"/>
        <v>28.03</v>
      </c>
      <c r="M81" vm="1170">
        <f ca="1"/>
        <v>161.6</v>
      </c>
      <c r="N81" vm="1171">
        <f ca="1"/>
        <v>120.91</v>
      </c>
      <c r="O81" vm="1172">
        <f ca="1"/>
        <v>45.77</v>
      </c>
      <c r="P81" vm="1173">
        <f ca="1"/>
        <v>146.10300000000001</v>
      </c>
    </row>
    <row r="82" spans="1:16" x14ac:dyDescent="0.25">
      <c r="A82" vm="1174">
        <f ca="1"/>
        <v>45455</v>
      </c>
      <c r="B82" vm="1175">
        <f ca="1"/>
        <v>177.29</v>
      </c>
      <c r="C82" vm="1176">
        <f ca="1"/>
        <v>186.89</v>
      </c>
      <c r="D82" vm="1177">
        <f ca="1"/>
        <v>441.06</v>
      </c>
      <c r="E82" vm="1178">
        <f ca="1"/>
        <v>299.29000000000002</v>
      </c>
      <c r="F82" vm="1179">
        <f ca="1"/>
        <v>165.18</v>
      </c>
      <c r="G82" vm="1180">
        <f ca="1"/>
        <v>191.53</v>
      </c>
      <c r="H82" vm="1181">
        <f ca="1"/>
        <v>493.07</v>
      </c>
      <c r="I82" vm="1182">
        <f ca="1"/>
        <v>110.93</v>
      </c>
      <c r="J82" vm="1183">
        <f ca="1"/>
        <v>16.792000000000002</v>
      </c>
      <c r="K82" vm="1184">
        <f ca="1"/>
        <v>40.17</v>
      </c>
      <c r="L82" vm="312">
        <f ca="1"/>
        <v>27.66</v>
      </c>
      <c r="M82" vm="1185">
        <f ca="1"/>
        <v>160.63</v>
      </c>
      <c r="N82" vm="1186">
        <f ca="1"/>
        <v>125.2</v>
      </c>
      <c r="O82" vm="1187">
        <f ca="1"/>
        <v>45.62</v>
      </c>
      <c r="P82" vm="1188">
        <f ca="1"/>
        <v>149.55099999999999</v>
      </c>
    </row>
    <row r="83" spans="1:16" x14ac:dyDescent="0.25">
      <c r="A83" vm="1189">
        <f ca="1"/>
        <v>45456</v>
      </c>
      <c r="B83" vm="1190">
        <f ca="1"/>
        <v>182.47</v>
      </c>
      <c r="C83" vm="1191">
        <f ca="1"/>
        <v>183.83</v>
      </c>
      <c r="D83" vm="1192">
        <f ca="1"/>
        <v>441.58</v>
      </c>
      <c r="E83" vm="1193">
        <f ca="1"/>
        <v>300.45</v>
      </c>
      <c r="F83" vm="1194">
        <f ca="1"/>
        <v>166.41</v>
      </c>
      <c r="G83" vm="1195">
        <f ca="1"/>
        <v>193.66</v>
      </c>
      <c r="H83" vm="1196">
        <f ca="1"/>
        <v>497.3</v>
      </c>
      <c r="I83" vm="1197">
        <f ca="1"/>
        <v>110.04</v>
      </c>
      <c r="J83" vm="1198">
        <f ca="1"/>
        <v>16.82</v>
      </c>
      <c r="K83" vm="1199">
        <f ca="1"/>
        <v>39.24</v>
      </c>
      <c r="L83" vm="1200">
        <f ca="1"/>
        <v>27.65</v>
      </c>
      <c r="M83" vm="1201">
        <f ca="1"/>
        <v>160.83000000000001</v>
      </c>
      <c r="N83" vm="1202">
        <f ca="1"/>
        <v>129.61000000000001</v>
      </c>
      <c r="O83" vm="1203">
        <f ca="1"/>
        <v>45.52</v>
      </c>
      <c r="P83" vm="1204">
        <f ca="1"/>
        <v>167.899</v>
      </c>
    </row>
    <row r="84" spans="1:16" x14ac:dyDescent="0.25">
      <c r="A84" vm="1205">
        <f ca="1"/>
        <v>45457</v>
      </c>
      <c r="B84" vm="1206">
        <f ca="1"/>
        <v>178.01</v>
      </c>
      <c r="C84" vm="1207">
        <f ca="1"/>
        <v>183.66</v>
      </c>
      <c r="D84" vm="1208">
        <f ca="1"/>
        <v>442.57</v>
      </c>
      <c r="E84" vm="1209">
        <f ca="1"/>
        <v>296.99</v>
      </c>
      <c r="F84" vm="1210">
        <f ca="1"/>
        <v>166.79</v>
      </c>
      <c r="G84" vm="1211">
        <f ca="1"/>
        <v>193.78</v>
      </c>
      <c r="H84" vm="1212">
        <f ca="1"/>
        <v>497.12</v>
      </c>
      <c r="I84" vm="1213">
        <f ca="1"/>
        <v>109.11</v>
      </c>
      <c r="J84" vm="1214">
        <f ca="1"/>
        <v>16.443999999999999</v>
      </c>
      <c r="K84" vm="1215">
        <f ca="1"/>
        <v>38.39</v>
      </c>
      <c r="L84" vm="1216">
        <f ca="1"/>
        <v>27.53</v>
      </c>
      <c r="M84" vm="1217">
        <f ca="1"/>
        <v>157.07</v>
      </c>
      <c r="N84" vm="1218">
        <f ca="1"/>
        <v>131.88</v>
      </c>
      <c r="O84" vm="1219">
        <f ca="1"/>
        <v>45.68</v>
      </c>
      <c r="P84" vm="1220">
        <f ca="1"/>
        <v>173.50399999999999</v>
      </c>
    </row>
    <row r="85" spans="1:16" x14ac:dyDescent="0.25">
      <c r="A85" vm="1221">
        <f ca="1"/>
        <v>45460</v>
      </c>
      <c r="B85" vm="1222">
        <f ca="1"/>
        <v>187.44</v>
      </c>
      <c r="C85" vm="1223">
        <f ca="1"/>
        <v>184.06</v>
      </c>
      <c r="D85" vm="1224">
        <f ca="1"/>
        <v>448.37</v>
      </c>
      <c r="E85" vm="1225">
        <f ca="1"/>
        <v>302.85000000000002</v>
      </c>
      <c r="F85" vm="1226">
        <f ca="1"/>
        <v>167.5</v>
      </c>
      <c r="G85" vm="1227">
        <f ca="1"/>
        <v>194.98</v>
      </c>
      <c r="H85" vm="1228">
        <f ca="1"/>
        <v>489.23</v>
      </c>
      <c r="I85" vm="1229">
        <f ca="1"/>
        <v>108.36</v>
      </c>
      <c r="J85" vm="1230">
        <f ca="1"/>
        <v>16.224</v>
      </c>
      <c r="K85" vm="1199">
        <f ca="1"/>
        <v>39.24</v>
      </c>
      <c r="L85" vm="1231">
        <f ca="1"/>
        <v>26.98</v>
      </c>
      <c r="M85" vm="1232">
        <f ca="1"/>
        <v>158.74</v>
      </c>
      <c r="N85" vm="1233">
        <f ca="1"/>
        <v>130.97999999999999</v>
      </c>
      <c r="O85" vm="1234">
        <f ca="1"/>
        <v>45.69</v>
      </c>
      <c r="P85" vm="1235">
        <f ca="1"/>
        <v>182.887</v>
      </c>
    </row>
    <row r="86" spans="1:16" x14ac:dyDescent="0.25">
      <c r="A86" vm="1236">
        <f ca="1"/>
        <v>45461</v>
      </c>
      <c r="B86" vm="1237">
        <f ca="1"/>
        <v>184.86</v>
      </c>
      <c r="C86" vm="1238">
        <f ca="1"/>
        <v>182.81</v>
      </c>
      <c r="D86" vm="1239">
        <f ca="1"/>
        <v>446.34</v>
      </c>
      <c r="E86" vm="1240">
        <f ca="1"/>
        <v>300.19</v>
      </c>
      <c r="F86" vm="1241">
        <f ca="1"/>
        <v>168.56</v>
      </c>
      <c r="G86" vm="1242">
        <f ca="1"/>
        <v>197</v>
      </c>
      <c r="H86" vm="1243">
        <f ca="1"/>
        <v>481.05</v>
      </c>
      <c r="I86" vm="1244">
        <f ca="1"/>
        <v>109.38</v>
      </c>
      <c r="J86" vm="1245">
        <f ca="1"/>
        <v>15.926</v>
      </c>
      <c r="K86" vm="1246">
        <f ca="1"/>
        <v>39.72</v>
      </c>
      <c r="L86" vm="1247">
        <f ca="1"/>
        <v>27.41</v>
      </c>
      <c r="M86" vm="1248">
        <f ca="1"/>
        <v>160.06</v>
      </c>
      <c r="N86" vm="1249">
        <f ca="1"/>
        <v>135.58000000000001</v>
      </c>
      <c r="O86" vm="1250">
        <f ca="1"/>
        <v>45.97</v>
      </c>
      <c r="P86" vm="1251">
        <f ca="1"/>
        <v>180.25200000000001</v>
      </c>
    </row>
    <row r="87" spans="1:16" x14ac:dyDescent="0.25">
      <c r="A87" vm="1252">
        <f ca="1"/>
        <v>45463</v>
      </c>
      <c r="B87" vm="1253">
        <f ca="1"/>
        <v>181.57</v>
      </c>
      <c r="C87" vm="1254">
        <f ca="1"/>
        <v>186.1</v>
      </c>
      <c r="D87" vm="1255">
        <f ca="1"/>
        <v>445.7</v>
      </c>
      <c r="E87" vm="1256">
        <f ca="1"/>
        <v>301.35000000000002</v>
      </c>
      <c r="F87" vm="1257">
        <f ca="1"/>
        <v>167.67</v>
      </c>
      <c r="G87" vm="1258">
        <f ca="1"/>
        <v>198.67</v>
      </c>
      <c r="H87" vm="1259">
        <f ca="1"/>
        <v>484.52</v>
      </c>
      <c r="I87" vm="1260">
        <f ca="1"/>
        <v>111.74</v>
      </c>
      <c r="J87" vm="1261">
        <f ca="1"/>
        <v>16.166</v>
      </c>
      <c r="K87" vm="1262">
        <f ca="1"/>
        <v>39.64</v>
      </c>
      <c r="L87" vm="1263">
        <f ca="1"/>
        <v>27.74</v>
      </c>
      <c r="M87" vm="1264">
        <f ca="1"/>
        <v>162.59</v>
      </c>
      <c r="N87" vm="1265">
        <f ca="1"/>
        <v>130.78</v>
      </c>
      <c r="O87" vm="1266">
        <f ca="1"/>
        <v>46.72</v>
      </c>
      <c r="P87" vm="1267">
        <f ca="1"/>
        <v>173.45599999999999</v>
      </c>
    </row>
    <row r="88" spans="1:16" x14ac:dyDescent="0.25">
      <c r="A88" vm="1268">
        <f ca="1"/>
        <v>45464</v>
      </c>
      <c r="B88" vm="1269">
        <f ca="1"/>
        <v>183.01</v>
      </c>
      <c r="C88" vm="1270">
        <f ca="1"/>
        <v>189.08</v>
      </c>
      <c r="D88" vm="1271">
        <f ca="1"/>
        <v>449.78</v>
      </c>
      <c r="E88" vm="1272">
        <f ca="1"/>
        <v>301.26</v>
      </c>
      <c r="F88" vm="1273">
        <f ca="1"/>
        <v>168.26</v>
      </c>
      <c r="G88" vm="1274">
        <f ca="1"/>
        <v>196.3</v>
      </c>
      <c r="H88" vm="1275">
        <f ca="1"/>
        <v>482.59</v>
      </c>
      <c r="I88" vm="1276">
        <f ca="1"/>
        <v>110.76</v>
      </c>
      <c r="J88" vm="1277">
        <f ca="1"/>
        <v>16.106000000000002</v>
      </c>
      <c r="K88" vm="1278">
        <f ca="1"/>
        <v>39.57</v>
      </c>
      <c r="L88" vm="1263">
        <f ca="1"/>
        <v>27.74</v>
      </c>
      <c r="M88" vm="1279">
        <f ca="1"/>
        <v>160.51</v>
      </c>
      <c r="N88" vm="1280">
        <f ca="1"/>
        <v>126.57</v>
      </c>
      <c r="O88" vm="1281">
        <f ca="1"/>
        <v>47.29</v>
      </c>
      <c r="P88" vm="1282">
        <f ca="1"/>
        <v>165.863</v>
      </c>
    </row>
    <row r="89" spans="1:16" x14ac:dyDescent="0.25">
      <c r="A89" vm="1283">
        <f ca="1"/>
        <v>45467</v>
      </c>
      <c r="B89" vm="1284">
        <f ca="1"/>
        <v>182.58</v>
      </c>
      <c r="C89" vm="1285">
        <f ca="1"/>
        <v>185.57</v>
      </c>
      <c r="D89" vm="1286">
        <f ca="1"/>
        <v>447.67</v>
      </c>
      <c r="E89" vm="1287">
        <f ca="1"/>
        <v>300.55</v>
      </c>
      <c r="F89" vm="1288">
        <f ca="1"/>
        <v>168.45</v>
      </c>
      <c r="G89" vm="1289">
        <f ca="1"/>
        <v>198.88</v>
      </c>
      <c r="H89" vm="1290">
        <f ca="1"/>
        <v>489.98</v>
      </c>
      <c r="I89" vm="1291">
        <f ca="1"/>
        <v>114.05</v>
      </c>
      <c r="J89" vm="1230">
        <f ca="1"/>
        <v>16.224</v>
      </c>
      <c r="K89" vm="1292">
        <f ca="1"/>
        <v>37.14</v>
      </c>
      <c r="L89" vm="1293">
        <f ca="1"/>
        <v>28.36</v>
      </c>
      <c r="M89" vm="1294">
        <f ca="1"/>
        <v>162.41</v>
      </c>
      <c r="N89" vm="1295">
        <f ca="1"/>
        <v>118.11</v>
      </c>
      <c r="O89" vm="805">
        <f ca="1"/>
        <v>47.28</v>
      </c>
      <c r="P89" vm="1296">
        <f ca="1"/>
        <v>159.221</v>
      </c>
    </row>
    <row r="90" spans="1:16" x14ac:dyDescent="0.25">
      <c r="A90" vm="1297">
        <f ca="1"/>
        <v>45468</v>
      </c>
      <c r="B90" vm="1298">
        <f ca="1"/>
        <v>187.35</v>
      </c>
      <c r="C90" vm="1299">
        <f ca="1"/>
        <v>186.34</v>
      </c>
      <c r="D90" vm="1300">
        <f ca="1"/>
        <v>450.95</v>
      </c>
      <c r="E90" vm="1301">
        <f ca="1"/>
        <v>294.68</v>
      </c>
      <c r="F90" vm="842">
        <f ca="1"/>
        <v>166.85</v>
      </c>
      <c r="G90" vm="1302">
        <f ca="1"/>
        <v>198.07</v>
      </c>
      <c r="H90" vm="1303">
        <f ca="1"/>
        <v>484.5</v>
      </c>
      <c r="I90" vm="1304">
        <f ca="1"/>
        <v>114.37</v>
      </c>
      <c r="J90" vm="1305">
        <f ca="1"/>
        <v>16.416</v>
      </c>
      <c r="K90" vm="1306">
        <f ca="1"/>
        <v>36.49</v>
      </c>
      <c r="L90" vm="1307">
        <f ca="1"/>
        <v>27.99</v>
      </c>
      <c r="M90" vm="1308">
        <f ca="1"/>
        <v>161.34</v>
      </c>
      <c r="N90" vm="1309">
        <f ca="1"/>
        <v>126.09</v>
      </c>
      <c r="O90" vm="1310">
        <f ca="1"/>
        <v>47.38</v>
      </c>
      <c r="P90" vm="1311">
        <f ca="1"/>
        <v>158.07900000000001</v>
      </c>
    </row>
    <row r="91" spans="1:16" x14ac:dyDescent="0.25">
      <c r="A91" vm="1312">
        <f ca="1"/>
        <v>45469</v>
      </c>
      <c r="B91" vm="1313">
        <f ca="1"/>
        <v>196.37</v>
      </c>
      <c r="C91" vm="1314">
        <f ca="1"/>
        <v>193.61</v>
      </c>
      <c r="D91" vm="1315">
        <f ca="1"/>
        <v>452.16</v>
      </c>
      <c r="E91" vm="1316">
        <f ca="1"/>
        <v>296.86</v>
      </c>
      <c r="F91" vm="1317">
        <f ca="1"/>
        <v>167.45</v>
      </c>
      <c r="G91" vm="1318">
        <f ca="1"/>
        <v>197.43</v>
      </c>
      <c r="H91" vm="1319">
        <f ca="1"/>
        <v>484.04</v>
      </c>
      <c r="I91" vm="1320">
        <f ca="1"/>
        <v>114.41</v>
      </c>
      <c r="J91" vm="1321">
        <f ca="1"/>
        <v>16.571999999999999</v>
      </c>
      <c r="K91" vm="1322">
        <f ca="1"/>
        <v>35</v>
      </c>
      <c r="L91" vm="1323">
        <f ca="1"/>
        <v>27.42</v>
      </c>
      <c r="M91" vm="1324">
        <f ca="1"/>
        <v>158.36000000000001</v>
      </c>
      <c r="N91" vm="1325">
        <f ca="1"/>
        <v>126.4</v>
      </c>
      <c r="O91" vm="1326">
        <f ca="1"/>
        <v>46.86</v>
      </c>
      <c r="P91" vm="1327">
        <f ca="1"/>
        <v>159.19999999999999</v>
      </c>
    </row>
    <row r="92" spans="1:16" x14ac:dyDescent="0.25">
      <c r="A92" vm="1328">
        <f ca="1"/>
        <v>45470</v>
      </c>
      <c r="B92" vm="1329">
        <f ca="1"/>
        <v>197.42</v>
      </c>
      <c r="C92" vm="1330">
        <f ca="1"/>
        <v>197.85</v>
      </c>
      <c r="D92" vm="1331">
        <f ca="1"/>
        <v>452.85</v>
      </c>
      <c r="E92" vm="1332">
        <f ca="1"/>
        <v>297</v>
      </c>
      <c r="F92" vm="1333">
        <f ca="1"/>
        <v>166.62</v>
      </c>
      <c r="G92" vm="1334">
        <f ca="1"/>
        <v>199.17</v>
      </c>
      <c r="H92" vm="1335">
        <f ca="1"/>
        <v>486.44</v>
      </c>
      <c r="I92" vm="1336">
        <f ca="1"/>
        <v>114.9</v>
      </c>
      <c r="J92" vm="1337">
        <f ca="1"/>
        <v>16.856000000000002</v>
      </c>
      <c r="K92" vm="1338">
        <f ca="1"/>
        <v>34.89</v>
      </c>
      <c r="L92" vm="1339">
        <f ca="1"/>
        <v>27.8</v>
      </c>
      <c r="M92" vm="1340">
        <f ca="1"/>
        <v>160.01</v>
      </c>
      <c r="N92" vm="1341">
        <f ca="1"/>
        <v>123.99</v>
      </c>
      <c r="O92" vm="1342">
        <f ca="1"/>
        <v>47.45</v>
      </c>
      <c r="P92" vm="1343">
        <f ca="1"/>
        <v>158.666</v>
      </c>
    </row>
    <row r="93" spans="1:16" x14ac:dyDescent="0.25">
      <c r="A93" vm="1344">
        <f ca="1"/>
        <v>45471</v>
      </c>
      <c r="B93" vm="1345">
        <f ca="1"/>
        <v>197.88</v>
      </c>
      <c r="C93" vm="1346">
        <f ca="1"/>
        <v>193.25</v>
      </c>
      <c r="D93" vm="1347">
        <f ca="1"/>
        <v>446.95</v>
      </c>
      <c r="E93" vm="1348">
        <f ca="1"/>
        <v>298.43</v>
      </c>
      <c r="F93" vm="1349">
        <f ca="1"/>
        <v>164.92</v>
      </c>
      <c r="G93" vm="1350">
        <f ca="1"/>
        <v>202.26</v>
      </c>
      <c r="H93" vm="1351">
        <f ca="1"/>
        <v>509.26</v>
      </c>
      <c r="I93" vm="1352">
        <f ca="1"/>
        <v>115.12</v>
      </c>
      <c r="J93" vm="1353">
        <f ca="1"/>
        <v>16.989999999999998</v>
      </c>
      <c r="K93" vm="1354">
        <f ca="1"/>
        <v>34.24</v>
      </c>
      <c r="L93" vm="1355">
        <f ca="1"/>
        <v>27.98</v>
      </c>
      <c r="M93" vm="1356">
        <f ca="1"/>
        <v>159.66</v>
      </c>
      <c r="N93" vm="1357">
        <f ca="1"/>
        <v>123.54</v>
      </c>
      <c r="O93" vm="1358">
        <f ca="1"/>
        <v>47.51</v>
      </c>
      <c r="P93" vm="1359">
        <f ca="1"/>
        <v>160.553</v>
      </c>
    </row>
    <row r="94" spans="1:16" x14ac:dyDescent="0.25">
      <c r="A94" vm="1360">
        <f ca="1"/>
        <v>45474</v>
      </c>
      <c r="B94" vm="1361">
        <f ca="1"/>
        <v>209.86</v>
      </c>
      <c r="C94" vm="1362">
        <f ca="1"/>
        <v>197.2</v>
      </c>
      <c r="D94" vm="1363">
        <f ca="1"/>
        <v>456.73</v>
      </c>
      <c r="E94" vm="1364">
        <f ca="1"/>
        <v>295.79000000000002</v>
      </c>
      <c r="F94" vm="1365">
        <f ca="1"/>
        <v>162.72</v>
      </c>
      <c r="G94" vm="1366">
        <f ca="1"/>
        <v>205.45</v>
      </c>
      <c r="H94" vm="1367">
        <f ca="1"/>
        <v>494.65</v>
      </c>
      <c r="I94" vm="1368">
        <f ca="1"/>
        <v>114.96</v>
      </c>
      <c r="J94" vm="1369">
        <f ca="1"/>
        <v>17.062000000000001</v>
      </c>
      <c r="K94" vm="1370">
        <f ca="1"/>
        <v>35.25</v>
      </c>
      <c r="L94" vm="217">
        <f ca="1"/>
        <v>28.22</v>
      </c>
      <c r="M94" vm="629">
        <f ca="1"/>
        <v>160.54</v>
      </c>
      <c r="N94" vm="1371">
        <f ca="1"/>
        <v>124.3</v>
      </c>
      <c r="O94" vm="1372">
        <f ca="1"/>
        <v>47.52</v>
      </c>
      <c r="P94" vm="1373">
        <f ca="1"/>
        <v>164.08</v>
      </c>
    </row>
    <row r="95" spans="1:16" x14ac:dyDescent="0.25">
      <c r="A95" vm="1374">
        <f ca="1"/>
        <v>45475</v>
      </c>
      <c r="B95" vm="1375">
        <f ca="1"/>
        <v>231.26</v>
      </c>
      <c r="C95" vm="1376">
        <f ca="1"/>
        <v>200</v>
      </c>
      <c r="D95" vm="1377">
        <f ca="1"/>
        <v>459.28</v>
      </c>
      <c r="E95" vm="1378">
        <f ca="1"/>
        <v>294.64999999999998</v>
      </c>
      <c r="F95" vm="1379">
        <f ca="1"/>
        <v>163.9</v>
      </c>
      <c r="G95" vm="1380">
        <f ca="1"/>
        <v>208.83</v>
      </c>
      <c r="H95" vm="1381">
        <f ca="1"/>
        <v>498.24</v>
      </c>
      <c r="I95" vm="1382">
        <f ca="1"/>
        <v>114.18</v>
      </c>
      <c r="J95" vm="1383">
        <f ca="1"/>
        <v>17.332000000000001</v>
      </c>
      <c r="K95" vm="1384">
        <f ca="1"/>
        <v>35.4</v>
      </c>
      <c r="L95" vm="1385">
        <f ca="1"/>
        <v>27.83</v>
      </c>
      <c r="M95" vm="1386">
        <f ca="1"/>
        <v>160.18</v>
      </c>
      <c r="N95" vm="1387">
        <f ca="1"/>
        <v>122.67</v>
      </c>
      <c r="O95" vm="805">
        <f ca="1"/>
        <v>47.28</v>
      </c>
      <c r="P95" vm="1388">
        <f ca="1"/>
        <v>165.74799999999999</v>
      </c>
    </row>
    <row r="96" spans="1:16" x14ac:dyDescent="0.25">
      <c r="A96" vm="1389">
        <f ca="1"/>
        <v>45476</v>
      </c>
      <c r="B96" vm="1390">
        <f ca="1"/>
        <v>246.39</v>
      </c>
      <c r="C96" vm="1391">
        <f ca="1"/>
        <v>197.59</v>
      </c>
      <c r="D96" vm="1392">
        <f ca="1"/>
        <v>460.77</v>
      </c>
      <c r="E96" vm="1393">
        <f ca="1"/>
        <v>297.22000000000003</v>
      </c>
      <c r="F96" vm="1394">
        <f ca="1"/>
        <v>163.83000000000001</v>
      </c>
      <c r="G96" vm="1395">
        <f ca="1"/>
        <v>208.69</v>
      </c>
      <c r="H96" vm="1396">
        <f ca="1"/>
        <v>489.89</v>
      </c>
      <c r="I96" vm="1397">
        <f ca="1"/>
        <v>114.76</v>
      </c>
      <c r="J96" vm="1398">
        <f ca="1"/>
        <v>17.13</v>
      </c>
      <c r="K96" vm="1399">
        <f ca="1"/>
        <v>36.67</v>
      </c>
      <c r="L96" vm="297">
        <f ca="1"/>
        <v>27.7</v>
      </c>
      <c r="M96" vm="1400">
        <f ca="1"/>
        <v>159.44</v>
      </c>
      <c r="N96" vm="1401">
        <f ca="1"/>
        <v>128.28</v>
      </c>
      <c r="O96" vm="1402">
        <f ca="1"/>
        <v>47.09</v>
      </c>
      <c r="P96" vm="1403">
        <f ca="1"/>
        <v>172.922</v>
      </c>
    </row>
    <row r="97" spans="1:16" x14ac:dyDescent="0.25">
      <c r="A97" vm="1404">
        <f ca="1"/>
        <v>45478</v>
      </c>
      <c r="B97" vm="1405">
        <f ca="1"/>
        <v>251.52</v>
      </c>
      <c r="C97" vm="1376">
        <f ca="1"/>
        <v>200</v>
      </c>
      <c r="D97" vm="1406">
        <f ca="1"/>
        <v>467.56</v>
      </c>
      <c r="E97" vm="1407">
        <f ca="1"/>
        <v>295.7</v>
      </c>
      <c r="F97" vm="1408">
        <f ca="1"/>
        <v>165.21</v>
      </c>
      <c r="G97" vm="916">
        <f ca="1"/>
        <v>204.79</v>
      </c>
      <c r="H97" vm="1409">
        <f ca="1"/>
        <v>488.01</v>
      </c>
      <c r="I97" vm="1410">
        <f ca="1"/>
        <v>113.37</v>
      </c>
      <c r="J97" vm="1411">
        <f ca="1"/>
        <v>17.364000000000001</v>
      </c>
      <c r="K97" vm="1412">
        <f ca="1"/>
        <v>36.86</v>
      </c>
      <c r="L97" vm="1413">
        <f ca="1"/>
        <v>28.05</v>
      </c>
      <c r="M97" vm="1414">
        <f ca="1"/>
        <v>158.43</v>
      </c>
      <c r="N97" vm="1415">
        <f ca="1"/>
        <v>125.83</v>
      </c>
      <c r="O97" vm="1080">
        <f ca="1"/>
        <v>46.65</v>
      </c>
      <c r="P97" vm="1416">
        <f ca="1"/>
        <v>170.33099999999999</v>
      </c>
    </row>
    <row r="98" spans="1:16" x14ac:dyDescent="0.25">
      <c r="A98" vm="1417">
        <f ca="1"/>
        <v>45481</v>
      </c>
      <c r="B98" vm="1418">
        <f ca="1"/>
        <v>252.94</v>
      </c>
      <c r="C98" vm="1419">
        <f ca="1"/>
        <v>199.29</v>
      </c>
      <c r="D98" vm="1420">
        <f ca="1"/>
        <v>466.24</v>
      </c>
      <c r="E98" vm="1421">
        <f ca="1"/>
        <v>300.25</v>
      </c>
      <c r="F98" vm="1422">
        <f ca="1"/>
        <v>166.52</v>
      </c>
      <c r="G98" vm="1423">
        <f ca="1"/>
        <v>205.17</v>
      </c>
      <c r="H98" vm="1424">
        <f ca="1"/>
        <v>489.34</v>
      </c>
      <c r="I98" vm="1425">
        <f ca="1"/>
        <v>112.18</v>
      </c>
      <c r="J98" vm="1426">
        <f ca="1"/>
        <v>17.32</v>
      </c>
      <c r="K98" vm="1427">
        <f ca="1"/>
        <v>36.74</v>
      </c>
      <c r="L98" vm="1428">
        <f ca="1"/>
        <v>27.93</v>
      </c>
      <c r="M98" vm="42">
        <f ca="1"/>
        <v>159.54</v>
      </c>
      <c r="N98" vm="1429">
        <f ca="1"/>
        <v>128.19999999999999</v>
      </c>
      <c r="O98" vm="1430">
        <f ca="1"/>
        <v>46.06</v>
      </c>
      <c r="P98" vm="1431">
        <f ca="1"/>
        <v>174.58600000000001</v>
      </c>
    </row>
    <row r="99" spans="1:16" x14ac:dyDescent="0.25">
      <c r="A99" vm="1432">
        <f ca="1"/>
        <v>45482</v>
      </c>
      <c r="B99" vm="1433">
        <f ca="1"/>
        <v>262.33</v>
      </c>
      <c r="C99" vm="1434">
        <f ca="1"/>
        <v>199.34</v>
      </c>
      <c r="D99" vm="1435">
        <f ca="1"/>
        <v>459.54</v>
      </c>
      <c r="E99" vm="1436">
        <f ca="1"/>
        <v>298.91000000000003</v>
      </c>
      <c r="F99" vm="1437">
        <f ca="1"/>
        <v>165.66</v>
      </c>
      <c r="G99" vm="1438">
        <f ca="1"/>
        <v>207.63</v>
      </c>
      <c r="H99" vm="1439">
        <f ca="1"/>
        <v>492.11</v>
      </c>
      <c r="I99" vm="1440">
        <f ca="1"/>
        <v>110.94</v>
      </c>
      <c r="J99" vm="1441">
        <f ca="1"/>
        <v>18.088000000000001</v>
      </c>
      <c r="K99" vm="1442">
        <f ca="1"/>
        <v>35.659999999999997</v>
      </c>
      <c r="L99" vm="265">
        <f ca="1"/>
        <v>27.72</v>
      </c>
      <c r="M99" vm="1443">
        <f ca="1"/>
        <v>158.72</v>
      </c>
      <c r="N99" vm="1444">
        <f ca="1"/>
        <v>131.38</v>
      </c>
      <c r="O99" vm="1445">
        <f ca="1"/>
        <v>45.8</v>
      </c>
      <c r="P99" vm="1446">
        <f ca="1"/>
        <v>173.33099999999999</v>
      </c>
    </row>
    <row r="100" spans="1:16" x14ac:dyDescent="0.25">
      <c r="A100" vm="1447">
        <f ca="1"/>
        <v>45483</v>
      </c>
      <c r="B100" vm="1448">
        <f ca="1"/>
        <v>263.26</v>
      </c>
      <c r="C100" vm="1449">
        <f ca="1"/>
        <v>199.79</v>
      </c>
      <c r="D100" vm="1450">
        <f ca="1"/>
        <v>466.25</v>
      </c>
      <c r="E100" vm="1451">
        <f ca="1"/>
        <v>305.37</v>
      </c>
      <c r="F100" vm="1452">
        <f ca="1"/>
        <v>166.8</v>
      </c>
      <c r="G100" vm="1453">
        <f ca="1"/>
        <v>207.8</v>
      </c>
      <c r="H100" vm="1454">
        <f ca="1"/>
        <v>500.93</v>
      </c>
      <c r="I100" vm="1455">
        <f ca="1"/>
        <v>111.92</v>
      </c>
      <c r="J100" vm="1456">
        <f ca="1"/>
        <v>18.545999999999999</v>
      </c>
      <c r="K100" vm="1457">
        <f ca="1"/>
        <v>36.15</v>
      </c>
      <c r="L100" vm="1458">
        <f ca="1"/>
        <v>28.35</v>
      </c>
      <c r="M100" vm="1459">
        <f ca="1"/>
        <v>159.97</v>
      </c>
      <c r="N100" vm="1460">
        <f ca="1"/>
        <v>134.91</v>
      </c>
      <c r="O100" vm="1461">
        <f ca="1"/>
        <v>46.27</v>
      </c>
      <c r="P100" vm="1462">
        <f ca="1"/>
        <v>174.46899999999999</v>
      </c>
    </row>
    <row r="101" spans="1:16" x14ac:dyDescent="0.25">
      <c r="A101" vm="1463">
        <f ca="1"/>
        <v>45484</v>
      </c>
      <c r="B101" vm="1464">
        <f ca="1"/>
        <v>241.03</v>
      </c>
      <c r="C101" vm="1465">
        <f ca="1"/>
        <v>195.05</v>
      </c>
      <c r="D101" vm="1466">
        <f ca="1"/>
        <v>454.7</v>
      </c>
      <c r="E101" vm="553">
        <f ca="1"/>
        <v>313.97000000000003</v>
      </c>
      <c r="F101" vm="1467">
        <f ca="1"/>
        <v>165.54</v>
      </c>
      <c r="G101" vm="1468">
        <f ca="1"/>
        <v>207.45</v>
      </c>
      <c r="H101" vm="1469">
        <f ca="1"/>
        <v>504.36</v>
      </c>
      <c r="I101" vm="1470">
        <f ca="1"/>
        <v>113.25</v>
      </c>
      <c r="J101" vm="1471">
        <f ca="1"/>
        <v>19.126000000000001</v>
      </c>
      <c r="K101" vm="1472">
        <f ca="1"/>
        <v>35.880000000000003</v>
      </c>
      <c r="L101" vm="1061">
        <f ca="1"/>
        <v>28.66</v>
      </c>
      <c r="M101" vm="1473">
        <f ca="1"/>
        <v>162.04</v>
      </c>
      <c r="N101" vm="1474">
        <f ca="1"/>
        <v>127.4</v>
      </c>
      <c r="O101" vm="1475">
        <f ca="1"/>
        <v>46.76</v>
      </c>
      <c r="P101" vm="1476">
        <f ca="1"/>
        <v>170.595</v>
      </c>
    </row>
    <row r="102" spans="1:16" x14ac:dyDescent="0.25">
      <c r="A102" vm="1477">
        <f ca="1"/>
        <v>45485</v>
      </c>
      <c r="B102" vm="1478">
        <f ca="1"/>
        <v>248.23</v>
      </c>
      <c r="C102" vm="1479">
        <f ca="1"/>
        <v>194.49</v>
      </c>
      <c r="D102" vm="1480">
        <f ca="1"/>
        <v>453.55</v>
      </c>
      <c r="E102" vm="1481">
        <f ca="1"/>
        <v>318.37</v>
      </c>
      <c r="F102" vm="1482">
        <f ca="1"/>
        <v>166.61</v>
      </c>
      <c r="G102" vm="1483">
        <f ca="1"/>
        <v>204.94</v>
      </c>
      <c r="H102" vm="1484">
        <f ca="1"/>
        <v>511.53</v>
      </c>
      <c r="I102" vm="1485">
        <f ca="1"/>
        <v>113.27</v>
      </c>
      <c r="J102" vm="1486">
        <f ca="1"/>
        <v>19.213999999999999</v>
      </c>
      <c r="K102" vm="1487">
        <f ca="1"/>
        <v>36.31</v>
      </c>
      <c r="L102" vm="906">
        <f ca="1"/>
        <v>28.92</v>
      </c>
      <c r="M102" vm="1488">
        <f ca="1"/>
        <v>163.69</v>
      </c>
      <c r="N102" vm="1489">
        <f ca="1"/>
        <v>129.24</v>
      </c>
      <c r="O102" vm="1310">
        <f ca="1"/>
        <v>47.38</v>
      </c>
      <c r="P102" vm="1490">
        <f ca="1"/>
        <v>170.06700000000001</v>
      </c>
    </row>
    <row r="103" spans="1:16" x14ac:dyDescent="0.25">
      <c r="A103" vm="1491">
        <f ca="1"/>
        <v>45488</v>
      </c>
      <c r="B103" vm="1492">
        <f ca="1"/>
        <v>252.64</v>
      </c>
      <c r="C103" vm="1493">
        <f ca="1"/>
        <v>192.72</v>
      </c>
      <c r="D103" vm="1494">
        <f ca="1"/>
        <v>453.96</v>
      </c>
      <c r="E103" vm="1495">
        <f ca="1"/>
        <v>318.47000000000003</v>
      </c>
      <c r="F103" vm="1496">
        <f ca="1"/>
        <v>164.58</v>
      </c>
      <c r="G103" vm="1497">
        <f ca="1"/>
        <v>210.05</v>
      </c>
      <c r="H103" vm="1498">
        <f ca="1"/>
        <v>515.37</v>
      </c>
      <c r="I103" vm="1499">
        <f ca="1"/>
        <v>115.21</v>
      </c>
      <c r="J103" vm="1471">
        <f ca="1"/>
        <v>19.126000000000001</v>
      </c>
      <c r="K103" vm="1487">
        <f ca="1"/>
        <v>36.31</v>
      </c>
      <c r="L103" vm="1500">
        <f ca="1"/>
        <v>29.1</v>
      </c>
      <c r="M103" vm="1501">
        <f ca="1"/>
        <v>166.91</v>
      </c>
      <c r="N103" vm="1502">
        <f ca="1"/>
        <v>128.44</v>
      </c>
      <c r="O103" vm="1503">
        <f ca="1"/>
        <v>47.4</v>
      </c>
      <c r="P103" vm="1504">
        <f ca="1"/>
        <v>171.42</v>
      </c>
    </row>
    <row r="104" spans="1:16" x14ac:dyDescent="0.25">
      <c r="A104" vm="1505">
        <f ca="1"/>
        <v>45489</v>
      </c>
      <c r="B104" vm="1506">
        <f ca="1"/>
        <v>256.56</v>
      </c>
      <c r="C104" vm="1507">
        <f ca="1"/>
        <v>193.02</v>
      </c>
      <c r="D104" vm="1508">
        <f ca="1"/>
        <v>449.52</v>
      </c>
      <c r="E104" vm="1509">
        <f ca="1"/>
        <v>326.39999999999998</v>
      </c>
      <c r="F104" vm="1510">
        <f ca="1"/>
        <v>166.95</v>
      </c>
      <c r="G104" vm="1511">
        <f ca="1"/>
        <v>213.62</v>
      </c>
      <c r="H104" vm="1512">
        <f ca="1"/>
        <v>548.87</v>
      </c>
      <c r="I104" vm="1513">
        <f ca="1"/>
        <v>116.04</v>
      </c>
      <c r="J104" vm="1514">
        <f ca="1"/>
        <v>19.225999999999999</v>
      </c>
      <c r="K104" vm="1515">
        <f ca="1"/>
        <v>36.44</v>
      </c>
      <c r="L104" vm="1516">
        <f ca="1"/>
        <v>29.5</v>
      </c>
      <c r="M104" vm="959">
        <f ca="1"/>
        <v>167.81</v>
      </c>
      <c r="N104" vm="1517">
        <f ca="1"/>
        <v>126.36</v>
      </c>
      <c r="O104" vm="1096">
        <f ca="1"/>
        <v>47.42</v>
      </c>
      <c r="P104" vm="1518">
        <f ca="1"/>
        <v>169.375</v>
      </c>
    </row>
    <row r="105" spans="1:16" x14ac:dyDescent="0.25">
      <c r="A105" vm="1519">
        <f ca="1"/>
        <v>45490</v>
      </c>
      <c r="B105" vm="1520">
        <f ca="1"/>
        <v>248.5</v>
      </c>
      <c r="C105" vm="1521">
        <f ca="1"/>
        <v>187.93</v>
      </c>
      <c r="D105" vm="1522">
        <f ca="1"/>
        <v>443.52</v>
      </c>
      <c r="E105" vm="1523">
        <f ca="1"/>
        <v>325.8</v>
      </c>
      <c r="F105" vm="1524">
        <f ca="1"/>
        <v>169.44</v>
      </c>
      <c r="G105" vm="1525">
        <f ca="1"/>
        <v>216.87</v>
      </c>
      <c r="H105" vm="1526">
        <f ca="1"/>
        <v>573.28</v>
      </c>
      <c r="I105" vm="1527">
        <f ca="1"/>
        <v>117.64</v>
      </c>
      <c r="J105" vm="1528">
        <f ca="1"/>
        <v>19.192</v>
      </c>
      <c r="K105" vm="1529">
        <f ca="1"/>
        <v>36.04</v>
      </c>
      <c r="L105" vm="1530">
        <f ca="1"/>
        <v>30.03</v>
      </c>
      <c r="M105" vm="1531">
        <f ca="1"/>
        <v>170.7</v>
      </c>
      <c r="N105" vm="1532">
        <f ca="1"/>
        <v>117.99</v>
      </c>
      <c r="O105" vm="1533">
        <f ca="1"/>
        <v>48.52</v>
      </c>
      <c r="P105" vm="1534">
        <f ca="1"/>
        <v>155.97999999999999</v>
      </c>
    </row>
    <row r="106" spans="1:16" x14ac:dyDescent="0.25">
      <c r="A106" vm="1535">
        <f ca="1"/>
        <v>45491</v>
      </c>
      <c r="B106" vm="1536">
        <f ca="1"/>
        <v>249.23</v>
      </c>
      <c r="C106" vm="1537">
        <f ca="1"/>
        <v>183.75</v>
      </c>
      <c r="D106" vm="1538">
        <f ca="1"/>
        <v>440.37</v>
      </c>
      <c r="E106" vm="1539">
        <f ca="1"/>
        <v>325.45999999999998</v>
      </c>
      <c r="F106" vm="1540">
        <f ca="1"/>
        <v>168.44</v>
      </c>
      <c r="G106" vm="1541">
        <f ca="1"/>
        <v>209.98</v>
      </c>
      <c r="H106" vm="1542">
        <f ca="1"/>
        <v>564.34</v>
      </c>
      <c r="I106" vm="1543">
        <f ca="1"/>
        <v>118.8</v>
      </c>
      <c r="J106" vm="1544">
        <f ca="1"/>
        <v>18.64</v>
      </c>
      <c r="K106" vm="1545">
        <f ca="1"/>
        <v>35.9</v>
      </c>
      <c r="L106" vm="1546">
        <f ca="1"/>
        <v>29.71</v>
      </c>
      <c r="M106" vm="1547">
        <f ca="1"/>
        <v>176.69</v>
      </c>
      <c r="N106" vm="1548">
        <f ca="1"/>
        <v>121.09</v>
      </c>
      <c r="O106" vm="1549">
        <f ca="1"/>
        <v>48.04</v>
      </c>
      <c r="P106" vm="1550">
        <f ca="1"/>
        <v>160.52000000000001</v>
      </c>
    </row>
    <row r="107" spans="1:16" x14ac:dyDescent="0.25">
      <c r="A107" vm="1551">
        <f ca="1"/>
        <v>45492</v>
      </c>
      <c r="B107" vm="1552">
        <f ca="1"/>
        <v>239.2</v>
      </c>
      <c r="C107" vm="956">
        <f ca="1"/>
        <v>183.13</v>
      </c>
      <c r="D107" vm="1553">
        <f ca="1"/>
        <v>437.11</v>
      </c>
      <c r="E107" vm="1554">
        <f ca="1"/>
        <v>321.85000000000002</v>
      </c>
      <c r="F107" vm="1555">
        <f ca="1"/>
        <v>167.96</v>
      </c>
      <c r="G107" vm="1556">
        <f ca="1"/>
        <v>209.78</v>
      </c>
      <c r="H107" vm="1557">
        <f ca="1"/>
        <v>565.33000000000004</v>
      </c>
      <c r="I107" vm="1558">
        <f ca="1"/>
        <v>116.07</v>
      </c>
      <c r="J107" vm="1559">
        <f ca="1"/>
        <v>18.565999999999999</v>
      </c>
      <c r="K107" vm="1560">
        <f ca="1"/>
        <v>35.74</v>
      </c>
      <c r="L107" vm="1561">
        <f ca="1"/>
        <v>29.97</v>
      </c>
      <c r="M107" vm="1562">
        <f ca="1"/>
        <v>174.38</v>
      </c>
      <c r="N107" vm="1563">
        <f ca="1"/>
        <v>117.93</v>
      </c>
      <c r="O107" vm="1564">
        <f ca="1"/>
        <v>47.32</v>
      </c>
      <c r="P107" vm="1565">
        <f ca="1"/>
        <v>157.35</v>
      </c>
    </row>
    <row r="108" spans="1:16" x14ac:dyDescent="0.25">
      <c r="A108" vm="1566">
        <f ca="1"/>
        <v>45495</v>
      </c>
      <c r="B108" vm="1567">
        <f ca="1"/>
        <v>251.51</v>
      </c>
      <c r="C108" vm="1568">
        <f ca="1"/>
        <v>182.55</v>
      </c>
      <c r="D108" vm="1569">
        <f ca="1"/>
        <v>442.94</v>
      </c>
      <c r="E108" vm="1570">
        <f ca="1"/>
        <v>322.35000000000002</v>
      </c>
      <c r="F108" vm="1571">
        <f ca="1"/>
        <v>168.25</v>
      </c>
      <c r="G108" vm="1572">
        <f ca="1"/>
        <v>210.28</v>
      </c>
      <c r="H108" vm="1573">
        <f ca="1"/>
        <v>558.53</v>
      </c>
      <c r="I108" vm="1574">
        <f ca="1"/>
        <v>115.27</v>
      </c>
      <c r="J108" vm="1575">
        <f ca="1"/>
        <v>18.562000000000001</v>
      </c>
      <c r="K108" vm="1576">
        <f ca="1"/>
        <v>36.19</v>
      </c>
      <c r="L108" vm="965">
        <f ca="1"/>
        <v>29.6</v>
      </c>
      <c r="M108" vm="1577">
        <f ca="1"/>
        <v>174.83</v>
      </c>
      <c r="N108" vm="1357">
        <f ca="1"/>
        <v>123.54</v>
      </c>
      <c r="O108" vm="1578">
        <f ca="1"/>
        <v>46.82</v>
      </c>
      <c r="P108" vm="1579">
        <f ca="1"/>
        <v>161.06</v>
      </c>
    </row>
    <row r="109" spans="1:16" x14ac:dyDescent="0.25">
      <c r="A109" vm="1580">
        <f ca="1"/>
        <v>45496</v>
      </c>
      <c r="B109" vm="1581">
        <f ca="1"/>
        <v>246.38</v>
      </c>
      <c r="C109" vm="1582">
        <f ca="1"/>
        <v>186.41</v>
      </c>
      <c r="D109" vm="1583">
        <f ca="1"/>
        <v>444.85</v>
      </c>
      <c r="E109" vm="1584">
        <f ca="1"/>
        <v>344.5</v>
      </c>
      <c r="F109" vm="1333">
        <f ca="1"/>
        <v>166.62</v>
      </c>
      <c r="G109" vm="1585">
        <f ca="1"/>
        <v>210.33</v>
      </c>
      <c r="H109" vm="1586">
        <f ca="1"/>
        <v>554.70000000000005</v>
      </c>
      <c r="I109" vm="1587">
        <f ca="1"/>
        <v>113.41</v>
      </c>
      <c r="J109" vm="1588">
        <f ca="1"/>
        <v>18.334</v>
      </c>
      <c r="K109" vm="1589">
        <f ca="1"/>
        <v>35.67</v>
      </c>
      <c r="L109" vm="1516">
        <f ca="1"/>
        <v>29.5</v>
      </c>
      <c r="M109" vm="1590">
        <f ca="1"/>
        <v>173.6</v>
      </c>
      <c r="N109" vm="1591">
        <f ca="1"/>
        <v>122.59</v>
      </c>
      <c r="O109" vm="1592">
        <f ca="1"/>
        <v>46.36</v>
      </c>
      <c r="P109" vm="1593">
        <f ca="1"/>
        <v>163.77000000000001</v>
      </c>
    </row>
    <row r="110" spans="1:16" x14ac:dyDescent="0.25">
      <c r="A110" vm="1594">
        <f ca="1"/>
        <v>45497</v>
      </c>
      <c r="B110" vm="1595">
        <f ca="1"/>
        <v>215.99</v>
      </c>
      <c r="C110" vm="1596">
        <f ca="1"/>
        <v>180.83</v>
      </c>
      <c r="D110" vm="1597">
        <f ca="1"/>
        <v>428.9</v>
      </c>
      <c r="E110" vm="1598">
        <f ca="1"/>
        <v>332.02</v>
      </c>
      <c r="F110" vm="1599">
        <f ca="1"/>
        <v>168</v>
      </c>
      <c r="G110" vm="1600">
        <f ca="1"/>
        <v>208.59</v>
      </c>
      <c r="H110" vm="1601">
        <f ca="1"/>
        <v>559.75</v>
      </c>
      <c r="I110" vm="1602">
        <f ca="1"/>
        <v>115.01</v>
      </c>
      <c r="J110" vm="1603">
        <f ca="1"/>
        <v>17.838000000000001</v>
      </c>
      <c r="K110" vm="1604">
        <f ca="1"/>
        <v>35.06</v>
      </c>
      <c r="L110" vm="1605">
        <f ca="1"/>
        <v>29.98</v>
      </c>
      <c r="M110" vm="681">
        <f ca="1"/>
        <v>172.34</v>
      </c>
      <c r="N110" vm="1606">
        <f ca="1"/>
        <v>114.25</v>
      </c>
      <c r="O110" vm="1607">
        <f ca="1"/>
        <v>46.85</v>
      </c>
      <c r="P110" vm="1608">
        <f ca="1"/>
        <v>151.34</v>
      </c>
    </row>
    <row r="111" spans="1:16" x14ac:dyDescent="0.25">
      <c r="A111" vm="1609">
        <f ca="1"/>
        <v>45498</v>
      </c>
      <c r="B111" vm="1610">
        <f ca="1"/>
        <v>220.25</v>
      </c>
      <c r="C111" vm="1611">
        <f ca="1"/>
        <v>179.85</v>
      </c>
      <c r="D111" vm="1612">
        <f ca="1"/>
        <v>418.4</v>
      </c>
      <c r="E111" vm="1613">
        <f ca="1"/>
        <v>342.74</v>
      </c>
      <c r="F111" vm="1614">
        <f ca="1"/>
        <v>166.9</v>
      </c>
      <c r="G111" vm="1615">
        <f ca="1"/>
        <v>208.67</v>
      </c>
      <c r="H111" vm="1616">
        <f ca="1"/>
        <v>559.67999999999995</v>
      </c>
      <c r="I111" vm="1617">
        <f ca="1"/>
        <v>117.43</v>
      </c>
      <c r="J111" vm="1091">
        <f ca="1"/>
        <v>17.206</v>
      </c>
      <c r="K111" vm="1618">
        <f ca="1"/>
        <v>34.950000000000003</v>
      </c>
      <c r="L111" vm="1619">
        <f ca="1"/>
        <v>30.18</v>
      </c>
      <c r="M111" vm="1620">
        <f ca="1"/>
        <v>165.4</v>
      </c>
      <c r="N111" vm="1621">
        <f ca="1"/>
        <v>112.28</v>
      </c>
      <c r="O111" vm="1622">
        <f ca="1"/>
        <v>47.24</v>
      </c>
      <c r="P111" vm="1623">
        <f ca="1"/>
        <v>149.26</v>
      </c>
    </row>
    <row r="112" spans="1:16" x14ac:dyDescent="0.25">
      <c r="A112" vm="1624">
        <f ca="1"/>
        <v>45499</v>
      </c>
      <c r="B112" vm="1625">
        <f ca="1"/>
        <v>219.8</v>
      </c>
      <c r="C112" vm="1626">
        <f ca="1"/>
        <v>182.5</v>
      </c>
      <c r="D112" vm="1627">
        <f ca="1"/>
        <v>425.27</v>
      </c>
      <c r="E112" vm="1628">
        <f ca="1"/>
        <v>349.22</v>
      </c>
      <c r="F112" vm="606">
        <f ca="1"/>
        <v>169.11</v>
      </c>
      <c r="G112" vm="1629">
        <f ca="1"/>
        <v>212.24</v>
      </c>
      <c r="H112" vm="1630">
        <f ca="1"/>
        <v>569.72</v>
      </c>
      <c r="I112" vm="1631">
        <f ca="1"/>
        <v>117.33</v>
      </c>
      <c r="J112" vm="1632">
        <f ca="1"/>
        <v>17.463999999999999</v>
      </c>
      <c r="K112" vm="1633">
        <f ca="1"/>
        <v>35.46</v>
      </c>
      <c r="L112" vm="1634">
        <f ca="1"/>
        <v>30.77</v>
      </c>
      <c r="M112" vm="1635">
        <f ca="1"/>
        <v>169.17</v>
      </c>
      <c r="N112" vm="1636">
        <f ca="1"/>
        <v>113.06</v>
      </c>
      <c r="O112" vm="1637">
        <f ca="1"/>
        <v>47.88</v>
      </c>
      <c r="P112" vm="1638">
        <f ca="1"/>
        <v>151.63</v>
      </c>
    </row>
    <row r="113" spans="1:16" x14ac:dyDescent="0.25">
      <c r="A113" vm="1639">
        <f ca="1"/>
        <v>45502</v>
      </c>
      <c r="B113" vm="1640">
        <f ca="1"/>
        <v>232.1</v>
      </c>
      <c r="C113" vm="1641">
        <f ca="1"/>
        <v>183.2</v>
      </c>
      <c r="D113" vm="1642">
        <f ca="1"/>
        <v>426.73</v>
      </c>
      <c r="E113" vm="1643">
        <f ca="1"/>
        <v>352.55</v>
      </c>
      <c r="F113" vm="1644">
        <f ca="1"/>
        <v>169.93</v>
      </c>
      <c r="G113" vm="1645">
        <f ca="1"/>
        <v>210.85</v>
      </c>
      <c r="H113" vm="1646">
        <f ca="1"/>
        <v>566.75</v>
      </c>
      <c r="I113" vm="1647">
        <f ca="1"/>
        <v>116.1</v>
      </c>
      <c r="J113" vm="1648">
        <f ca="1"/>
        <v>17.28</v>
      </c>
      <c r="K113" vm="1649">
        <f ca="1"/>
        <v>35.26</v>
      </c>
      <c r="L113" vm="1650">
        <f ca="1"/>
        <v>30.72</v>
      </c>
      <c r="M113" vm="1651">
        <f ca="1"/>
        <v>169.23</v>
      </c>
      <c r="N113" vm="1652">
        <f ca="1"/>
        <v>111.59</v>
      </c>
      <c r="O113" vm="1653">
        <f ca="1"/>
        <v>47.99</v>
      </c>
      <c r="P113" vm="1654">
        <f ca="1"/>
        <v>150.22</v>
      </c>
    </row>
    <row r="114" spans="1:16" x14ac:dyDescent="0.25">
      <c r="A114" vm="1655">
        <f ca="1"/>
        <v>45503</v>
      </c>
      <c r="B114" vm="1656">
        <f ca="1"/>
        <v>222.62</v>
      </c>
      <c r="C114" vm="1657">
        <f ca="1"/>
        <v>181.71</v>
      </c>
      <c r="D114" vm="1658">
        <f ca="1"/>
        <v>422.92</v>
      </c>
      <c r="E114" vm="1659">
        <f ca="1"/>
        <v>351.84</v>
      </c>
      <c r="F114" vm="1660">
        <f ca="1"/>
        <v>161.69999999999999</v>
      </c>
      <c r="G114" vm="1661">
        <f ca="1"/>
        <v>215.19</v>
      </c>
      <c r="H114" vm="1662">
        <f ca="1"/>
        <v>576.33000000000004</v>
      </c>
      <c r="I114" vm="1663">
        <f ca="1"/>
        <v>118.17</v>
      </c>
      <c r="J114" vm="1664">
        <f ca="1"/>
        <v>17.675999999999998</v>
      </c>
      <c r="K114" vm="1665">
        <f ca="1"/>
        <v>36.75</v>
      </c>
      <c r="L114" vm="1666">
        <f ca="1"/>
        <v>31.39</v>
      </c>
      <c r="M114" vm="1667">
        <f ca="1"/>
        <v>173.59</v>
      </c>
      <c r="N114" vm="1668">
        <f ca="1"/>
        <v>103.73</v>
      </c>
      <c r="O114" vm="638">
        <f ca="1"/>
        <v>48.14</v>
      </c>
      <c r="P114" vm="1669">
        <f ca="1"/>
        <v>143.52000000000001</v>
      </c>
    </row>
    <row r="115" spans="1:16" x14ac:dyDescent="0.25">
      <c r="A115" vm="1670">
        <f ca="1"/>
        <v>45504</v>
      </c>
      <c r="B115" vm="1671">
        <f ca="1"/>
        <v>232.07</v>
      </c>
      <c r="C115" vm="1672">
        <f ca="1"/>
        <v>186.98</v>
      </c>
      <c r="D115" vm="1673">
        <f ca="1"/>
        <v>418.35</v>
      </c>
      <c r="E115" vm="1674">
        <f ca="1"/>
        <v>350.8</v>
      </c>
      <c r="F115" vm="1675">
        <f ca="1"/>
        <v>160.76</v>
      </c>
      <c r="G115" vm="1676">
        <f ca="1"/>
        <v>212.8</v>
      </c>
      <c r="H115" vm="1677">
        <f ca="1"/>
        <v>576.16</v>
      </c>
      <c r="I115" vm="1678">
        <f ca="1"/>
        <v>118.59</v>
      </c>
      <c r="J115" vm="1679">
        <f ca="1"/>
        <v>17.718</v>
      </c>
      <c r="K115" vm="1680">
        <f ca="1"/>
        <v>37.799999999999997</v>
      </c>
      <c r="L115" vm="1681">
        <f ca="1"/>
        <v>30.54</v>
      </c>
      <c r="M115" vm="1682">
        <f ca="1"/>
        <v>171.12</v>
      </c>
      <c r="N115" vm="1683">
        <f ca="1"/>
        <v>117.02</v>
      </c>
      <c r="O115" vm="1684">
        <f ca="1"/>
        <v>48.45</v>
      </c>
      <c r="P115" vm="1685">
        <f ca="1"/>
        <v>160.68</v>
      </c>
    </row>
    <row r="116" spans="1:16" x14ac:dyDescent="0.25">
      <c r="A116" vm="1686">
        <f ca="1"/>
        <v>45505</v>
      </c>
      <c r="B116" vm="1687">
        <f ca="1"/>
        <v>216.86</v>
      </c>
      <c r="C116" vm="1688">
        <f ca="1"/>
        <v>184.07</v>
      </c>
      <c r="D116" vm="1689">
        <f ca="1"/>
        <v>417.11</v>
      </c>
      <c r="E116" vm="1690">
        <f ca="1"/>
        <v>350.38</v>
      </c>
      <c r="F116" vm="1691">
        <f ca="1"/>
        <v>165.69</v>
      </c>
      <c r="G116" vm="1692">
        <f ca="1"/>
        <v>207.96</v>
      </c>
      <c r="H116" vm="1693">
        <f ca="1"/>
        <v>572.77</v>
      </c>
      <c r="I116" vm="1694">
        <f ca="1"/>
        <v>116.95</v>
      </c>
      <c r="J116" vm="1695">
        <f ca="1"/>
        <v>16.986000000000001</v>
      </c>
      <c r="K116" vm="1696">
        <f ca="1"/>
        <v>35.94</v>
      </c>
      <c r="L116" vm="1697">
        <f ca="1"/>
        <v>30.65</v>
      </c>
      <c r="M116" vm="1698">
        <f ca="1"/>
        <v>177.38</v>
      </c>
      <c r="N116" vm="1699">
        <f ca="1"/>
        <v>109.21</v>
      </c>
      <c r="O116" vm="1700">
        <f ca="1"/>
        <v>47.39</v>
      </c>
      <c r="P116" vm="1701">
        <f ca="1"/>
        <v>147.02000000000001</v>
      </c>
    </row>
    <row r="117" spans="1:16" x14ac:dyDescent="0.25">
      <c r="A117" vm="1702">
        <f ca="1"/>
        <v>45506</v>
      </c>
      <c r="B117" vm="1703">
        <f ca="1"/>
        <v>207.67</v>
      </c>
      <c r="C117" vm="1704">
        <f ca="1"/>
        <v>167.9</v>
      </c>
      <c r="D117" vm="1705">
        <f ca="1"/>
        <v>408.49</v>
      </c>
      <c r="E117" vm="1706">
        <f ca="1"/>
        <v>347.25</v>
      </c>
      <c r="F117" vm="788">
        <f ca="1"/>
        <v>170.08</v>
      </c>
      <c r="G117" vm="1707">
        <f ca="1"/>
        <v>199.14</v>
      </c>
      <c r="H117" vm="1708">
        <f ca="1"/>
        <v>589.83000000000004</v>
      </c>
      <c r="I117" vm="1709">
        <f ca="1"/>
        <v>116.88</v>
      </c>
      <c r="J117" vm="1710">
        <f ca="1"/>
        <v>16.321999999999999</v>
      </c>
      <c r="K117" vm="1711">
        <f ca="1"/>
        <v>36.07</v>
      </c>
      <c r="L117" vm="1712">
        <f ca="1"/>
        <v>30.43</v>
      </c>
      <c r="M117" vm="144">
        <f ca="1"/>
        <v>176.82</v>
      </c>
      <c r="N117" vm="1713">
        <f ca="1"/>
        <v>107.27</v>
      </c>
      <c r="O117" vm="1714">
        <f ca="1"/>
        <v>46.66</v>
      </c>
      <c r="P117" vm="1715">
        <f ca="1"/>
        <v>143.82</v>
      </c>
    </row>
    <row r="118" spans="1:16" x14ac:dyDescent="0.25">
      <c r="A118" vm="1716">
        <f ca="1"/>
        <v>45509</v>
      </c>
      <c r="B118" vm="1289">
        <f ca="1"/>
        <v>198.88</v>
      </c>
      <c r="C118" vm="1717">
        <f ca="1"/>
        <v>161.02000000000001</v>
      </c>
      <c r="D118" vm="1718">
        <f ca="1"/>
        <v>395.15</v>
      </c>
      <c r="E118" vm="1719">
        <f ca="1"/>
        <v>339.09</v>
      </c>
      <c r="F118" vm="1720">
        <f ca="1"/>
        <v>168.06</v>
      </c>
      <c r="G118" vm="1721">
        <f ca="1"/>
        <v>194.9</v>
      </c>
      <c r="H118" vm="1722">
        <f ca="1"/>
        <v>569.96</v>
      </c>
      <c r="I118" vm="1723">
        <f ca="1"/>
        <v>114.77</v>
      </c>
      <c r="J118" vm="1724">
        <f ca="1"/>
        <v>16.475999999999999</v>
      </c>
      <c r="K118" vm="1442">
        <f ca="1"/>
        <v>35.659999999999997</v>
      </c>
      <c r="L118" vm="1725">
        <f ca="1"/>
        <v>29.74</v>
      </c>
      <c r="M118" vm="1726">
        <f ca="1"/>
        <v>169.02</v>
      </c>
      <c r="N118" vm="1727">
        <f ca="1"/>
        <v>100.45</v>
      </c>
      <c r="O118" vm="1728">
        <f ca="1"/>
        <v>44.74</v>
      </c>
      <c r="P118" vm="1729">
        <f ca="1"/>
        <v>142.08000000000001</v>
      </c>
    </row>
    <row r="119" spans="1:16" x14ac:dyDescent="0.25">
      <c r="A119" vm="1730">
        <f ca="1"/>
        <v>45510</v>
      </c>
      <c r="B119" vm="1731">
        <f ca="1"/>
        <v>200.64</v>
      </c>
      <c r="C119" vm="195">
        <f ca="1"/>
        <v>161.93</v>
      </c>
      <c r="D119" vm="1732">
        <f ca="1"/>
        <v>399.61</v>
      </c>
      <c r="E119" vm="1733">
        <f ca="1"/>
        <v>344.12</v>
      </c>
      <c r="F119" vm="1734">
        <f ca="1"/>
        <v>168.09</v>
      </c>
      <c r="G119" vm="1735">
        <f ca="1"/>
        <v>200.34</v>
      </c>
      <c r="H119" vm="1736">
        <f ca="1"/>
        <v>568.35</v>
      </c>
      <c r="I119" vm="1737">
        <f ca="1"/>
        <v>114.16</v>
      </c>
      <c r="J119" vm="1738">
        <f ca="1"/>
        <v>16.61</v>
      </c>
      <c r="K119" vm="1739">
        <f ca="1"/>
        <v>36.35</v>
      </c>
      <c r="L119" vm="1740">
        <f ca="1"/>
        <v>29.32</v>
      </c>
      <c r="M119" vm="1741">
        <f ca="1"/>
        <v>169.79</v>
      </c>
      <c r="N119" vm="1742">
        <f ca="1"/>
        <v>104.25</v>
      </c>
      <c r="O119" vm="1743">
        <f ca="1"/>
        <v>45.16</v>
      </c>
      <c r="P119" vm="1744">
        <f ca="1"/>
        <v>143.91999999999999</v>
      </c>
    </row>
    <row r="120" spans="1:16" x14ac:dyDescent="0.25">
      <c r="A120" vm="1745">
        <f ca="1"/>
        <v>45511</v>
      </c>
      <c r="B120" vm="1746">
        <f ca="1"/>
        <v>191.76</v>
      </c>
      <c r="C120" vm="1747">
        <f ca="1"/>
        <v>162.77000000000001</v>
      </c>
      <c r="D120" vm="1748">
        <f ca="1"/>
        <v>398.43</v>
      </c>
      <c r="E120" vm="1749">
        <f ca="1"/>
        <v>339.71</v>
      </c>
      <c r="F120" vm="1750">
        <f ca="1"/>
        <v>170.02</v>
      </c>
      <c r="G120" vm="1751">
        <f ca="1"/>
        <v>200.4</v>
      </c>
      <c r="H120" vm="1752">
        <f ca="1"/>
        <v>566.08000000000004</v>
      </c>
      <c r="I120" vm="1753">
        <f ca="1"/>
        <v>115.68</v>
      </c>
      <c r="J120" vm="1754">
        <f ca="1"/>
        <v>16.911999999999999</v>
      </c>
      <c r="K120" vm="1306">
        <f ca="1"/>
        <v>36.49</v>
      </c>
      <c r="L120" vm="1755">
        <f ca="1"/>
        <v>28.85</v>
      </c>
      <c r="M120" vm="1756">
        <f ca="1"/>
        <v>170.67</v>
      </c>
      <c r="N120" vm="1757">
        <f ca="1"/>
        <v>98.91</v>
      </c>
      <c r="O120" vm="1758">
        <f ca="1"/>
        <v>45.12</v>
      </c>
      <c r="P120" vm="1759">
        <f ca="1"/>
        <v>136.27000000000001</v>
      </c>
    </row>
    <row r="121" spans="1:16" x14ac:dyDescent="0.25">
      <c r="A121" vm="1760">
        <f ca="1"/>
        <v>45512</v>
      </c>
      <c r="B121" vm="1761">
        <f ca="1"/>
        <v>198.84</v>
      </c>
      <c r="C121" vm="1762">
        <f ca="1"/>
        <v>165.8</v>
      </c>
      <c r="D121" vm="1763">
        <f ca="1"/>
        <v>402.69</v>
      </c>
      <c r="E121" vm="1764">
        <f ca="1"/>
        <v>342.71</v>
      </c>
      <c r="F121" vm="1765">
        <f ca="1"/>
        <v>170.87</v>
      </c>
      <c r="G121" vm="1766">
        <f ca="1"/>
        <v>204.06</v>
      </c>
      <c r="H121" vm="1767">
        <f ca="1"/>
        <v>566.24</v>
      </c>
      <c r="I121" vm="1768">
        <f ca="1"/>
        <v>117.89</v>
      </c>
      <c r="J121" vm="1769">
        <f ca="1"/>
        <v>16.885999999999999</v>
      </c>
      <c r="K121" vm="1770">
        <f ca="1"/>
        <v>36.630000000000003</v>
      </c>
      <c r="L121" vm="1771">
        <f ca="1"/>
        <v>28.76</v>
      </c>
      <c r="M121" vm="1772">
        <f ca="1"/>
        <v>170.52</v>
      </c>
      <c r="N121" vm="1773">
        <f ca="1"/>
        <v>104.97</v>
      </c>
      <c r="O121" vm="1774">
        <f ca="1"/>
        <v>45.83</v>
      </c>
      <c r="P121" vm="1775">
        <f ca="1"/>
        <v>145.74</v>
      </c>
    </row>
    <row r="122" spans="1:16" x14ac:dyDescent="0.25">
      <c r="A122" vm="1776">
        <f ca="1"/>
        <v>45513</v>
      </c>
      <c r="B122" vm="1376">
        <f ca="1"/>
        <v>200</v>
      </c>
      <c r="C122" vm="1777">
        <f ca="1"/>
        <v>166.94</v>
      </c>
      <c r="D122" vm="1778">
        <f ca="1"/>
        <v>406.02</v>
      </c>
      <c r="E122" vm="1779">
        <f ca="1"/>
        <v>345.64</v>
      </c>
      <c r="F122" vm="1780">
        <f ca="1"/>
        <v>170.54</v>
      </c>
      <c r="G122" vm="1781">
        <f ca="1"/>
        <v>205.8</v>
      </c>
      <c r="H122" vm="1782">
        <f ca="1"/>
        <v>558.76</v>
      </c>
      <c r="I122" vm="1783">
        <f ca="1"/>
        <v>118.85</v>
      </c>
      <c r="J122" vm="1784">
        <f ca="1"/>
        <v>16.88</v>
      </c>
      <c r="K122" vm="1785">
        <f ca="1"/>
        <v>36.82</v>
      </c>
      <c r="L122" vm="1786">
        <f ca="1"/>
        <v>28.55</v>
      </c>
      <c r="M122" vm="1787">
        <f ca="1"/>
        <v>171.03</v>
      </c>
      <c r="N122" vm="1788">
        <f ca="1"/>
        <v>104.75</v>
      </c>
      <c r="O122" vm="1789">
        <f ca="1"/>
        <v>45.47</v>
      </c>
      <c r="P122" vm="1790">
        <f ca="1"/>
        <v>148.26</v>
      </c>
    </row>
    <row r="123" spans="1:16" x14ac:dyDescent="0.25">
      <c r="A123" vm="1791">
        <f ca="1"/>
        <v>45516</v>
      </c>
      <c r="B123" vm="1792">
        <f ca="1"/>
        <v>197.49</v>
      </c>
      <c r="C123" vm="1452">
        <f ca="1"/>
        <v>166.8</v>
      </c>
      <c r="D123" vm="1793">
        <f ca="1"/>
        <v>406.81</v>
      </c>
      <c r="E123" vm="1794">
        <f ca="1"/>
        <v>343.24</v>
      </c>
      <c r="F123" vm="546">
        <f ca="1"/>
        <v>166.81</v>
      </c>
      <c r="G123" vm="1795">
        <f ca="1"/>
        <v>206.19</v>
      </c>
      <c r="H123" vm="1796">
        <f ca="1"/>
        <v>565.29</v>
      </c>
      <c r="I123" vm="1797">
        <f ca="1"/>
        <v>119</v>
      </c>
      <c r="J123" vm="1798">
        <f ca="1"/>
        <v>16.943999999999999</v>
      </c>
      <c r="K123" vm="1799">
        <f ca="1"/>
        <v>36.549999999999997</v>
      </c>
      <c r="L123" vm="1800">
        <f ca="1"/>
        <v>28.45</v>
      </c>
      <c r="M123" vm="1801">
        <f ca="1"/>
        <v>171.36</v>
      </c>
      <c r="N123" vm="182">
        <f ca="1"/>
        <v>109.02</v>
      </c>
      <c r="O123" vm="1802">
        <f ca="1"/>
        <v>44.86</v>
      </c>
      <c r="P123" vm="1803">
        <f ca="1"/>
        <v>148.62</v>
      </c>
    </row>
    <row r="124" spans="1:16" x14ac:dyDescent="0.25">
      <c r="A124" vm="1804">
        <f ca="1"/>
        <v>45517</v>
      </c>
      <c r="B124" vm="1805">
        <f ca="1"/>
        <v>207.83</v>
      </c>
      <c r="C124" vm="1806">
        <f ca="1"/>
        <v>170.23</v>
      </c>
      <c r="D124" vm="1807">
        <f ca="1"/>
        <v>414.01</v>
      </c>
      <c r="E124" vm="1808">
        <f ca="1"/>
        <v>349.08</v>
      </c>
      <c r="F124" vm="1809">
        <f ca="1"/>
        <v>167.29</v>
      </c>
      <c r="G124" vm="1810">
        <f ca="1"/>
        <v>207.94</v>
      </c>
      <c r="H124" vm="1811">
        <f ca="1"/>
        <v>574.24</v>
      </c>
      <c r="I124" vm="1812">
        <f ca="1"/>
        <v>117.86</v>
      </c>
      <c r="J124" vm="1813">
        <f ca="1"/>
        <v>17.812000000000001</v>
      </c>
      <c r="K124" vm="1814">
        <f ca="1"/>
        <v>36.982500000000002</v>
      </c>
      <c r="L124" vm="1755">
        <f ca="1"/>
        <v>28.85</v>
      </c>
      <c r="M124" vm="176">
        <f ca="1"/>
        <v>171.96</v>
      </c>
      <c r="N124" vm="1815">
        <f ca="1"/>
        <v>116.14</v>
      </c>
      <c r="O124" vm="1816">
        <f ca="1"/>
        <v>45.37</v>
      </c>
      <c r="P124" vm="1817">
        <f ca="1"/>
        <v>156.16</v>
      </c>
    </row>
    <row r="125" spans="1:16" x14ac:dyDescent="0.25">
      <c r="A125" vm="1818">
        <f ca="1"/>
        <v>45518</v>
      </c>
      <c r="B125" vm="1819">
        <f ca="1"/>
        <v>201.38</v>
      </c>
      <c r="C125" vm="1820">
        <f ca="1"/>
        <v>170.1</v>
      </c>
      <c r="D125" vm="1821">
        <f ca="1"/>
        <v>416.86</v>
      </c>
      <c r="E125" vm="1822">
        <f ca="1"/>
        <v>352.15</v>
      </c>
      <c r="F125" vm="1823">
        <f ca="1"/>
        <v>168.8</v>
      </c>
      <c r="G125" vm="1824">
        <f ca="1"/>
        <v>210.24</v>
      </c>
      <c r="H125" vm="1825">
        <f ca="1"/>
        <v>579.66999999999996</v>
      </c>
      <c r="I125" vm="1826">
        <f ca="1"/>
        <v>118.95</v>
      </c>
      <c r="J125" vm="1827">
        <f ca="1"/>
        <v>17.797999999999998</v>
      </c>
      <c r="K125" vm="1828">
        <f ca="1"/>
        <v>37.090000000000003</v>
      </c>
      <c r="L125" vm="997">
        <f ca="1"/>
        <v>28.88</v>
      </c>
      <c r="M125" vm="1829">
        <f ca="1"/>
        <v>180.95</v>
      </c>
      <c r="N125" vm="1830">
        <f ca="1"/>
        <v>118.08</v>
      </c>
      <c r="O125" vm="1831">
        <f ca="1"/>
        <v>45.44</v>
      </c>
      <c r="P125" vm="1832">
        <f ca="1"/>
        <v>157.69</v>
      </c>
    </row>
    <row r="126" spans="1:16" x14ac:dyDescent="0.25">
      <c r="A126" vm="1833">
        <f ca="1"/>
        <v>45519</v>
      </c>
      <c r="B126" vm="1834">
        <f ca="1"/>
        <v>214.14</v>
      </c>
      <c r="C126" vm="1835">
        <f ca="1"/>
        <v>177.59</v>
      </c>
      <c r="D126" vm="1836">
        <f ca="1"/>
        <v>421.03</v>
      </c>
      <c r="E126" vm="1837">
        <f ca="1"/>
        <v>356.47</v>
      </c>
      <c r="F126" vm="1838">
        <f ca="1"/>
        <v>167.92</v>
      </c>
      <c r="G126" vm="1839">
        <f ca="1"/>
        <v>211.55</v>
      </c>
      <c r="H126" vm="1840">
        <f ca="1"/>
        <v>579.61</v>
      </c>
      <c r="I126" vm="1841">
        <f ca="1"/>
        <v>118.73</v>
      </c>
      <c r="J126" vm="1842">
        <f ca="1"/>
        <v>17.692</v>
      </c>
      <c r="K126" vm="1843">
        <f ca="1"/>
        <v>37.57</v>
      </c>
      <c r="L126" vm="1844">
        <f ca="1"/>
        <v>28.71</v>
      </c>
      <c r="M126" vm="1845">
        <f ca="1"/>
        <v>178.11</v>
      </c>
      <c r="N126" vm="1846">
        <f ca="1"/>
        <v>122.86</v>
      </c>
      <c r="O126" vm="1847">
        <f ca="1"/>
        <v>48.53</v>
      </c>
      <c r="P126" vm="1848">
        <f ca="1"/>
        <v>166.13</v>
      </c>
    </row>
    <row r="127" spans="1:16" x14ac:dyDescent="0.25">
      <c r="A127" vm="1849">
        <f ca="1"/>
        <v>45520</v>
      </c>
      <c r="B127" vm="1850">
        <f ca="1"/>
        <v>216.12</v>
      </c>
      <c r="C127" vm="1851">
        <f ca="1"/>
        <v>177.06</v>
      </c>
      <c r="D127" vm="1852">
        <f ca="1"/>
        <v>418.47</v>
      </c>
      <c r="E127" vm="1853">
        <f ca="1"/>
        <v>354.4</v>
      </c>
      <c r="F127" vm="1854">
        <f ca="1"/>
        <v>167.89</v>
      </c>
      <c r="G127" vm="1855">
        <f ca="1"/>
        <v>213.97</v>
      </c>
      <c r="H127" vm="1856">
        <f ca="1"/>
        <v>577.67999999999995</v>
      </c>
      <c r="I127" vm="1663">
        <f ca="1"/>
        <v>118.17</v>
      </c>
      <c r="J127" vm="1857">
        <f ca="1"/>
        <v>18.047999999999998</v>
      </c>
      <c r="K127" vm="1858">
        <f ca="1"/>
        <v>37.909999999999997</v>
      </c>
      <c r="L127" vm="1013">
        <f ca="1"/>
        <v>28.3</v>
      </c>
      <c r="M127" vm="1859">
        <f ca="1"/>
        <v>179.64</v>
      </c>
      <c r="N127" vm="1860">
        <f ca="1"/>
        <v>124.58</v>
      </c>
      <c r="O127" vm="1861">
        <f ca="1"/>
        <v>49.46</v>
      </c>
      <c r="P127" vm="1862">
        <f ca="1"/>
        <v>165.72</v>
      </c>
    </row>
    <row r="128" spans="1:16" x14ac:dyDescent="0.25">
      <c r="A128" vm="1863">
        <f ca="1"/>
        <v>45523</v>
      </c>
      <c r="B128" vm="1864">
        <f ca="1"/>
        <v>222.72</v>
      </c>
      <c r="C128" vm="80">
        <f ca="1"/>
        <v>178.22</v>
      </c>
      <c r="D128" vm="1865">
        <f ca="1"/>
        <v>421.53</v>
      </c>
      <c r="E128" vm="1866">
        <f ca="1"/>
        <v>356</v>
      </c>
      <c r="F128" vm="1867">
        <f ca="1"/>
        <v>168.42</v>
      </c>
      <c r="G128" vm="1868">
        <f ca="1"/>
        <v>215.45</v>
      </c>
      <c r="H128" vm="1869">
        <f ca="1"/>
        <v>578.78</v>
      </c>
      <c r="I128" vm="1870">
        <f ca="1"/>
        <v>118.53</v>
      </c>
      <c r="J128" vm="1871">
        <f ca="1"/>
        <v>18.29</v>
      </c>
      <c r="K128" vm="1872">
        <f ca="1"/>
        <v>38.340000000000003</v>
      </c>
      <c r="L128" vm="1122">
        <f ca="1"/>
        <v>28.8</v>
      </c>
      <c r="M128" vm="1873">
        <f ca="1"/>
        <v>180.62</v>
      </c>
      <c r="N128" vm="1874">
        <f ca="1"/>
        <v>130</v>
      </c>
      <c r="O128" vm="1875">
        <f ca="1"/>
        <v>49.98</v>
      </c>
      <c r="P128" vm="1876">
        <f ca="1"/>
        <v>167.71</v>
      </c>
    </row>
    <row r="129" spans="1:16" x14ac:dyDescent="0.25">
      <c r="A129" vm="1877">
        <f ca="1"/>
        <v>45524</v>
      </c>
      <c r="B129" vm="1878">
        <f ca="1"/>
        <v>221.1</v>
      </c>
      <c r="C129" vm="1879">
        <f ca="1"/>
        <v>178.88</v>
      </c>
      <c r="D129" vm="1880">
        <f ca="1"/>
        <v>424.8</v>
      </c>
      <c r="E129" vm="1881">
        <f ca="1"/>
        <v>355.34</v>
      </c>
      <c r="F129" vm="1882">
        <f ca="1"/>
        <v>170.41</v>
      </c>
      <c r="G129" vm="1883">
        <f ca="1"/>
        <v>214.52</v>
      </c>
      <c r="H129" vm="1884">
        <f ca="1"/>
        <v>580.65</v>
      </c>
      <c r="I129" vm="1885">
        <f ca="1"/>
        <v>114.58</v>
      </c>
      <c r="J129" vm="1886">
        <f ca="1"/>
        <v>18.158000000000001</v>
      </c>
      <c r="K129" vm="1887">
        <f ca="1"/>
        <v>38.46</v>
      </c>
      <c r="L129" vm="1888">
        <f ca="1"/>
        <v>28.9</v>
      </c>
      <c r="M129" vm="1889">
        <f ca="1"/>
        <v>180.41</v>
      </c>
      <c r="N129" vm="1890">
        <f ca="1"/>
        <v>127.25</v>
      </c>
      <c r="O129" vm="1891">
        <f ca="1"/>
        <v>50.24</v>
      </c>
      <c r="P129" vm="1892">
        <f ca="1"/>
        <v>165.95</v>
      </c>
    </row>
    <row r="130" spans="1:16" x14ac:dyDescent="0.25">
      <c r="A130" vm="1893">
        <f ca="1"/>
        <v>45525</v>
      </c>
      <c r="B130" vm="1894">
        <f ca="1"/>
        <v>223.27</v>
      </c>
      <c r="C130" vm="955">
        <f ca="1"/>
        <v>180.11</v>
      </c>
      <c r="D130" vm="1895">
        <f ca="1"/>
        <v>424.14</v>
      </c>
      <c r="E130" vm="1896">
        <f ca="1"/>
        <v>357.97</v>
      </c>
      <c r="F130" vm="1897">
        <f ca="1"/>
        <v>170.16</v>
      </c>
      <c r="G130" vm="1898">
        <f ca="1"/>
        <v>214.6</v>
      </c>
      <c r="H130" vm="1899">
        <f ca="1"/>
        <v>578.07000000000005</v>
      </c>
      <c r="I130" vm="1900">
        <f ca="1"/>
        <v>113.85</v>
      </c>
      <c r="J130" vm="1901">
        <f ca="1"/>
        <v>18.558</v>
      </c>
      <c r="K130" vm="1902">
        <f ca="1"/>
        <v>38.72</v>
      </c>
      <c r="L130" vm="1903">
        <f ca="1"/>
        <v>29.03</v>
      </c>
      <c r="M130" vm="1904">
        <f ca="1"/>
        <v>178.84</v>
      </c>
      <c r="N130" vm="1905">
        <f ca="1"/>
        <v>128.5</v>
      </c>
      <c r="O130" vm="1906">
        <f ca="1"/>
        <v>50.45</v>
      </c>
      <c r="P130" vm="1907">
        <f ca="1"/>
        <v>165.78</v>
      </c>
    </row>
    <row r="131" spans="1:16" x14ac:dyDescent="0.25">
      <c r="A131" vm="1908">
        <f ca="1"/>
        <v>45526</v>
      </c>
      <c r="B131" vm="1909">
        <f ca="1"/>
        <v>210.66</v>
      </c>
      <c r="C131" vm="1910">
        <f ca="1"/>
        <v>176.13</v>
      </c>
      <c r="D131" vm="1911">
        <f ca="1"/>
        <v>415.55</v>
      </c>
      <c r="E131" vm="1912">
        <f ca="1"/>
        <v>357.91</v>
      </c>
      <c r="F131" vm="1913">
        <f ca="1"/>
        <v>170.15</v>
      </c>
      <c r="G131" vm="1914">
        <f ca="1"/>
        <v>216.63</v>
      </c>
      <c r="H131" vm="1915">
        <f ca="1"/>
        <v>578.72</v>
      </c>
      <c r="I131" vm="1916">
        <f ca="1"/>
        <v>114.73</v>
      </c>
      <c r="J131" vm="1917">
        <f ca="1"/>
        <v>18.257999999999999</v>
      </c>
      <c r="K131" vm="1918">
        <f ca="1"/>
        <v>38.4</v>
      </c>
      <c r="L131" vm="1919">
        <f ca="1"/>
        <v>28.78</v>
      </c>
      <c r="M131" vm="1920">
        <f ca="1"/>
        <v>181.23</v>
      </c>
      <c r="N131" vm="1921">
        <f ca="1"/>
        <v>123.74</v>
      </c>
      <c r="O131" vm="188">
        <f ca="1"/>
        <v>50.22</v>
      </c>
      <c r="P131" vm="1922">
        <f ca="1"/>
        <v>162.34</v>
      </c>
    </row>
    <row r="132" spans="1:16" x14ac:dyDescent="0.25">
      <c r="A132" vm="1923">
        <f ca="1"/>
        <v>45527</v>
      </c>
      <c r="B132" vm="1924">
        <f ca="1"/>
        <v>220.32</v>
      </c>
      <c r="C132" vm="1925">
        <f ca="1"/>
        <v>177.04</v>
      </c>
      <c r="D132" vm="1926">
        <f ca="1"/>
        <v>416.79</v>
      </c>
      <c r="E132" vm="1927">
        <f ca="1"/>
        <v>358.73</v>
      </c>
      <c r="F132" vm="1635">
        <f ca="1"/>
        <v>169.17</v>
      </c>
      <c r="G132" vm="1928">
        <f ca="1"/>
        <v>218.31</v>
      </c>
      <c r="H132" vm="1929">
        <f ca="1"/>
        <v>584.51</v>
      </c>
      <c r="I132" vm="1930">
        <f ca="1"/>
        <v>116.32</v>
      </c>
      <c r="J132" vm="1931">
        <f ca="1"/>
        <v>18.478000000000002</v>
      </c>
      <c r="K132" vm="1932">
        <f ca="1"/>
        <v>39.39</v>
      </c>
      <c r="L132" vm="1888">
        <f ca="1"/>
        <v>28.9</v>
      </c>
      <c r="M132" vm="1933">
        <f ca="1"/>
        <v>180.51</v>
      </c>
      <c r="N132" vm="1934">
        <f ca="1"/>
        <v>129.37</v>
      </c>
      <c r="O132" vm="1935">
        <f ca="1"/>
        <v>50.74</v>
      </c>
      <c r="P132" vm="1936">
        <f ca="1"/>
        <v>166.36</v>
      </c>
    </row>
    <row r="133" spans="1:16" x14ac:dyDescent="0.25">
      <c r="A133" vm="1937">
        <f ca="1"/>
        <v>45530</v>
      </c>
      <c r="B133" vm="1938">
        <f ca="1"/>
        <v>213.21</v>
      </c>
      <c r="C133" vm="1939">
        <f ca="1"/>
        <v>175.5</v>
      </c>
      <c r="D133" vm="1940">
        <f ca="1"/>
        <v>413.49</v>
      </c>
      <c r="E133" vm="1941">
        <f ca="1"/>
        <v>360.69</v>
      </c>
      <c r="F133" vm="1942">
        <f ca="1"/>
        <v>170.35</v>
      </c>
      <c r="G133" vm="1943">
        <f ca="1"/>
        <v>219.17</v>
      </c>
      <c r="H133" vm="1944">
        <f ca="1"/>
        <v>587.13</v>
      </c>
      <c r="I133" vm="1945">
        <f ca="1"/>
        <v>118.81</v>
      </c>
      <c r="J133" vm="1575">
        <f ca="1"/>
        <v>18.562000000000001</v>
      </c>
      <c r="K133" vm="1946">
        <f ca="1"/>
        <v>39.36</v>
      </c>
      <c r="L133" vm="906">
        <f ca="1"/>
        <v>28.92</v>
      </c>
      <c r="M133" vm="1947">
        <f ca="1"/>
        <v>183.09</v>
      </c>
      <c r="N133" vm="1948">
        <f ca="1"/>
        <v>126.46</v>
      </c>
      <c r="O133" vm="1949">
        <f ca="1"/>
        <v>50.79</v>
      </c>
      <c r="P133" vm="1950">
        <f ca="1"/>
        <v>159.62</v>
      </c>
    </row>
    <row r="134" spans="1:16" x14ac:dyDescent="0.25">
      <c r="A134" vm="1951">
        <f ca="1"/>
        <v>45531</v>
      </c>
      <c r="B134" vm="1952">
        <f ca="1"/>
        <v>209.21</v>
      </c>
      <c r="C134" vm="1953">
        <f ca="1"/>
        <v>173.12</v>
      </c>
      <c r="D134" vm="1954">
        <f ca="1"/>
        <v>413.84</v>
      </c>
      <c r="E134" vm="1955">
        <f ca="1"/>
        <v>359.98</v>
      </c>
      <c r="F134" vm="1956">
        <f ca="1"/>
        <v>169.25</v>
      </c>
      <c r="G134" vm="1957">
        <f ca="1"/>
        <v>220.18</v>
      </c>
      <c r="H134" vm="1958">
        <f ca="1"/>
        <v>587.35</v>
      </c>
      <c r="I134" vm="1959">
        <f ca="1"/>
        <v>117.68</v>
      </c>
      <c r="J134" vm="1486">
        <f ca="1"/>
        <v>19.213999999999999</v>
      </c>
      <c r="K134" vm="1960">
        <f ca="1"/>
        <v>39.28</v>
      </c>
      <c r="L134" vm="890">
        <f ca="1"/>
        <v>28.82</v>
      </c>
      <c r="M134" vm="1961">
        <f ca="1"/>
        <v>185.14</v>
      </c>
      <c r="N134" vm="1962">
        <f ca="1"/>
        <v>128.30000000000001</v>
      </c>
      <c r="O134" vm="1963">
        <f ca="1"/>
        <v>50.71</v>
      </c>
      <c r="P134" vm="1964">
        <f ca="1"/>
        <v>161.38999999999999</v>
      </c>
    </row>
    <row r="135" spans="1:16" x14ac:dyDescent="0.25">
      <c r="A135" vm="1965">
        <f ca="1"/>
        <v>45532</v>
      </c>
      <c r="B135" vm="1966">
        <f ca="1"/>
        <v>205.75</v>
      </c>
      <c r="C135" vm="1967">
        <f ca="1"/>
        <v>170.8</v>
      </c>
      <c r="D135" vm="1968">
        <f ca="1"/>
        <v>410.6</v>
      </c>
      <c r="E135" vm="1969">
        <f ca="1"/>
        <v>361.7</v>
      </c>
      <c r="F135" vm="1970">
        <f ca="1"/>
        <v>169.06</v>
      </c>
      <c r="G135" vm="1971">
        <f ca="1"/>
        <v>221.29</v>
      </c>
      <c r="H135" vm="1972">
        <f ca="1"/>
        <v>588.54</v>
      </c>
      <c r="I135" vm="1973">
        <f ca="1"/>
        <v>116.52</v>
      </c>
      <c r="J135" vm="1974">
        <f ca="1"/>
        <v>19.350000000000001</v>
      </c>
      <c r="K135" vm="1975">
        <f ca="1"/>
        <v>39.07</v>
      </c>
      <c r="L135" vm="1976">
        <f ca="1"/>
        <v>28.75</v>
      </c>
      <c r="M135" vm="1145">
        <f ca="1"/>
        <v>187.06</v>
      </c>
      <c r="N135" vm="1977">
        <f ca="1"/>
        <v>125.61</v>
      </c>
      <c r="O135" vm="1978">
        <f ca="1"/>
        <v>49.85</v>
      </c>
      <c r="P135" vm="1979">
        <f ca="1"/>
        <v>158.18</v>
      </c>
    </row>
    <row r="136" spans="1:16" x14ac:dyDescent="0.25">
      <c r="A136" vm="1980">
        <f ca="1"/>
        <v>45533</v>
      </c>
      <c r="B136" vm="1981">
        <f ca="1"/>
        <v>206.28</v>
      </c>
      <c r="C136" vm="1982">
        <f ca="1"/>
        <v>172.12</v>
      </c>
      <c r="D136" vm="1983">
        <f ca="1"/>
        <v>413.12</v>
      </c>
      <c r="E136" vm="1984">
        <f ca="1"/>
        <v>360.61</v>
      </c>
      <c r="F136" vm="1985">
        <f ca="1"/>
        <v>170.03</v>
      </c>
      <c r="G136" vm="1986">
        <f ca="1"/>
        <v>222.21</v>
      </c>
      <c r="H136" vm="1987">
        <f ca="1"/>
        <v>591.57000000000005</v>
      </c>
      <c r="I136" vm="1988">
        <f ca="1"/>
        <v>118.13</v>
      </c>
      <c r="J136" vm="1989">
        <f ca="1"/>
        <v>19.361999999999998</v>
      </c>
      <c r="K136" vm="1990">
        <f ca="1"/>
        <v>38.79</v>
      </c>
      <c r="L136" vm="1991">
        <f ca="1"/>
        <v>28.72</v>
      </c>
      <c r="M136" vm="1992">
        <f ca="1"/>
        <v>188.35</v>
      </c>
      <c r="N136" vm="1993">
        <f ca="1"/>
        <v>117.59</v>
      </c>
      <c r="O136" vm="1994">
        <f ca="1"/>
        <v>50.39</v>
      </c>
      <c r="P136" vm="1995">
        <f ca="1"/>
        <v>156.93</v>
      </c>
    </row>
    <row r="137" spans="1:16" x14ac:dyDescent="0.25">
      <c r="A137" vm="1996">
        <f ca="1"/>
        <v>45534</v>
      </c>
      <c r="B137" vm="1997">
        <f ca="1"/>
        <v>214.11</v>
      </c>
      <c r="C137" vm="1998">
        <f ca="1"/>
        <v>178.5</v>
      </c>
      <c r="D137" vm="1999">
        <f ca="1"/>
        <v>417.14</v>
      </c>
      <c r="E137" vm="2000">
        <f ca="1"/>
        <v>369.37</v>
      </c>
      <c r="F137" vm="2001">
        <f ca="1"/>
        <v>171.54</v>
      </c>
      <c r="G137" vm="2002">
        <f ca="1"/>
        <v>224.8</v>
      </c>
      <c r="H137" vm="2003">
        <f ca="1"/>
        <v>590.20000000000005</v>
      </c>
      <c r="I137" vm="2004">
        <f ca="1"/>
        <v>117.94</v>
      </c>
      <c r="J137" vm="2005">
        <f ca="1"/>
        <v>19.512</v>
      </c>
      <c r="K137" vm="1215">
        <f ca="1"/>
        <v>38.39</v>
      </c>
      <c r="L137" vm="2006">
        <f ca="1"/>
        <v>29.01</v>
      </c>
      <c r="M137" vm="2007">
        <f ca="1"/>
        <v>188.94</v>
      </c>
      <c r="N137" vm="2008">
        <f ca="1"/>
        <v>119.37</v>
      </c>
      <c r="O137" vm="2009">
        <f ca="1"/>
        <v>50.54</v>
      </c>
      <c r="P137" vm="2010">
        <f ca="1"/>
        <v>162.82</v>
      </c>
    </row>
    <row r="138" spans="1:16" x14ac:dyDescent="0.25">
      <c r="A138" vm="2011">
        <f ca="1"/>
        <v>45538</v>
      </c>
      <c r="B138" vm="2012">
        <f ca="1"/>
        <v>210.6</v>
      </c>
      <c r="C138" vm="2013">
        <f ca="1"/>
        <v>176.25</v>
      </c>
      <c r="D138" vm="2014">
        <f ca="1"/>
        <v>409.44</v>
      </c>
      <c r="E138" vm="2015">
        <f ca="1"/>
        <v>363.75</v>
      </c>
      <c r="F138" vm="2016">
        <f ca="1"/>
        <v>174.52</v>
      </c>
      <c r="G138" vm="2017">
        <f ca="1"/>
        <v>220.3</v>
      </c>
      <c r="H138" vm="2018">
        <f ca="1"/>
        <v>598.67999999999995</v>
      </c>
      <c r="I138" vm="2019">
        <f ca="1"/>
        <v>115.47</v>
      </c>
      <c r="J138" vm="2020">
        <f ca="1"/>
        <v>19.096</v>
      </c>
      <c r="K138" vm="2021">
        <f ca="1"/>
        <v>36.99</v>
      </c>
      <c r="L138" vm="1013">
        <f ca="1"/>
        <v>28.3</v>
      </c>
      <c r="M138" vm="2022">
        <f ca="1"/>
        <v>189.2</v>
      </c>
      <c r="N138" vm="2023">
        <f ca="1"/>
        <v>108</v>
      </c>
      <c r="O138" vm="2024">
        <f ca="1"/>
        <v>50.06</v>
      </c>
      <c r="P138" vm="2025">
        <f ca="1"/>
        <v>152.79</v>
      </c>
    </row>
    <row r="139" spans="1:16" x14ac:dyDescent="0.25">
      <c r="A139" vm="2026">
        <f ca="1"/>
        <v>45539</v>
      </c>
      <c r="B139" vm="2027">
        <f ca="1"/>
        <v>219.41</v>
      </c>
      <c r="C139" vm="2028">
        <f ca="1"/>
        <v>173.33</v>
      </c>
      <c r="D139" vm="2029">
        <f ca="1"/>
        <v>408.9</v>
      </c>
      <c r="E139" vm="2030">
        <f ca="1"/>
        <v>362.7</v>
      </c>
      <c r="F139" vm="272">
        <f ca="1"/>
        <v>175.9</v>
      </c>
      <c r="G139" vm="2031">
        <f ca="1"/>
        <v>219.33</v>
      </c>
      <c r="H139" vm="2032">
        <f ca="1"/>
        <v>604.17999999999995</v>
      </c>
      <c r="I139" vm="2033">
        <f ca="1"/>
        <v>114.06</v>
      </c>
      <c r="J139" vm="2034">
        <f ca="1"/>
        <v>18.891999999999999</v>
      </c>
      <c r="K139" vm="2035">
        <f ca="1"/>
        <v>36.92</v>
      </c>
      <c r="L139" vm="2036">
        <f ca="1"/>
        <v>28.39</v>
      </c>
      <c r="M139" vm="2037">
        <f ca="1"/>
        <v>189.87</v>
      </c>
      <c r="N139" vm="2038">
        <f ca="1"/>
        <v>106.21</v>
      </c>
      <c r="O139" vm="2039">
        <f ca="1"/>
        <v>49.7</v>
      </c>
      <c r="P139" vm="2040">
        <f ca="1"/>
        <v>154.12</v>
      </c>
    </row>
    <row r="140" spans="1:16" x14ac:dyDescent="0.25">
      <c r="A140" vm="2041">
        <f ca="1"/>
        <v>45540</v>
      </c>
      <c r="B140" vm="2042">
        <f ca="1"/>
        <v>230.17</v>
      </c>
      <c r="C140" vm="2043">
        <f ca="1"/>
        <v>177.89</v>
      </c>
      <c r="D140" vm="2044">
        <f ca="1"/>
        <v>408.39</v>
      </c>
      <c r="E140" vm="2045">
        <f ca="1"/>
        <v>360.08</v>
      </c>
      <c r="F140" vm="2046">
        <f ca="1"/>
        <v>175.47</v>
      </c>
      <c r="G140" vm="2047">
        <f ca="1"/>
        <v>217.63</v>
      </c>
      <c r="H140" vm="2048">
        <f ca="1"/>
        <v>595.49</v>
      </c>
      <c r="I140" vm="2049">
        <f ca="1"/>
        <v>113.17</v>
      </c>
      <c r="J140" vm="2050">
        <f ca="1"/>
        <v>18.872</v>
      </c>
      <c r="K140" vm="2051">
        <f ca="1"/>
        <v>36.619999999999997</v>
      </c>
      <c r="L140" vm="2052">
        <f ca="1"/>
        <v>28.51</v>
      </c>
      <c r="M140" vm="2053">
        <f ca="1"/>
        <v>185.76</v>
      </c>
      <c r="N140" vm="2054">
        <f ca="1"/>
        <v>107.21</v>
      </c>
      <c r="O140" vm="108">
        <f ca="1"/>
        <v>49.13</v>
      </c>
      <c r="P140" vm="2055">
        <f ca="1"/>
        <v>152.82</v>
      </c>
    </row>
    <row r="141" spans="1:16" x14ac:dyDescent="0.25">
      <c r="A141" vm="2056">
        <f ca="1"/>
        <v>45541</v>
      </c>
      <c r="B141" vm="2057">
        <f ca="1"/>
        <v>210.73</v>
      </c>
      <c r="C141" vm="2058">
        <f ca="1"/>
        <v>171.39</v>
      </c>
      <c r="D141" vm="2059">
        <f ca="1"/>
        <v>401.7</v>
      </c>
      <c r="E141" vm="2060">
        <f ca="1"/>
        <v>360.83</v>
      </c>
      <c r="F141" vm="2061">
        <f ca="1"/>
        <v>175.59</v>
      </c>
      <c r="G141" vm="2062">
        <f ca="1"/>
        <v>212.46</v>
      </c>
      <c r="H141" vm="2063">
        <f ca="1"/>
        <v>596.88</v>
      </c>
      <c r="I141" vm="2064">
        <f ca="1"/>
        <v>112.64</v>
      </c>
      <c r="J141" vm="2065">
        <f ca="1"/>
        <v>18.010000000000002</v>
      </c>
      <c r="K141" vm="2066">
        <f ca="1"/>
        <v>35.450000000000003</v>
      </c>
      <c r="L141" vm="950">
        <f ca="1"/>
        <v>28.56</v>
      </c>
      <c r="M141" vm="2067">
        <f ca="1"/>
        <v>185.36</v>
      </c>
      <c r="N141" vm="2068">
        <f ca="1"/>
        <v>102.83</v>
      </c>
      <c r="O141" vm="2069">
        <f ca="1"/>
        <v>48.5</v>
      </c>
      <c r="P141" vm="2070">
        <f ca="1"/>
        <v>136.995</v>
      </c>
    </row>
    <row r="142" spans="1:16" x14ac:dyDescent="0.25">
      <c r="A142" vm="2071">
        <f ca="1"/>
        <v>45544</v>
      </c>
      <c r="B142" vm="2072">
        <f ca="1"/>
        <v>216.27</v>
      </c>
      <c r="C142" vm="2073">
        <f ca="1"/>
        <v>175.4</v>
      </c>
      <c r="D142" vm="2074">
        <f ca="1"/>
        <v>405.72</v>
      </c>
      <c r="E142" vm="2075">
        <f ca="1"/>
        <v>363.9</v>
      </c>
      <c r="F142" vm="2076">
        <f ca="1"/>
        <v>176.06</v>
      </c>
      <c r="G142" vm="2077">
        <f ca="1"/>
        <v>216.81</v>
      </c>
      <c r="H142" vm="2078">
        <f ca="1"/>
        <v>594.1</v>
      </c>
      <c r="I142" vm="1602">
        <f ca="1"/>
        <v>115.01</v>
      </c>
      <c r="J142" vm="2079">
        <f ca="1"/>
        <v>18.21</v>
      </c>
      <c r="K142" vm="2080">
        <f ca="1"/>
        <v>35.79</v>
      </c>
      <c r="L142" vm="2081">
        <f ca="1"/>
        <v>29.41</v>
      </c>
      <c r="M142" vm="2082">
        <f ca="1"/>
        <v>187.2</v>
      </c>
      <c r="N142" vm="2083">
        <f ca="1"/>
        <v>106.47</v>
      </c>
      <c r="O142" vm="2084">
        <f ca="1"/>
        <v>48.7</v>
      </c>
      <c r="P142" vm="2085">
        <f ca="1"/>
        <v>140.82</v>
      </c>
    </row>
    <row r="143" spans="1:16" x14ac:dyDescent="0.25">
      <c r="A143" vm="2086">
        <f ca="1"/>
        <v>45545</v>
      </c>
      <c r="B143" vm="2087">
        <f ca="1"/>
        <v>226.17</v>
      </c>
      <c r="C143" vm="2088">
        <f ca="1"/>
        <v>179.55</v>
      </c>
      <c r="D143" vm="2089">
        <f ca="1"/>
        <v>414.2</v>
      </c>
      <c r="E143" vm="2090">
        <f ca="1"/>
        <v>371.85</v>
      </c>
      <c r="F143" vm="2091">
        <f ca="1"/>
        <v>177.79</v>
      </c>
      <c r="G143" vm="2092">
        <f ca="1"/>
        <v>205.56</v>
      </c>
      <c r="H143" vm="2093">
        <f ca="1"/>
        <v>599.03</v>
      </c>
      <c r="I143" vm="2094">
        <f ca="1"/>
        <v>110.82</v>
      </c>
      <c r="J143" vm="2095">
        <f ca="1"/>
        <v>18.596</v>
      </c>
      <c r="K143" vm="2096">
        <f ca="1"/>
        <v>35.979999999999997</v>
      </c>
      <c r="L143" vm="1725">
        <f ca="1"/>
        <v>29.74</v>
      </c>
      <c r="M143" vm="2097">
        <f ca="1"/>
        <v>184.87</v>
      </c>
      <c r="N143" vm="2098">
        <f ca="1"/>
        <v>108.1</v>
      </c>
      <c r="O143" vm="2099">
        <f ca="1"/>
        <v>48.79</v>
      </c>
      <c r="P143" vm="2100">
        <f ca="1"/>
        <v>148.21</v>
      </c>
    </row>
    <row r="144" spans="1:16" x14ac:dyDescent="0.25">
      <c r="A144" vm="2101">
        <f ca="1"/>
        <v>45546</v>
      </c>
      <c r="B144" vm="2102">
        <f ca="1"/>
        <v>228.13</v>
      </c>
      <c r="C144" vm="2103">
        <f ca="1"/>
        <v>184.52</v>
      </c>
      <c r="D144" vm="2104">
        <f ca="1"/>
        <v>423.04</v>
      </c>
      <c r="E144" vm="2105">
        <f ca="1"/>
        <v>371.6</v>
      </c>
      <c r="F144" vm="2106">
        <f ca="1"/>
        <v>173.92</v>
      </c>
      <c r="G144" vm="2107">
        <f ca="1"/>
        <v>207.23</v>
      </c>
      <c r="H144" vm="2108">
        <f ca="1"/>
        <v>589.75</v>
      </c>
      <c r="I144" vm="2109">
        <f ca="1"/>
        <v>109.72</v>
      </c>
      <c r="J144" vm="2110">
        <f ca="1"/>
        <v>18.754000000000001</v>
      </c>
      <c r="K144" vm="2111">
        <f ca="1"/>
        <v>36.22</v>
      </c>
      <c r="L144" vm="2112">
        <f ca="1"/>
        <v>29.66</v>
      </c>
      <c r="M144" vm="2113">
        <f ca="1"/>
        <v>184.39</v>
      </c>
      <c r="N144" vm="2114">
        <f ca="1"/>
        <v>116.91</v>
      </c>
      <c r="O144" vm="2115">
        <f ca="1"/>
        <v>49.11</v>
      </c>
      <c r="P144" vm="2116">
        <f ca="1"/>
        <v>158.27000000000001</v>
      </c>
    </row>
    <row r="145" spans="1:16" x14ac:dyDescent="0.25">
      <c r="A145" vm="2117">
        <f ca="1"/>
        <v>45547</v>
      </c>
      <c r="B145" vm="2118">
        <f ca="1"/>
        <v>229.81</v>
      </c>
      <c r="C145" vm="2119">
        <f ca="1"/>
        <v>187</v>
      </c>
      <c r="D145" vm="973">
        <f ca="1"/>
        <v>427</v>
      </c>
      <c r="E145" vm="2120">
        <f ca="1"/>
        <v>373.97</v>
      </c>
      <c r="F145" vm="2121">
        <f ca="1"/>
        <v>173.47</v>
      </c>
      <c r="G145" vm="2122">
        <f ca="1"/>
        <v>206.6</v>
      </c>
      <c r="H145" vm="2123">
        <f ca="1"/>
        <v>588.41999999999996</v>
      </c>
      <c r="I145" vm="2124">
        <f ca="1"/>
        <v>111.23</v>
      </c>
      <c r="J145" vm="2125">
        <f ca="1"/>
        <v>18.724</v>
      </c>
      <c r="K145" vm="1711">
        <f ca="1"/>
        <v>36.07</v>
      </c>
      <c r="L145" vm="2126">
        <f ca="1"/>
        <v>29.16</v>
      </c>
      <c r="M145" vm="1254">
        <f ca="1"/>
        <v>186.1</v>
      </c>
      <c r="N145" vm="2127">
        <f ca="1"/>
        <v>119.14</v>
      </c>
      <c r="O145" vm="2128">
        <f ca="1"/>
        <v>49.61</v>
      </c>
      <c r="P145" vm="2129">
        <f ca="1"/>
        <v>164.56</v>
      </c>
    </row>
    <row r="146" spans="1:16" x14ac:dyDescent="0.25">
      <c r="A146" vm="2130">
        <f ca="1"/>
        <v>45548</v>
      </c>
      <c r="B146" vm="2131">
        <f ca="1"/>
        <v>230.29</v>
      </c>
      <c r="C146" vm="2132">
        <f ca="1"/>
        <v>186.49</v>
      </c>
      <c r="D146" vm="2133">
        <f ca="1"/>
        <v>430.59</v>
      </c>
      <c r="E146" vm="2134">
        <f ca="1"/>
        <v>375.4</v>
      </c>
      <c r="F146" vm="2135">
        <f ca="1"/>
        <v>174.08</v>
      </c>
      <c r="G146" vm="2136">
        <f ca="1"/>
        <v>204.32</v>
      </c>
      <c r="H146" vm="2137">
        <f ca="1"/>
        <v>594.32000000000005</v>
      </c>
      <c r="I146" vm="2138">
        <f ca="1"/>
        <v>111.15</v>
      </c>
      <c r="J146" vm="2139">
        <f ca="1"/>
        <v>18.687999999999999</v>
      </c>
      <c r="K146" vm="2140">
        <f ca="1"/>
        <v>36.049999999999997</v>
      </c>
      <c r="L146" vm="2141">
        <f ca="1"/>
        <v>29.27</v>
      </c>
      <c r="M146" vm="2142">
        <f ca="1"/>
        <v>188.3</v>
      </c>
      <c r="N146" vm="2143">
        <f ca="1"/>
        <v>119.1</v>
      </c>
      <c r="O146" vm="2144">
        <f ca="1"/>
        <v>49.8</v>
      </c>
      <c r="P146" vm="2145">
        <f ca="1"/>
        <v>167.69</v>
      </c>
    </row>
    <row r="147" spans="1:16" x14ac:dyDescent="0.25">
      <c r="A147" vm="2146">
        <f ca="1"/>
        <v>45551</v>
      </c>
      <c r="B147" vm="2147">
        <f ca="1"/>
        <v>226.78</v>
      </c>
      <c r="C147" vm="2148">
        <f ca="1"/>
        <v>184.89</v>
      </c>
      <c r="D147" vm="2149">
        <f ca="1"/>
        <v>431.34</v>
      </c>
      <c r="E147" vm="2150">
        <f ca="1"/>
        <v>379.06</v>
      </c>
      <c r="F147" vm="2151">
        <f ca="1"/>
        <v>177.24</v>
      </c>
      <c r="G147" vm="2152">
        <f ca="1"/>
        <v>207.86</v>
      </c>
      <c r="H147" vm="2153">
        <f ca="1"/>
        <v>589.14</v>
      </c>
      <c r="I147" vm="2154">
        <f ca="1"/>
        <v>112.71</v>
      </c>
      <c r="J147" vm="2155">
        <f ca="1"/>
        <v>18.622</v>
      </c>
      <c r="K147" vm="2156">
        <f ca="1"/>
        <v>36.119999999999997</v>
      </c>
      <c r="L147" vm="2157">
        <f ca="1"/>
        <v>30.07</v>
      </c>
      <c r="M147" vm="2158">
        <f ca="1"/>
        <v>190.56</v>
      </c>
      <c r="N147" vm="2159">
        <f ca="1"/>
        <v>116.78</v>
      </c>
      <c r="O147" vm="2160">
        <f ca="1"/>
        <v>51.03</v>
      </c>
      <c r="P147" vm="2161">
        <f ca="1"/>
        <v>164.02</v>
      </c>
    </row>
    <row r="148" spans="1:16" x14ac:dyDescent="0.25">
      <c r="A148" vm="2162">
        <f ca="1"/>
        <v>45552</v>
      </c>
      <c r="B148" vm="2163">
        <f ca="1"/>
        <v>227.87</v>
      </c>
      <c r="C148" vm="2164">
        <f ca="1"/>
        <v>186.88</v>
      </c>
      <c r="D148" vm="2165">
        <f ca="1"/>
        <v>435.15</v>
      </c>
      <c r="E148" vm="2166">
        <f ca="1"/>
        <v>378</v>
      </c>
      <c r="F148" vm="2167">
        <f ca="1"/>
        <v>175.88</v>
      </c>
      <c r="G148" vm="2168">
        <f ca="1"/>
        <v>209.25</v>
      </c>
      <c r="H148" vm="2169">
        <f ca="1"/>
        <v>577.96</v>
      </c>
      <c r="I148" vm="1382">
        <f ca="1"/>
        <v>114.18</v>
      </c>
      <c r="J148" vm="2170">
        <f ca="1"/>
        <v>18.11</v>
      </c>
      <c r="K148" vm="1472">
        <f ca="1"/>
        <v>35.880000000000003</v>
      </c>
      <c r="L148" vm="2171">
        <f ca="1"/>
        <v>29.83</v>
      </c>
      <c r="M148" vm="2172">
        <f ca="1"/>
        <v>190.26</v>
      </c>
      <c r="N148" vm="2173">
        <f ca="1"/>
        <v>115.59</v>
      </c>
      <c r="O148" vm="2174">
        <f ca="1"/>
        <v>50.61</v>
      </c>
      <c r="P148" vm="2175">
        <f ca="1"/>
        <v>162.47</v>
      </c>
    </row>
    <row r="149" spans="1:16" x14ac:dyDescent="0.25">
      <c r="A149" vm="2176">
        <f ca="1"/>
        <v>45553</v>
      </c>
      <c r="B149" vm="2177">
        <f ca="1"/>
        <v>227.2</v>
      </c>
      <c r="C149" vm="2178">
        <f ca="1"/>
        <v>186.43</v>
      </c>
      <c r="D149" vm="2179">
        <f ca="1"/>
        <v>430.81</v>
      </c>
      <c r="E149" vm="2180">
        <f ca="1"/>
        <v>375.31</v>
      </c>
      <c r="F149" vm="2106">
        <f ca="1"/>
        <v>173.92</v>
      </c>
      <c r="G149" vm="2181">
        <f ca="1"/>
        <v>207.53</v>
      </c>
      <c r="H149" vm="1884">
        <f ca="1"/>
        <v>580.65</v>
      </c>
      <c r="I149" vm="1885">
        <f ca="1"/>
        <v>114.58</v>
      </c>
      <c r="J149" vm="2182">
        <f ca="1"/>
        <v>18.097999999999999</v>
      </c>
      <c r="K149" vm="2183">
        <f ca="1"/>
        <v>35.814999999999998</v>
      </c>
      <c r="L149" vm="2184">
        <f ca="1"/>
        <v>29.75</v>
      </c>
      <c r="M149" vm="2185">
        <f ca="1"/>
        <v>191.01</v>
      </c>
      <c r="N149" vm="1410">
        <f ca="1"/>
        <v>113.37</v>
      </c>
      <c r="O149" vm="2186">
        <f ca="1"/>
        <v>50.57</v>
      </c>
      <c r="P149" vm="2187">
        <f ca="1"/>
        <v>161.66999999999999</v>
      </c>
    </row>
    <row r="150" spans="1:16" x14ac:dyDescent="0.25">
      <c r="A150" vm="2188">
        <f ca="1"/>
        <v>45554</v>
      </c>
      <c r="B150" vm="2189">
        <f ca="1"/>
        <v>243.92</v>
      </c>
      <c r="C150" vm="2037">
        <f ca="1"/>
        <v>189.87</v>
      </c>
      <c r="D150" vm="2190">
        <f ca="1"/>
        <v>438.69</v>
      </c>
      <c r="E150" vm="2191">
        <f ca="1"/>
        <v>379.75</v>
      </c>
      <c r="F150" vm="2001">
        <f ca="1"/>
        <v>171.54</v>
      </c>
      <c r="G150" vm="2192">
        <f ca="1"/>
        <v>210.48</v>
      </c>
      <c r="H150" vm="2193">
        <f ca="1"/>
        <v>577.07000000000005</v>
      </c>
      <c r="I150" vm="768">
        <f ca="1"/>
        <v>116</v>
      </c>
      <c r="J150" vm="2194">
        <f ca="1"/>
        <v>18.646000000000001</v>
      </c>
      <c r="K150" vm="2195">
        <f ca="1"/>
        <v>37.29</v>
      </c>
      <c r="L150" vm="2112">
        <f ca="1"/>
        <v>29.66</v>
      </c>
      <c r="M150" vm="2196">
        <f ca="1"/>
        <v>190.68</v>
      </c>
      <c r="N150" vm="903">
        <f ca="1"/>
        <v>117.87</v>
      </c>
      <c r="O150" vm="2197">
        <f ca="1"/>
        <v>51.44</v>
      </c>
      <c r="P150" vm="2198">
        <f ca="1"/>
        <v>167.42</v>
      </c>
    </row>
    <row r="151" spans="1:16" x14ac:dyDescent="0.25">
      <c r="A151" vm="2199">
        <f ca="1"/>
        <v>45555</v>
      </c>
      <c r="B151" vm="2200">
        <f ca="1"/>
        <v>238.25</v>
      </c>
      <c r="C151" vm="2201">
        <f ca="1"/>
        <v>191.6</v>
      </c>
      <c r="D151" vm="2202">
        <f ca="1"/>
        <v>435.27</v>
      </c>
      <c r="E151" vm="2203">
        <f ca="1"/>
        <v>378.52</v>
      </c>
      <c r="F151" vm="2204">
        <f ca="1"/>
        <v>174.22</v>
      </c>
      <c r="G151" vm="2205">
        <f ca="1"/>
        <v>211.09</v>
      </c>
      <c r="H151" vm="2206">
        <f ca="1"/>
        <v>575</v>
      </c>
      <c r="I151" vm="1574">
        <f ca="1"/>
        <v>115.27</v>
      </c>
      <c r="J151" vm="2207">
        <f ca="1"/>
        <v>18.617999999999999</v>
      </c>
      <c r="K151" vm="2208">
        <f ca="1"/>
        <v>36.5</v>
      </c>
      <c r="L151" vm="2209">
        <f ca="1"/>
        <v>29.42</v>
      </c>
      <c r="M151" vm="2210">
        <f ca="1"/>
        <v>191</v>
      </c>
      <c r="N151" vm="768">
        <f ca="1"/>
        <v>116</v>
      </c>
      <c r="O151" vm="2211">
        <f ca="1"/>
        <v>51.97</v>
      </c>
      <c r="P151" vm="2212">
        <f ca="1"/>
        <v>171.1</v>
      </c>
    </row>
    <row r="152" spans="1:16" x14ac:dyDescent="0.25">
      <c r="A152" vm="2213">
        <f ca="1"/>
        <v>45558</v>
      </c>
      <c r="B152" vm="2214">
        <f ca="1"/>
        <v>250</v>
      </c>
      <c r="C152" vm="2215">
        <f ca="1"/>
        <v>193.88</v>
      </c>
      <c r="D152" vm="2216">
        <f ca="1"/>
        <v>433.51</v>
      </c>
      <c r="E152" vm="2217">
        <f ca="1"/>
        <v>381.87</v>
      </c>
      <c r="F152" vm="2218">
        <f ca="1"/>
        <v>173.77</v>
      </c>
      <c r="G152" vm="2219">
        <f ca="1"/>
        <v>211.44</v>
      </c>
      <c r="H152" vm="2220">
        <f ca="1"/>
        <v>573.41</v>
      </c>
      <c r="I152" vm="2221">
        <f ca="1"/>
        <v>117.36</v>
      </c>
      <c r="J152" vm="2222">
        <f ca="1"/>
        <v>18.841999999999999</v>
      </c>
      <c r="K152" vm="2223">
        <f ca="1"/>
        <v>37.03</v>
      </c>
      <c r="L152" vm="1077">
        <f ca="1"/>
        <v>29.31</v>
      </c>
      <c r="M152" vm="2224">
        <f ca="1"/>
        <v>192.89</v>
      </c>
      <c r="N152" vm="2225">
        <f ca="1"/>
        <v>116.26</v>
      </c>
      <c r="O152" vm="2226">
        <f ca="1"/>
        <v>52.19</v>
      </c>
      <c r="P152" vm="2227">
        <f ca="1"/>
        <v>172.94</v>
      </c>
    </row>
    <row r="153" spans="1:16" x14ac:dyDescent="0.25">
      <c r="A153" vm="2228">
        <f ca="1"/>
        <v>45559</v>
      </c>
      <c r="B153" vm="2229">
        <f ca="1"/>
        <v>254.27</v>
      </c>
      <c r="C153" vm="2230">
        <f ca="1"/>
        <v>193.96</v>
      </c>
      <c r="D153" vm="1021">
        <f ca="1"/>
        <v>429.17</v>
      </c>
      <c r="E153" vm="2231">
        <f ca="1"/>
        <v>381.56</v>
      </c>
      <c r="F153" vm="2232">
        <f ca="1"/>
        <v>173.24</v>
      </c>
      <c r="G153" vm="2233">
        <f ca="1"/>
        <v>211.59</v>
      </c>
      <c r="H153" vm="2234">
        <f ca="1"/>
        <v>575.19000000000005</v>
      </c>
      <c r="I153" vm="2235">
        <f ca="1"/>
        <v>117.05</v>
      </c>
      <c r="J153" vm="2236">
        <f ca="1"/>
        <v>19.111999999999998</v>
      </c>
      <c r="K153" vm="2237">
        <f ca="1"/>
        <v>37.619999999999997</v>
      </c>
      <c r="L153" vm="1516">
        <f ca="1"/>
        <v>29.5</v>
      </c>
      <c r="M153" vm="2238">
        <f ca="1"/>
        <v>191.82</v>
      </c>
      <c r="N153" vm="2239">
        <f ca="1"/>
        <v>120.87</v>
      </c>
      <c r="O153" vm="2240">
        <f ca="1"/>
        <v>52.52</v>
      </c>
      <c r="P153" vm="896">
        <f ca="1"/>
        <v>174.84</v>
      </c>
    </row>
    <row r="154" spans="1:16" x14ac:dyDescent="0.25">
      <c r="A154" vm="2241">
        <f ca="1"/>
        <v>45560</v>
      </c>
      <c r="B154" vm="2242">
        <f ca="1"/>
        <v>257.02</v>
      </c>
      <c r="C154" vm="2243">
        <f ca="1"/>
        <v>192.53</v>
      </c>
      <c r="D154" vm="2244">
        <f ca="1"/>
        <v>432.11</v>
      </c>
      <c r="E154" vm="2245">
        <f ca="1"/>
        <v>381.18</v>
      </c>
      <c r="F154" vm="2246">
        <f ca="1"/>
        <v>172.26</v>
      </c>
      <c r="G154" vm="2247">
        <f ca="1"/>
        <v>210.19</v>
      </c>
      <c r="H154" vm="2248">
        <f ca="1"/>
        <v>576.30999999999995</v>
      </c>
      <c r="I154" vm="1723">
        <f ca="1"/>
        <v>114.77</v>
      </c>
      <c r="J154" vm="2249">
        <f ca="1"/>
        <v>19.202000000000002</v>
      </c>
      <c r="K154" vm="2250">
        <f ca="1"/>
        <v>37.020000000000003</v>
      </c>
      <c r="L154" vm="2251">
        <f ca="1"/>
        <v>28.93</v>
      </c>
      <c r="M154" vm="2252">
        <f ca="1"/>
        <v>190</v>
      </c>
      <c r="N154" vm="2253">
        <f ca="1"/>
        <v>123.51</v>
      </c>
      <c r="O154" vm="2254">
        <f ca="1"/>
        <v>52.65</v>
      </c>
      <c r="P154" vm="2255">
        <f ca="1"/>
        <v>175.52</v>
      </c>
    </row>
    <row r="155" spans="1:16" x14ac:dyDescent="0.25">
      <c r="A155" vm="2256">
        <f ca="1"/>
        <v>45561</v>
      </c>
      <c r="B155" vm="2257">
        <f ca="1"/>
        <v>254.22</v>
      </c>
      <c r="C155" vm="2258">
        <f ca="1"/>
        <v>191.16</v>
      </c>
      <c r="D155" vm="2259">
        <f ca="1"/>
        <v>431.31</v>
      </c>
      <c r="E155" vm="2260">
        <f ca="1"/>
        <v>383.93</v>
      </c>
      <c r="F155" vm="2261">
        <f ca="1"/>
        <v>173.21</v>
      </c>
      <c r="G155" vm="1556">
        <f ca="1"/>
        <v>209.78</v>
      </c>
      <c r="H155" vm="2262">
        <f ca="1"/>
        <v>574.80999999999995</v>
      </c>
      <c r="I155" vm="2263">
        <f ca="1"/>
        <v>112.8</v>
      </c>
      <c r="J155" vm="2264">
        <f ca="1"/>
        <v>19.73</v>
      </c>
      <c r="K155" vm="2265">
        <f ca="1"/>
        <v>37.6</v>
      </c>
      <c r="L155" vm="2266">
        <f ca="1"/>
        <v>28.97</v>
      </c>
      <c r="M155" vm="2267">
        <f ca="1"/>
        <v>188.69</v>
      </c>
      <c r="N155" vm="2268">
        <f ca="1"/>
        <v>124.04</v>
      </c>
      <c r="O155" vm="2269">
        <f ca="1"/>
        <v>52.85</v>
      </c>
      <c r="P155" vm="2270">
        <f ca="1"/>
        <v>178.09</v>
      </c>
    </row>
    <row r="156" spans="1:16" x14ac:dyDescent="0.25">
      <c r="A156" vm="2271">
        <f ca="1"/>
        <v>45562</v>
      </c>
      <c r="B156" vm="2272">
        <f ca="1"/>
        <v>260.45999999999998</v>
      </c>
      <c r="C156" vm="228">
        <f ca="1"/>
        <v>187.97</v>
      </c>
      <c r="D156" vm="2273">
        <f ca="1"/>
        <v>428.02</v>
      </c>
      <c r="E156" vm="2274">
        <f ca="1"/>
        <v>382.73</v>
      </c>
      <c r="F156" vm="2275">
        <f ca="1"/>
        <v>173.55</v>
      </c>
      <c r="G156" vm="2276">
        <f ca="1"/>
        <v>210.5</v>
      </c>
      <c r="H156" vm="2277">
        <f ca="1"/>
        <v>581.85</v>
      </c>
      <c r="I156" vm="2278">
        <f ca="1"/>
        <v>115.82</v>
      </c>
      <c r="J156" vm="2279">
        <f ca="1"/>
        <v>19.231999999999999</v>
      </c>
      <c r="K156" vm="2280">
        <f ca="1"/>
        <v>37.229999999999997</v>
      </c>
      <c r="L156" vm="2281">
        <f ca="1"/>
        <v>29.09</v>
      </c>
      <c r="M156" vm="2282">
        <f ca="1"/>
        <v>188.36</v>
      </c>
      <c r="N156" vm="2283">
        <f ca="1"/>
        <v>121.4</v>
      </c>
      <c r="O156" vm="2284">
        <f ca="1"/>
        <v>53.02</v>
      </c>
      <c r="P156" vm="2285">
        <f ca="1"/>
        <v>172.69</v>
      </c>
    </row>
    <row r="157" spans="1:16" x14ac:dyDescent="0.25">
      <c r="A157" vm="2286">
        <f ca="1"/>
        <v>45565</v>
      </c>
      <c r="B157" vm="2287">
        <f ca="1"/>
        <v>261.63</v>
      </c>
      <c r="C157" vm="2288">
        <f ca="1"/>
        <v>186.33</v>
      </c>
      <c r="D157" vm="2289">
        <f ca="1"/>
        <v>430.3</v>
      </c>
      <c r="E157" vm="2290">
        <f ca="1"/>
        <v>381.67</v>
      </c>
      <c r="F157" vm="2291">
        <f ca="1"/>
        <v>173.2</v>
      </c>
      <c r="G157" vm="2292">
        <f ca="1"/>
        <v>210.86</v>
      </c>
      <c r="H157" vm="2293">
        <f ca="1"/>
        <v>584.67999999999995</v>
      </c>
      <c r="I157" vm="2294">
        <f ca="1"/>
        <v>117.22</v>
      </c>
      <c r="J157" vm="2295">
        <f ca="1"/>
        <v>19.314</v>
      </c>
      <c r="K157" vm="2296">
        <f ca="1"/>
        <v>36.53</v>
      </c>
      <c r="L157" vm="2297">
        <f ca="1"/>
        <v>28.94</v>
      </c>
      <c r="M157" vm="2298">
        <f ca="1"/>
        <v>189.65</v>
      </c>
      <c r="N157" vm="2299">
        <f ca="1"/>
        <v>121.44</v>
      </c>
      <c r="O157" vm="2300">
        <f ca="1"/>
        <v>53.22</v>
      </c>
      <c r="P157" vm="2301">
        <f ca="1"/>
        <v>172.5</v>
      </c>
    </row>
    <row r="158" spans="1:16" x14ac:dyDescent="0.25">
      <c r="A158" vm="2302">
        <f ca="1"/>
        <v>45566</v>
      </c>
      <c r="B158" vm="2303">
        <f ca="1"/>
        <v>258.02</v>
      </c>
      <c r="C158" vm="2304">
        <f ca="1"/>
        <v>185.13</v>
      </c>
      <c r="D158" vm="2305">
        <f ca="1"/>
        <v>420.69</v>
      </c>
      <c r="E158" vm="2306">
        <f ca="1"/>
        <v>380.58</v>
      </c>
      <c r="F158" vm="2307">
        <f ca="1"/>
        <v>173.04</v>
      </c>
      <c r="G158" vm="2308">
        <f ca="1"/>
        <v>207.04</v>
      </c>
      <c r="H158" vm="2309">
        <f ca="1"/>
        <v>583.29999999999995</v>
      </c>
      <c r="I158" vm="2310">
        <f ca="1"/>
        <v>119.93</v>
      </c>
      <c r="J158" vm="2311">
        <f ca="1"/>
        <v>19.36</v>
      </c>
      <c r="K158" vm="1560">
        <f ca="1"/>
        <v>35.74</v>
      </c>
      <c r="L158" vm="2312">
        <f ca="1"/>
        <v>28.67</v>
      </c>
      <c r="M158" vm="2313">
        <f ca="1"/>
        <v>189.88</v>
      </c>
      <c r="N158" vm="2314">
        <f ca="1"/>
        <v>117</v>
      </c>
      <c r="O158" vm="2315">
        <f ca="1"/>
        <v>52.74</v>
      </c>
      <c r="P158" vm="2316">
        <f ca="1"/>
        <v>167.47</v>
      </c>
    </row>
    <row r="159" spans="1:16" x14ac:dyDescent="0.25">
      <c r="A159" vm="2317">
        <f ca="1"/>
        <v>45567</v>
      </c>
      <c r="B159" vm="2318">
        <f ca="1"/>
        <v>249.02</v>
      </c>
      <c r="C159" vm="777">
        <f ca="1"/>
        <v>184.76</v>
      </c>
      <c r="D159" vm="2319">
        <f ca="1"/>
        <v>417.13</v>
      </c>
      <c r="E159" vm="2320">
        <f ca="1"/>
        <v>378.16</v>
      </c>
      <c r="F159" vm="2321">
        <f ca="1"/>
        <v>171.92</v>
      </c>
      <c r="G159" vm="2322">
        <f ca="1"/>
        <v>207.29</v>
      </c>
      <c r="H159" vm="2323">
        <f ca="1"/>
        <v>592.30999999999995</v>
      </c>
      <c r="I159" vm="2324">
        <f ca="1"/>
        <v>121.52</v>
      </c>
      <c r="J159" vm="2325">
        <f ca="1"/>
        <v>18.989999999999998</v>
      </c>
      <c r="K159" vm="2326">
        <f ca="1"/>
        <v>35.11</v>
      </c>
      <c r="L159" vm="2327">
        <f ca="1"/>
        <v>28.61</v>
      </c>
      <c r="M159" vm="2328">
        <f ca="1"/>
        <v>190.22</v>
      </c>
      <c r="N159" vm="1783">
        <f ca="1"/>
        <v>118.85</v>
      </c>
      <c r="O159" vm="2329">
        <f ca="1"/>
        <v>52.62</v>
      </c>
      <c r="P159" vm="1159">
        <f ca="1"/>
        <v>170.66</v>
      </c>
    </row>
    <row r="160" spans="1:16" x14ac:dyDescent="0.25">
      <c r="A160" vm="2330">
        <f ca="1"/>
        <v>45568</v>
      </c>
      <c r="B160" vm="2331">
        <f ca="1"/>
        <v>240.66</v>
      </c>
      <c r="C160" vm="2332">
        <f ca="1"/>
        <v>181.96</v>
      </c>
      <c r="D160" vm="2333">
        <f ca="1"/>
        <v>416.54</v>
      </c>
      <c r="E160" vm="2334">
        <f ca="1"/>
        <v>373.1</v>
      </c>
      <c r="F160" vm="2335">
        <f ca="1"/>
        <v>170.12</v>
      </c>
      <c r="G160" vm="2336">
        <f ca="1"/>
        <v>205.23</v>
      </c>
      <c r="H160" vm="2337">
        <f ca="1"/>
        <v>592.75</v>
      </c>
      <c r="I160" vm="2338">
        <f ca="1"/>
        <v>122.58</v>
      </c>
      <c r="J160" vm="2339">
        <f ca="1"/>
        <v>18.8</v>
      </c>
      <c r="K160" vm="2340">
        <f ca="1"/>
        <v>34.78</v>
      </c>
      <c r="L160" vm="2341">
        <f ca="1"/>
        <v>28.34</v>
      </c>
      <c r="M160" vm="2342">
        <f ca="1"/>
        <v>187.84</v>
      </c>
      <c r="N160" vm="2343">
        <f ca="1"/>
        <v>122.85</v>
      </c>
      <c r="O160" vm="2344">
        <f ca="1"/>
        <v>52.43</v>
      </c>
      <c r="P160" vm="850">
        <f ca="1"/>
        <v>171.89</v>
      </c>
    </row>
    <row r="161" spans="1:16" x14ac:dyDescent="0.25">
      <c r="A161" vm="2345">
        <f ca="1"/>
        <v>45569</v>
      </c>
      <c r="B161" vm="2346">
        <f ca="1"/>
        <v>250.08</v>
      </c>
      <c r="C161" vm="2347">
        <f ca="1"/>
        <v>186.51</v>
      </c>
      <c r="D161" vm="2348">
        <f ca="1"/>
        <v>416.06</v>
      </c>
      <c r="E161" vm="2349">
        <f ca="1"/>
        <v>371.3</v>
      </c>
      <c r="F161" vm="2350">
        <f ca="1"/>
        <v>168.88</v>
      </c>
      <c r="G161" vm="2351">
        <f ca="1"/>
        <v>211.22</v>
      </c>
      <c r="H161" vm="2352">
        <f ca="1"/>
        <v>591.20000000000005</v>
      </c>
      <c r="I161" vm="2353">
        <f ca="1"/>
        <v>124.83</v>
      </c>
      <c r="J161" vm="2354">
        <f ca="1"/>
        <v>18.97</v>
      </c>
      <c r="K161" vm="2355">
        <f ca="1"/>
        <v>34.979999999999997</v>
      </c>
      <c r="L161" vm="1138">
        <f ca="1"/>
        <v>28.58</v>
      </c>
      <c r="M161" vm="2356">
        <f ca="1"/>
        <v>190.57</v>
      </c>
      <c r="N161" vm="27">
        <f ca="1"/>
        <v>124.92</v>
      </c>
      <c r="O161" vm="2357">
        <f ca="1"/>
        <v>52.75</v>
      </c>
      <c r="P161" vm="2358">
        <f ca="1"/>
        <v>176.64</v>
      </c>
    </row>
    <row r="162" spans="1:16" x14ac:dyDescent="0.25">
      <c r="A162" vm="2359">
        <f ca="1"/>
        <v>45572</v>
      </c>
      <c r="B162" vm="2360">
        <f ca="1"/>
        <v>240.83</v>
      </c>
      <c r="C162" vm="569">
        <f ca="1"/>
        <v>180.8</v>
      </c>
      <c r="D162" vm="2361">
        <f ca="1"/>
        <v>409.54</v>
      </c>
      <c r="E162" vm="2362">
        <f ca="1"/>
        <v>367.78</v>
      </c>
      <c r="F162" vm="2363">
        <f ca="1"/>
        <v>167.12</v>
      </c>
      <c r="G162" vm="2364">
        <f ca="1"/>
        <v>210.93</v>
      </c>
      <c r="H162" vm="2365">
        <f ca="1"/>
        <v>583.55999999999995</v>
      </c>
      <c r="I162" vm="2366">
        <f ca="1"/>
        <v>125.37</v>
      </c>
      <c r="J162" vm="2367">
        <f ca="1"/>
        <v>19.132000000000001</v>
      </c>
      <c r="K162" vm="2368">
        <f ca="1"/>
        <v>34.74</v>
      </c>
      <c r="L162" vm="2369">
        <f ca="1"/>
        <v>29.2</v>
      </c>
      <c r="M162" vm="600">
        <f ca="1"/>
        <v>181.25</v>
      </c>
      <c r="N162" vm="2370">
        <f ca="1"/>
        <v>127.72</v>
      </c>
      <c r="O162" vm="2371">
        <f ca="1"/>
        <v>52.51</v>
      </c>
      <c r="P162" vm="2372">
        <f ca="1"/>
        <v>175.08</v>
      </c>
    </row>
    <row r="163" spans="1:16" x14ac:dyDescent="0.25">
      <c r="A163" vm="2373">
        <f ca="1"/>
        <v>45573</v>
      </c>
      <c r="B163" vm="2374">
        <f ca="1"/>
        <v>244.5</v>
      </c>
      <c r="C163" vm="2375">
        <f ca="1"/>
        <v>182.72</v>
      </c>
      <c r="D163" vm="2376">
        <f ca="1"/>
        <v>414.71</v>
      </c>
      <c r="E163" vm="2377">
        <f ca="1"/>
        <v>373.4</v>
      </c>
      <c r="F163" vm="2378">
        <f ca="1"/>
        <v>168.16</v>
      </c>
      <c r="G163" vm="2379">
        <f ca="1"/>
        <v>210.75</v>
      </c>
      <c r="H163" vm="2380">
        <f ca="1"/>
        <v>581.58000000000004</v>
      </c>
      <c r="I163" vm="2381">
        <f ca="1"/>
        <v>122.04</v>
      </c>
      <c r="J163" vm="2382">
        <f ca="1"/>
        <v>19.027999999999999</v>
      </c>
      <c r="K163" vm="2383">
        <f ca="1"/>
        <v>34.68</v>
      </c>
      <c r="L163" vm="2384">
        <f ca="1"/>
        <v>29.18</v>
      </c>
      <c r="M163" vm="2385">
        <f ca="1"/>
        <v>182.87</v>
      </c>
      <c r="N163" vm="2386">
        <f ca="1"/>
        <v>132.88999999999999</v>
      </c>
      <c r="O163" vm="2387">
        <f ca="1"/>
        <v>52.73</v>
      </c>
      <c r="P163" vm="2388">
        <f ca="1"/>
        <v>180.73</v>
      </c>
    </row>
    <row r="164" spans="1:16" x14ac:dyDescent="0.25">
      <c r="A164" vm="2389">
        <f ca="1"/>
        <v>45574</v>
      </c>
      <c r="B164" vm="2390">
        <f ca="1"/>
        <v>241.05</v>
      </c>
      <c r="C164" vm="2391">
        <f ca="1"/>
        <v>185.17</v>
      </c>
      <c r="D164" vm="2392">
        <f ca="1"/>
        <v>417.46</v>
      </c>
      <c r="E164" vm="2393">
        <f ca="1"/>
        <v>378.96</v>
      </c>
      <c r="F164" vm="2394">
        <f ca="1"/>
        <v>169.27</v>
      </c>
      <c r="G164" vm="2395">
        <f ca="1"/>
        <v>213.42</v>
      </c>
      <c r="H164" vm="2396">
        <f ca="1"/>
        <v>591.22</v>
      </c>
      <c r="I164" vm="2397">
        <f ca="1"/>
        <v>122.09</v>
      </c>
      <c r="J164" vm="2398">
        <f ca="1"/>
        <v>19.05</v>
      </c>
      <c r="K164" vm="2399">
        <f ca="1"/>
        <v>34.86</v>
      </c>
      <c r="L164" vm="2400">
        <f ca="1"/>
        <v>30.19</v>
      </c>
      <c r="M164" vm="2401">
        <f ca="1"/>
        <v>184.91</v>
      </c>
      <c r="N164" vm="2402">
        <f ca="1"/>
        <v>132.65</v>
      </c>
      <c r="O164" vm="2403">
        <f ca="1"/>
        <v>53.56</v>
      </c>
      <c r="P164" vm="504">
        <f ca="1"/>
        <v>185.95</v>
      </c>
    </row>
    <row r="165" spans="1:16" x14ac:dyDescent="0.25">
      <c r="A165" vm="2404">
        <f ca="1"/>
        <v>45575</v>
      </c>
      <c r="B165" vm="2405">
        <f ca="1"/>
        <v>238.77</v>
      </c>
      <c r="C165" vm="2406">
        <f ca="1"/>
        <v>186.65</v>
      </c>
      <c r="D165" vm="2407">
        <f ca="1"/>
        <v>415.84</v>
      </c>
      <c r="E165" vm="2408">
        <f ca="1"/>
        <v>376.45</v>
      </c>
      <c r="F165" vm="2409">
        <f ca="1"/>
        <v>168.95</v>
      </c>
      <c r="G165" vm="2410">
        <f ca="1"/>
        <v>212.84</v>
      </c>
      <c r="H165" vm="2411">
        <f ca="1"/>
        <v>597.70000000000005</v>
      </c>
      <c r="I165" vm="2412">
        <f ca="1"/>
        <v>123.14</v>
      </c>
      <c r="J165" vm="2413">
        <f ca="1"/>
        <v>18.86</v>
      </c>
      <c r="K165" vm="1322">
        <f ca="1"/>
        <v>35</v>
      </c>
      <c r="L165" vm="2414">
        <f ca="1"/>
        <v>29.34</v>
      </c>
      <c r="M165" vm="2415">
        <f ca="1"/>
        <v>185.79</v>
      </c>
      <c r="N165" vm="2416">
        <f ca="1"/>
        <v>134.81</v>
      </c>
      <c r="O165" vm="2417">
        <f ca="1"/>
        <v>53.54</v>
      </c>
      <c r="P165" vm="2418">
        <f ca="1"/>
        <v>185.69</v>
      </c>
    </row>
    <row r="166" spans="1:16" x14ac:dyDescent="0.25">
      <c r="A166" vm="2419">
        <f ca="1"/>
        <v>45576</v>
      </c>
      <c r="B166" vm="2420">
        <f ca="1"/>
        <v>217.8</v>
      </c>
      <c r="C166" vm="2421">
        <f ca="1"/>
        <v>188.82</v>
      </c>
      <c r="D166" vm="2422">
        <f ca="1"/>
        <v>416.32</v>
      </c>
      <c r="E166" vm="2423">
        <f ca="1"/>
        <v>378.99</v>
      </c>
      <c r="F166" vm="2424">
        <f ca="1"/>
        <v>171.09</v>
      </c>
      <c r="G166" vm="2425">
        <f ca="1"/>
        <v>222.29</v>
      </c>
      <c r="H166" vm="2426">
        <f ca="1"/>
        <v>598.04999999999995</v>
      </c>
      <c r="I166" vm="2427">
        <f ca="1"/>
        <v>123.61</v>
      </c>
      <c r="J166" vm="2428">
        <f ca="1"/>
        <v>18.98</v>
      </c>
      <c r="K166" vm="1739">
        <f ca="1"/>
        <v>36.35</v>
      </c>
      <c r="L166" vm="2126">
        <f ca="1"/>
        <v>29.16</v>
      </c>
      <c r="M166" vm="2429">
        <f ca="1"/>
        <v>188.28</v>
      </c>
      <c r="N166" vm="316">
        <f ca="1"/>
        <v>134.80000000000001</v>
      </c>
      <c r="O166" vm="2430">
        <f ca="1"/>
        <v>54.25</v>
      </c>
      <c r="P166" vm="2431">
        <f ca="1"/>
        <v>181.48</v>
      </c>
    </row>
    <row r="167" spans="1:16" x14ac:dyDescent="0.25">
      <c r="A167" vm="2432">
        <f ca="1"/>
        <v>45579</v>
      </c>
      <c r="B167" vm="2433">
        <f ca="1"/>
        <v>219.16</v>
      </c>
      <c r="C167" vm="2434">
        <f ca="1"/>
        <v>187.54</v>
      </c>
      <c r="D167" vm="2435">
        <f ca="1"/>
        <v>419.14</v>
      </c>
      <c r="E167" vm="2436">
        <f ca="1"/>
        <v>384.16</v>
      </c>
      <c r="F167" vm="2437">
        <f ca="1"/>
        <v>172.51</v>
      </c>
      <c r="G167" vm="2438">
        <f ca="1"/>
        <v>221.48</v>
      </c>
      <c r="H167" vm="2439">
        <f ca="1"/>
        <v>605.4</v>
      </c>
      <c r="I167" vm="2440">
        <f ca="1"/>
        <v>124.08</v>
      </c>
      <c r="J167" vm="2441">
        <f ca="1"/>
        <v>19.09</v>
      </c>
      <c r="K167" vm="2442">
        <f ca="1"/>
        <v>36.840000000000003</v>
      </c>
      <c r="L167" vm="2443">
        <f ca="1"/>
        <v>29.08</v>
      </c>
      <c r="M167" vm="2444">
        <f ca="1"/>
        <v>190.53</v>
      </c>
      <c r="N167" vm="2445">
        <f ca="1"/>
        <v>138.07</v>
      </c>
      <c r="O167" vm="2446">
        <f ca="1"/>
        <v>54.27</v>
      </c>
      <c r="P167" vm="2447">
        <f ca="1"/>
        <v>182.31</v>
      </c>
    </row>
    <row r="168" spans="1:16" x14ac:dyDescent="0.25">
      <c r="A168" vm="2448">
        <f ca="1"/>
        <v>45580</v>
      </c>
      <c r="B168" vm="2449">
        <f ca="1"/>
        <v>219.57</v>
      </c>
      <c r="C168" vm="2450">
        <f ca="1"/>
        <v>187.69</v>
      </c>
      <c r="D168" vm="2451">
        <f ca="1"/>
        <v>418.74</v>
      </c>
      <c r="E168" vm="2452">
        <f ca="1"/>
        <v>388.55</v>
      </c>
      <c r="F168" vm="2453">
        <f ca="1"/>
        <v>173.57</v>
      </c>
      <c r="G168" vm="2454">
        <f ca="1"/>
        <v>222.39</v>
      </c>
      <c r="H168" vm="2455">
        <f ca="1"/>
        <v>556.29</v>
      </c>
      <c r="I168" vm="2456">
        <f ca="1"/>
        <v>120.35</v>
      </c>
      <c r="J168" vm="2457">
        <f ca="1"/>
        <v>18.66</v>
      </c>
      <c r="K168" vm="2458">
        <f ca="1"/>
        <v>36.85</v>
      </c>
      <c r="L168" vm="2459">
        <f ca="1"/>
        <v>29.44</v>
      </c>
      <c r="M168" vm="2460">
        <f ca="1"/>
        <v>193.01</v>
      </c>
      <c r="N168" vm="2461">
        <f ca="1"/>
        <v>131.6</v>
      </c>
      <c r="O168" vm="2462">
        <f ca="1"/>
        <v>54.08</v>
      </c>
      <c r="P168" vm="2463">
        <f ca="1"/>
        <v>175.98</v>
      </c>
    </row>
    <row r="169" spans="1:16" x14ac:dyDescent="0.25">
      <c r="A169" vm="2464">
        <f ca="1"/>
        <v>45581</v>
      </c>
      <c r="B169" vm="2465">
        <f ca="1"/>
        <v>221.33</v>
      </c>
      <c r="C169" vm="1176">
        <f ca="1"/>
        <v>186.89</v>
      </c>
      <c r="D169" vm="2466">
        <f ca="1"/>
        <v>416.12</v>
      </c>
      <c r="E169" vm="2467">
        <f ca="1"/>
        <v>389.39</v>
      </c>
      <c r="F169" vm="2468">
        <f ca="1"/>
        <v>172.38</v>
      </c>
      <c r="G169" vm="2469">
        <f ca="1"/>
        <v>223.64</v>
      </c>
      <c r="H169" vm="2470">
        <f ca="1"/>
        <v>571.34</v>
      </c>
      <c r="I169" vm="2471">
        <f ca="1"/>
        <v>120.66</v>
      </c>
      <c r="J169" vm="2472">
        <f ca="1"/>
        <v>18.68</v>
      </c>
      <c r="K169" vm="2223">
        <f ca="1"/>
        <v>37.03</v>
      </c>
      <c r="L169" vm="2473">
        <f ca="1"/>
        <v>29.67</v>
      </c>
      <c r="M169" vm="445">
        <f ca="1"/>
        <v>195.65</v>
      </c>
      <c r="N169" vm="2474">
        <f ca="1"/>
        <v>135.72</v>
      </c>
      <c r="O169" vm="2475">
        <f ca="1"/>
        <v>56.38</v>
      </c>
      <c r="P169" vm="144">
        <f ca="1"/>
        <v>176.82</v>
      </c>
    </row>
    <row r="170" spans="1:16" x14ac:dyDescent="0.25">
      <c r="A170" vm="2476">
        <f ca="1"/>
        <v>45582</v>
      </c>
      <c r="B170" vm="2477">
        <f ca="1"/>
        <v>220.89</v>
      </c>
      <c r="C170" vm="2478">
        <f ca="1"/>
        <v>187.53</v>
      </c>
      <c r="D170" vm="2479">
        <f ca="1"/>
        <v>416.72</v>
      </c>
      <c r="E170" vm="2480">
        <f ca="1"/>
        <v>389.08</v>
      </c>
      <c r="F170" vm="2481">
        <f ca="1"/>
        <v>172.28</v>
      </c>
      <c r="G170" vm="2482">
        <f ca="1"/>
        <v>224.42</v>
      </c>
      <c r="H170" vm="2483">
        <f ca="1"/>
        <v>566.03</v>
      </c>
      <c r="I170" vm="2456">
        <f ca="1"/>
        <v>120.35</v>
      </c>
      <c r="J170" vm="2484">
        <f ca="1"/>
        <v>18.510000000000002</v>
      </c>
      <c r="K170" vm="2485">
        <f ca="1"/>
        <v>38.130000000000003</v>
      </c>
      <c r="L170" vm="2141">
        <f ca="1"/>
        <v>29.27</v>
      </c>
      <c r="M170" vm="2486">
        <f ca="1"/>
        <v>195.51</v>
      </c>
      <c r="N170" vm="2487">
        <f ca="1"/>
        <v>136.93</v>
      </c>
      <c r="O170" vm="2488">
        <f ca="1"/>
        <v>56.4</v>
      </c>
      <c r="P170" vm="2489">
        <f ca="1"/>
        <v>181.53</v>
      </c>
    </row>
    <row r="171" spans="1:16" x14ac:dyDescent="0.25">
      <c r="A171" vm="2490">
        <f ca="1"/>
        <v>45583</v>
      </c>
      <c r="B171" vm="2491">
        <f ca="1"/>
        <v>220.7</v>
      </c>
      <c r="C171" vm="2492">
        <f ca="1"/>
        <v>188.99</v>
      </c>
      <c r="D171" vm="2493">
        <f ca="1"/>
        <v>418.16</v>
      </c>
      <c r="E171" vm="2494">
        <f ca="1"/>
        <v>388.36</v>
      </c>
      <c r="F171" vm="2495">
        <f ca="1"/>
        <v>171.28</v>
      </c>
      <c r="G171" vm="2496">
        <f ca="1"/>
        <v>225.37</v>
      </c>
      <c r="H171" vm="2497">
        <f ca="1"/>
        <v>569.61</v>
      </c>
      <c r="I171" vm="2498">
        <f ca="1"/>
        <v>120.01</v>
      </c>
      <c r="J171" vm="2499">
        <f ca="1"/>
        <v>18.22</v>
      </c>
      <c r="K171" vm="2500">
        <f ca="1"/>
        <v>38.07</v>
      </c>
      <c r="L171" vm="2501">
        <f ca="1"/>
        <v>29.22</v>
      </c>
      <c r="M171" vm="2502">
        <f ca="1"/>
        <v>195.37</v>
      </c>
      <c r="N171" vm="2503">
        <f ca="1"/>
        <v>138</v>
      </c>
      <c r="O171" vm="2504">
        <f ca="1"/>
        <v>56.76</v>
      </c>
      <c r="P171" vm="2505">
        <f ca="1"/>
        <v>179.89</v>
      </c>
    </row>
    <row r="172" spans="1:16" x14ac:dyDescent="0.25">
      <c r="A172" vm="2506">
        <f ca="1"/>
        <v>45586</v>
      </c>
      <c r="B172" vm="2507">
        <f ca="1"/>
        <v>218.85</v>
      </c>
      <c r="C172" vm="2508">
        <f ca="1"/>
        <v>189.07</v>
      </c>
      <c r="D172" vm="2509">
        <f ca="1"/>
        <v>418.78</v>
      </c>
      <c r="E172" vm="2510">
        <f ca="1"/>
        <v>381.75</v>
      </c>
      <c r="F172" vm="2511">
        <f ca="1"/>
        <v>169.54</v>
      </c>
      <c r="G172" vm="2512">
        <f ca="1"/>
        <v>223</v>
      </c>
      <c r="H172" vm="2513">
        <f ca="1"/>
        <v>571.47</v>
      </c>
      <c r="I172" vm="2514">
        <f ca="1"/>
        <v>120.08</v>
      </c>
      <c r="J172" vm="2515">
        <f ca="1"/>
        <v>18.100000000000001</v>
      </c>
      <c r="K172" vm="2516">
        <f ca="1"/>
        <v>37.590000000000003</v>
      </c>
      <c r="L172" vm="2251">
        <f ca="1"/>
        <v>28.93</v>
      </c>
      <c r="M172" vm="2517">
        <f ca="1"/>
        <v>192.64</v>
      </c>
      <c r="N172" vm="2518">
        <f ca="1"/>
        <v>143.71</v>
      </c>
      <c r="O172" vm="2519">
        <f ca="1"/>
        <v>56.59</v>
      </c>
      <c r="P172" vm="731">
        <f ca="1"/>
        <v>179.99</v>
      </c>
    </row>
    <row r="173" spans="1:16" x14ac:dyDescent="0.25">
      <c r="A173" vm="2520">
        <f ca="1"/>
        <v>45587</v>
      </c>
      <c r="B173" vm="2521">
        <f ca="1"/>
        <v>217.97</v>
      </c>
      <c r="C173" vm="2522">
        <f ca="1"/>
        <v>189.7</v>
      </c>
      <c r="D173" vm="2523">
        <f ca="1"/>
        <v>427.51</v>
      </c>
      <c r="E173" vm="2524">
        <f ca="1"/>
        <v>361.38</v>
      </c>
      <c r="F173" vm="2525">
        <f ca="1"/>
        <v>169.7</v>
      </c>
      <c r="G173" vm="2526">
        <f ca="1"/>
        <v>224.12</v>
      </c>
      <c r="H173" vm="2527">
        <f ca="1"/>
        <v>569.86</v>
      </c>
      <c r="I173" vm="2528">
        <f ca="1"/>
        <v>120.7</v>
      </c>
      <c r="J173" vm="2529">
        <f ca="1"/>
        <v>17.89</v>
      </c>
      <c r="K173" vm="2530">
        <f ca="1"/>
        <v>38.229999999999997</v>
      </c>
      <c r="L173" vm="2531">
        <f ca="1"/>
        <v>28.84</v>
      </c>
      <c r="M173" vm="2532">
        <f ca="1"/>
        <v>192.78</v>
      </c>
      <c r="N173" vm="2533">
        <f ca="1"/>
        <v>143.59</v>
      </c>
      <c r="O173" vm="2534">
        <f ca="1"/>
        <v>56.6</v>
      </c>
      <c r="P173" vm="2535">
        <f ca="1"/>
        <v>179.38</v>
      </c>
    </row>
    <row r="174" spans="1:16" x14ac:dyDescent="0.25">
      <c r="A174" vm="2536">
        <f ca="1"/>
        <v>45588</v>
      </c>
      <c r="B174" vm="2537">
        <f ca="1"/>
        <v>213.65</v>
      </c>
      <c r="C174" vm="2538">
        <f ca="1"/>
        <v>184.71</v>
      </c>
      <c r="D174" vm="2539">
        <f ca="1"/>
        <v>424.6</v>
      </c>
      <c r="E174" vm="2540">
        <f ca="1"/>
        <v>362.72</v>
      </c>
      <c r="F174" vm="710">
        <f ca="1"/>
        <v>169.58</v>
      </c>
      <c r="G174" vm="2541">
        <f ca="1"/>
        <v>223.41</v>
      </c>
      <c r="H174" vm="2542">
        <f ca="1"/>
        <v>564.64</v>
      </c>
      <c r="I174" vm="2543">
        <f ca="1"/>
        <v>120.27</v>
      </c>
      <c r="J174" vm="2544">
        <f ca="1"/>
        <v>17.53</v>
      </c>
      <c r="K174" vm="2545">
        <f ca="1"/>
        <v>37.93</v>
      </c>
      <c r="L174" vm="2546">
        <f ca="1"/>
        <v>28.86</v>
      </c>
      <c r="M174" vm="2532">
        <f ca="1"/>
        <v>192.78</v>
      </c>
      <c r="N174" vm="2547">
        <f ca="1"/>
        <v>139.56</v>
      </c>
      <c r="O174" vm="2548">
        <f ca="1"/>
        <v>56.28</v>
      </c>
      <c r="P174" vm="128">
        <f ca="1"/>
        <v>173.51</v>
      </c>
    </row>
    <row r="175" spans="1:16" x14ac:dyDescent="0.25">
      <c r="A175" vm="2549">
        <f ca="1"/>
        <v>45589</v>
      </c>
      <c r="B175" vm="2550">
        <f ca="1"/>
        <v>260.48</v>
      </c>
      <c r="C175" vm="2551">
        <f ca="1"/>
        <v>186.38</v>
      </c>
      <c r="D175" vm="2552">
        <f ca="1"/>
        <v>424.73</v>
      </c>
      <c r="E175" vm="2553">
        <f ca="1"/>
        <v>361.59</v>
      </c>
      <c r="F175" vm="2554">
        <f ca="1"/>
        <v>169.62</v>
      </c>
      <c r="G175" vm="2555">
        <f ca="1"/>
        <v>224.98</v>
      </c>
      <c r="H175" vm="2556">
        <f ca="1"/>
        <v>560.80999999999995</v>
      </c>
      <c r="I175" vm="2557">
        <f ca="1"/>
        <v>119.59</v>
      </c>
      <c r="J175" vm="2558">
        <f ca="1"/>
        <v>17.690000000000001</v>
      </c>
      <c r="K175" vm="2559">
        <f ca="1"/>
        <v>38.1</v>
      </c>
      <c r="L175" vm="920">
        <f ca="1"/>
        <v>28.64</v>
      </c>
      <c r="M175" vm="782">
        <f ca="1"/>
        <v>192</v>
      </c>
      <c r="N175" vm="2560">
        <f ca="1"/>
        <v>140.41</v>
      </c>
      <c r="O175" vm="2561">
        <f ca="1"/>
        <v>55.96</v>
      </c>
      <c r="P175" vm="2562">
        <f ca="1"/>
        <v>171.35</v>
      </c>
    </row>
    <row r="176" spans="1:16" x14ac:dyDescent="0.25">
      <c r="A176" vm="2563">
        <f ca="1"/>
        <v>45590</v>
      </c>
      <c r="B176" vm="2564">
        <f ca="1"/>
        <v>269.19</v>
      </c>
      <c r="C176" vm="2565">
        <f ca="1"/>
        <v>187.83</v>
      </c>
      <c r="D176" vm="2566">
        <f ca="1"/>
        <v>428.15</v>
      </c>
      <c r="E176" vm="2567">
        <f ca="1"/>
        <v>359.04</v>
      </c>
      <c r="F176" vm="2568">
        <f ca="1"/>
        <v>168.22</v>
      </c>
      <c r="G176" vm="2569">
        <f ca="1"/>
        <v>222.31</v>
      </c>
      <c r="H176" vm="2570">
        <f ca="1"/>
        <v>564.55999999999995</v>
      </c>
      <c r="I176" vm="2571">
        <f ca="1"/>
        <v>119.49</v>
      </c>
      <c r="J176" vm="2572">
        <f ca="1"/>
        <v>17.62</v>
      </c>
      <c r="K176" vm="2573">
        <f ca="1"/>
        <v>37.9</v>
      </c>
      <c r="L176" vm="1800">
        <f ca="1"/>
        <v>28.45</v>
      </c>
      <c r="M176" vm="2574">
        <f ca="1"/>
        <v>188.12</v>
      </c>
      <c r="N176" vm="2575">
        <f ca="1"/>
        <v>141.54</v>
      </c>
      <c r="O176" vm="2576">
        <f ca="1"/>
        <v>55.74</v>
      </c>
      <c r="P176" vm="2577">
        <f ca="1"/>
        <v>173</v>
      </c>
    </row>
    <row r="177" spans="1:16" x14ac:dyDescent="0.25">
      <c r="A177" vm="2578">
        <f ca="1"/>
        <v>45593</v>
      </c>
      <c r="B177" vm="2579">
        <f ca="1"/>
        <v>262.51</v>
      </c>
      <c r="C177" vm="2580">
        <f ca="1"/>
        <v>188.39</v>
      </c>
      <c r="D177" vm="2581">
        <f ca="1"/>
        <v>426.59</v>
      </c>
      <c r="E177" vm="2582">
        <f ca="1"/>
        <v>363.27</v>
      </c>
      <c r="F177" vm="2583">
        <f ca="1"/>
        <v>169.3</v>
      </c>
      <c r="G177" vm="2584">
        <f ca="1"/>
        <v>225.5</v>
      </c>
      <c r="H177" vm="2585">
        <f ca="1"/>
        <v>565.24</v>
      </c>
      <c r="I177" vm="2586">
        <f ca="1"/>
        <v>118.9</v>
      </c>
      <c r="J177" vm="2587">
        <f ca="1"/>
        <v>17.75</v>
      </c>
      <c r="K177" vm="2588">
        <f ca="1"/>
        <v>37.85</v>
      </c>
      <c r="L177" vm="2546">
        <f ca="1"/>
        <v>28.86</v>
      </c>
      <c r="M177" vm="2589">
        <f ca="1"/>
        <v>189.21</v>
      </c>
      <c r="N177" vm="2590">
        <f ca="1"/>
        <v>140.52000000000001</v>
      </c>
      <c r="O177" vm="2591">
        <f ca="1"/>
        <v>55.28</v>
      </c>
      <c r="P177" vm="2592">
        <f ca="1"/>
        <v>172.02</v>
      </c>
    </row>
    <row r="178" spans="1:16" x14ac:dyDescent="0.25">
      <c r="A178" vm="2593">
        <f ca="1"/>
        <v>45594</v>
      </c>
      <c r="B178" vm="2594">
        <f ca="1"/>
        <v>259.52</v>
      </c>
      <c r="C178" vm="2595">
        <f ca="1"/>
        <v>190.83</v>
      </c>
      <c r="D178" vm="2596">
        <f ca="1"/>
        <v>431.95</v>
      </c>
      <c r="E178" vm="2597">
        <f ca="1"/>
        <v>361.62</v>
      </c>
      <c r="F178" vm="2598">
        <f ca="1"/>
        <v>167.17</v>
      </c>
      <c r="G178" vm="2599">
        <f ca="1"/>
        <v>222.9</v>
      </c>
      <c r="H178" vm="2600">
        <f ca="1"/>
        <v>562.13</v>
      </c>
      <c r="I178" vm="2601">
        <f ca="1"/>
        <v>117.28</v>
      </c>
      <c r="J178" vm="2602">
        <f ca="1"/>
        <v>17.850000000000001</v>
      </c>
      <c r="K178" vm="2603">
        <f ca="1"/>
        <v>38.01</v>
      </c>
      <c r="L178" vm="2604">
        <f ca="1"/>
        <v>28.46</v>
      </c>
      <c r="M178" vm="851">
        <f ca="1"/>
        <v>186.57</v>
      </c>
      <c r="N178" vm="2605">
        <f ca="1"/>
        <v>141.25</v>
      </c>
      <c r="O178" vm="2606">
        <f ca="1"/>
        <v>55.68</v>
      </c>
      <c r="P178" vm="987">
        <f ca="1"/>
        <v>179.24</v>
      </c>
    </row>
    <row r="179" spans="1:16" x14ac:dyDescent="0.25">
      <c r="A179" vm="2607">
        <f ca="1"/>
        <v>45595</v>
      </c>
      <c r="B179" vm="2608">
        <f ca="1"/>
        <v>257.55</v>
      </c>
      <c r="C179" vm="2609">
        <f ca="1"/>
        <v>192.73</v>
      </c>
      <c r="D179" vm="2610">
        <f ca="1"/>
        <v>432.53</v>
      </c>
      <c r="E179" vm="2611">
        <f ca="1"/>
        <v>361.89</v>
      </c>
      <c r="F179" vm="2612">
        <f ca="1"/>
        <v>166.16</v>
      </c>
      <c r="G179" vm="2613">
        <f ca="1"/>
        <v>224.41</v>
      </c>
      <c r="H179" vm="2614">
        <f ca="1"/>
        <v>562.96</v>
      </c>
      <c r="I179" vm="2615">
        <f ca="1"/>
        <v>116.69</v>
      </c>
      <c r="J179" vm="2616">
        <f ca="1"/>
        <v>17.98</v>
      </c>
      <c r="K179" vm="2617">
        <f ca="1"/>
        <v>39.340000000000003</v>
      </c>
      <c r="L179" vm="2618">
        <f ca="1"/>
        <v>28.52</v>
      </c>
      <c r="M179" vm="2619">
        <f ca="1"/>
        <v>189.44</v>
      </c>
      <c r="N179" vm="2620">
        <f ca="1"/>
        <v>139.33500000000001</v>
      </c>
      <c r="O179" vm="2621">
        <f ca="1"/>
        <v>55.59</v>
      </c>
      <c r="P179" vm="2358">
        <f ca="1"/>
        <v>176.64</v>
      </c>
    </row>
    <row r="180" spans="1:16" x14ac:dyDescent="0.25">
      <c r="A180" vm="2622">
        <f ca="1"/>
        <v>45596</v>
      </c>
      <c r="B180" vm="2623">
        <f ca="1"/>
        <v>249.85</v>
      </c>
      <c r="C180" vm="2624">
        <f ca="1"/>
        <v>186.4</v>
      </c>
      <c r="D180" vm="2625">
        <f ca="1"/>
        <v>406.35</v>
      </c>
      <c r="E180" vm="2626">
        <f ca="1"/>
        <v>358.77</v>
      </c>
      <c r="F180" vm="1179">
        <f ca="1"/>
        <v>165.18</v>
      </c>
      <c r="G180" vm="2627">
        <f ca="1"/>
        <v>221.92</v>
      </c>
      <c r="H180" vm="2628">
        <f ca="1"/>
        <v>564.5</v>
      </c>
      <c r="I180" vm="2159">
        <f ca="1"/>
        <v>116.78</v>
      </c>
      <c r="J180" vm="2629">
        <f ca="1"/>
        <v>17.600000000000001</v>
      </c>
      <c r="K180" vm="2630">
        <f ca="1"/>
        <v>38.049999999999997</v>
      </c>
      <c r="L180" vm="1013">
        <f ca="1"/>
        <v>28.3</v>
      </c>
      <c r="M180" vm="2631">
        <f ca="1"/>
        <v>186.52</v>
      </c>
      <c r="N180" vm="2632">
        <f ca="1"/>
        <v>132.76</v>
      </c>
      <c r="O180" vm="2633">
        <f ca="1"/>
        <v>54.77</v>
      </c>
      <c r="P180" vm="2634">
        <f ca="1"/>
        <v>169.77</v>
      </c>
    </row>
    <row r="181" spans="1:16" x14ac:dyDescent="0.25">
      <c r="A181" vm="2635">
        <f ca="1"/>
        <v>45597</v>
      </c>
      <c r="B181" vm="2636">
        <f ca="1"/>
        <v>248.98</v>
      </c>
      <c r="C181" vm="2637">
        <f ca="1"/>
        <v>197.93</v>
      </c>
      <c r="D181" vm="2638">
        <f ca="1"/>
        <v>410.37</v>
      </c>
      <c r="E181" vm="1896">
        <f ca="1"/>
        <v>357.97</v>
      </c>
      <c r="F181" vm="2639">
        <f ca="1"/>
        <v>165.1</v>
      </c>
      <c r="G181" vm="2640">
        <f ca="1"/>
        <v>222.94</v>
      </c>
      <c r="H181" vm="2641">
        <f ca="1"/>
        <v>567.55999999999995</v>
      </c>
      <c r="I181" vm="2642">
        <f ca="1"/>
        <v>114.95</v>
      </c>
      <c r="J181" vm="2643">
        <f ca="1"/>
        <v>17.73</v>
      </c>
      <c r="K181" vm="2644">
        <f ca="1"/>
        <v>38.409999999999997</v>
      </c>
      <c r="L181" vm="2645">
        <f ca="1"/>
        <v>28.09</v>
      </c>
      <c r="M181" vm="2646">
        <f ca="1"/>
        <v>184.15</v>
      </c>
      <c r="N181" vm="2647">
        <f ca="1"/>
        <v>135.4</v>
      </c>
      <c r="O181" vm="2648">
        <f ca="1"/>
        <v>55.5</v>
      </c>
      <c r="P181" vm="2649">
        <f ca="1"/>
        <v>168.92</v>
      </c>
    </row>
    <row r="182" spans="1:16" x14ac:dyDescent="0.25">
      <c r="A182" vm="2650">
        <f ca="1"/>
        <v>45600</v>
      </c>
      <c r="B182" vm="2651">
        <f ca="1"/>
        <v>242.84</v>
      </c>
      <c r="C182" vm="2652">
        <f ca="1"/>
        <v>195.78</v>
      </c>
      <c r="D182" vm="2653">
        <f ca="1"/>
        <v>408.46</v>
      </c>
      <c r="E182" vm="2654">
        <f ca="1"/>
        <v>374.4</v>
      </c>
      <c r="F182" vm="2655">
        <f ca="1"/>
        <v>165.08</v>
      </c>
      <c r="G182" vm="2656">
        <f ca="1"/>
        <v>219.78</v>
      </c>
      <c r="H182" vm="2657">
        <f ca="1"/>
        <v>557.77</v>
      </c>
      <c r="I182" vm="2658">
        <f ca="1"/>
        <v>118.61</v>
      </c>
      <c r="J182" vm="2659">
        <f ca="1"/>
        <v>17.739999999999998</v>
      </c>
      <c r="K182" vm="2630">
        <f ca="1"/>
        <v>38.049999999999997</v>
      </c>
      <c r="L182" vm="2660">
        <f ca="1"/>
        <v>27.76</v>
      </c>
      <c r="M182" vm="2661">
        <f ca="1"/>
        <v>182.37</v>
      </c>
      <c r="N182" vm="2662">
        <f ca="1"/>
        <v>136.05000000000001</v>
      </c>
      <c r="O182" vm="2663">
        <f ca="1"/>
        <v>55.83</v>
      </c>
      <c r="P182" vm="2664">
        <f ca="1"/>
        <v>168.55</v>
      </c>
    </row>
    <row r="183" spans="1:16" x14ac:dyDescent="0.25">
      <c r="A183" vm="2665">
        <f ca="1"/>
        <v>45601</v>
      </c>
      <c r="B183" vm="2666">
        <f ca="1"/>
        <v>251.44</v>
      </c>
      <c r="C183" vm="1008">
        <f ca="1"/>
        <v>199.5</v>
      </c>
      <c r="D183" vm="2667">
        <f ca="1"/>
        <v>411.46</v>
      </c>
      <c r="E183" vm="2668">
        <f ca="1"/>
        <v>378.21</v>
      </c>
      <c r="F183" vm="560">
        <f ca="1"/>
        <v>165.76</v>
      </c>
      <c r="G183" vm="2669">
        <f ca="1"/>
        <v>221.49</v>
      </c>
      <c r="H183" vm="2670">
        <f ca="1"/>
        <v>567.03</v>
      </c>
      <c r="I183" vm="2671">
        <f ca="1"/>
        <v>118.96</v>
      </c>
      <c r="J183" vm="2672">
        <f ca="1"/>
        <v>18.05</v>
      </c>
      <c r="K183" vm="2673">
        <f ca="1"/>
        <v>38.826999999999998</v>
      </c>
      <c r="L183" vm="1307">
        <f ca="1"/>
        <v>27.99</v>
      </c>
      <c r="M183" vm="2674">
        <f ca="1"/>
        <v>185.06</v>
      </c>
      <c r="N183" vm="2675">
        <f ca="1"/>
        <v>139.91</v>
      </c>
      <c r="O183" vm="2676">
        <f ca="1"/>
        <v>56.16</v>
      </c>
      <c r="P183" vm="2677">
        <f ca="1"/>
        <v>173.9</v>
      </c>
    </row>
    <row r="184" spans="1:16" x14ac:dyDescent="0.25">
      <c r="A184" vm="2678">
        <f ca="1"/>
        <v>45602</v>
      </c>
      <c r="B184" vm="2679">
        <f ca="1"/>
        <v>288.52999999999997</v>
      </c>
      <c r="C184" vm="2680">
        <f ca="1"/>
        <v>207.09</v>
      </c>
      <c r="D184" vm="2681">
        <f ca="1"/>
        <v>420.18</v>
      </c>
      <c r="E184" vm="2682">
        <f ca="1"/>
        <v>380.73</v>
      </c>
      <c r="F184" vm="2683">
        <f ca="1"/>
        <v>161.05000000000001</v>
      </c>
      <c r="G184" vm="2684">
        <f ca="1"/>
        <v>247.06</v>
      </c>
      <c r="H184" vm="2685">
        <f ca="1"/>
        <v>596.69000000000005</v>
      </c>
      <c r="I184" vm="2686">
        <f ca="1"/>
        <v>121</v>
      </c>
      <c r="J184" vm="2687">
        <f ca="1"/>
        <v>17.989999999999998</v>
      </c>
      <c r="K184" vm="2688">
        <f ca="1"/>
        <v>38.21</v>
      </c>
      <c r="L184" vm="327">
        <f ca="1"/>
        <v>27.36</v>
      </c>
      <c r="M184" vm="2689">
        <f ca="1"/>
        <v>188.79</v>
      </c>
      <c r="N184" vm="2690">
        <f ca="1"/>
        <v>145.61000000000001</v>
      </c>
      <c r="O184" vm="2691">
        <f ca="1"/>
        <v>57.87</v>
      </c>
      <c r="P184" vm="2088">
        <f ca="1"/>
        <v>179.55</v>
      </c>
    </row>
    <row r="185" spans="1:16" x14ac:dyDescent="0.25">
      <c r="A185" vm="2692">
        <f ca="1"/>
        <v>45603</v>
      </c>
      <c r="B185" vm="2693">
        <f ca="1"/>
        <v>296.91000000000003</v>
      </c>
      <c r="C185" vm="1497">
        <f ca="1"/>
        <v>210.05</v>
      </c>
      <c r="D185" vm="2694">
        <f ca="1"/>
        <v>425.43</v>
      </c>
      <c r="E185" vm="2695">
        <f ca="1"/>
        <v>384</v>
      </c>
      <c r="F185" vm="2696">
        <f ca="1"/>
        <v>163.41</v>
      </c>
      <c r="G185" vm="2697">
        <f ca="1"/>
        <v>236.38</v>
      </c>
      <c r="H185" vm="2698">
        <f ca="1"/>
        <v>605.45000000000005</v>
      </c>
      <c r="I185" vm="2699">
        <f ca="1"/>
        <v>121.15</v>
      </c>
      <c r="J185" vm="2700">
        <f ca="1"/>
        <v>18.27</v>
      </c>
      <c r="K185" vm="2701">
        <f ca="1"/>
        <v>39.1</v>
      </c>
      <c r="L185" vm="2702">
        <f ca="1"/>
        <v>27.46</v>
      </c>
      <c r="M185" vm="2703">
        <f ca="1"/>
        <v>190.55</v>
      </c>
      <c r="N185" vm="2704">
        <f ca="1"/>
        <v>148.88</v>
      </c>
      <c r="O185" vm="2705">
        <f ca="1"/>
        <v>58.08</v>
      </c>
      <c r="P185" vm="2706">
        <f ca="1"/>
        <v>183.81</v>
      </c>
    </row>
    <row r="186" spans="1:16" x14ac:dyDescent="0.25">
      <c r="A186" vm="2707">
        <f ca="1"/>
        <v>45604</v>
      </c>
      <c r="B186" vm="2708">
        <f ca="1"/>
        <v>321.22000000000003</v>
      </c>
      <c r="C186" vm="2709">
        <f ca="1"/>
        <v>208.18</v>
      </c>
      <c r="D186" vm="2710">
        <f ca="1"/>
        <v>422.54</v>
      </c>
      <c r="E186" vm="2711">
        <f ca="1"/>
        <v>386.67</v>
      </c>
      <c r="F186" vm="1876">
        <f ca="1"/>
        <v>167.71</v>
      </c>
      <c r="G186" vm="2712">
        <f ca="1"/>
        <v>236.98</v>
      </c>
      <c r="H186" vm="2713">
        <f ca="1"/>
        <v>615.80999999999995</v>
      </c>
      <c r="I186" vm="2714">
        <f ca="1"/>
        <v>121.11</v>
      </c>
      <c r="J186" vm="2715">
        <f ca="1"/>
        <v>19.91</v>
      </c>
      <c r="K186" vm="2716">
        <f ca="1"/>
        <v>38.19</v>
      </c>
      <c r="L186" vm="2717">
        <f ca="1"/>
        <v>26.72</v>
      </c>
      <c r="M186" vm="2718">
        <f ca="1"/>
        <v>196.9</v>
      </c>
      <c r="N186" vm="2719">
        <f ca="1"/>
        <v>147.63</v>
      </c>
      <c r="O186" vm="2720">
        <f ca="1"/>
        <v>58.06</v>
      </c>
      <c r="P186" vm="2721">
        <f ca="1"/>
        <v>183.64</v>
      </c>
    </row>
    <row r="187" spans="1:16" x14ac:dyDescent="0.25">
      <c r="A187" vm="2722">
        <f ca="1"/>
        <v>45607</v>
      </c>
      <c r="B187" vm="2723">
        <f ca="1"/>
        <v>350</v>
      </c>
      <c r="C187" vm="2724">
        <f ca="1"/>
        <v>206.84</v>
      </c>
      <c r="D187" vm="2725">
        <f ca="1"/>
        <v>418.01</v>
      </c>
      <c r="E187" vm="2726">
        <f ca="1"/>
        <v>389.25</v>
      </c>
      <c r="F187" vm="2727">
        <f ca="1"/>
        <v>166.03</v>
      </c>
      <c r="G187" vm="2728">
        <f ca="1"/>
        <v>239.29</v>
      </c>
      <c r="H187" vm="2729">
        <f ca="1"/>
        <v>625.25</v>
      </c>
      <c r="I187" vm="2730">
        <f ca="1"/>
        <v>120.47</v>
      </c>
      <c r="J187" vm="2731">
        <f ca="1"/>
        <v>19.12</v>
      </c>
      <c r="K187" vm="2732">
        <f ca="1"/>
        <v>38.6325</v>
      </c>
      <c r="L187" vm="2733">
        <f ca="1"/>
        <v>26.24</v>
      </c>
      <c r="M187" vm="2734">
        <f ca="1"/>
        <v>197.52</v>
      </c>
      <c r="N187" vm="2735">
        <f ca="1"/>
        <v>145.26</v>
      </c>
      <c r="O187" vm="2736">
        <f ca="1"/>
        <v>58.63</v>
      </c>
      <c r="P187" vm="2737">
        <f ca="1"/>
        <v>178.91</v>
      </c>
    </row>
    <row r="188" spans="1:16" x14ac:dyDescent="0.25">
      <c r="A188" vm="2738">
        <f ca="1"/>
        <v>45608</v>
      </c>
      <c r="B188" vm="2739">
        <f ca="1"/>
        <v>328.49</v>
      </c>
      <c r="C188" vm="2740">
        <f ca="1"/>
        <v>208.91</v>
      </c>
      <c r="D188" vm="2741">
        <f ca="1"/>
        <v>423.03</v>
      </c>
      <c r="E188" vm="2742">
        <f ca="1"/>
        <v>383.67</v>
      </c>
      <c r="F188" vm="2743">
        <f ca="1"/>
        <v>165.84</v>
      </c>
      <c r="G188" vm="2744">
        <f ca="1"/>
        <v>239.56</v>
      </c>
      <c r="H188" vm="2745">
        <f ca="1"/>
        <v>614.66999999999996</v>
      </c>
      <c r="I188" vm="2456">
        <f ca="1"/>
        <v>120.35</v>
      </c>
      <c r="J188" vm="2746">
        <f ca="1"/>
        <v>18.670000000000002</v>
      </c>
      <c r="K188" vm="2747">
        <f ca="1"/>
        <v>37.409999999999997</v>
      </c>
      <c r="L188" vm="2748">
        <f ca="1"/>
        <v>26.19</v>
      </c>
      <c r="M188" vm="2749">
        <f ca="1"/>
        <v>198.1</v>
      </c>
      <c r="N188" vm="2750">
        <f ca="1"/>
        <v>148.29</v>
      </c>
      <c r="O188" vm="2751">
        <f ca="1"/>
        <v>58.71</v>
      </c>
      <c r="P188" vm="2752">
        <f ca="1"/>
        <v>176.22</v>
      </c>
    </row>
    <row r="189" spans="1:16" x14ac:dyDescent="0.25">
      <c r="A189" vm="2753">
        <f ca="1"/>
        <v>45609</v>
      </c>
      <c r="B189" vm="2754">
        <f ca="1"/>
        <v>330.24</v>
      </c>
      <c r="C189" vm="2755">
        <f ca="1"/>
        <v>214.1</v>
      </c>
      <c r="D189" vm="2756">
        <f ca="1"/>
        <v>425.2</v>
      </c>
      <c r="E189" vm="2757">
        <f ca="1"/>
        <v>387.29</v>
      </c>
      <c r="F189" vm="2758">
        <f ca="1"/>
        <v>166.58</v>
      </c>
      <c r="G189" vm="2759">
        <f ca="1"/>
        <v>241.16</v>
      </c>
      <c r="H189" vm="2760">
        <f ca="1"/>
        <v>605.87</v>
      </c>
      <c r="I189" vm="2761">
        <f ca="1"/>
        <v>121.47</v>
      </c>
      <c r="J189" vm="2762">
        <f ca="1"/>
        <v>18.5</v>
      </c>
      <c r="K189" vm="2763">
        <f ca="1"/>
        <v>36.65</v>
      </c>
      <c r="L189" vm="2717">
        <f ca="1"/>
        <v>26.72</v>
      </c>
      <c r="M189" vm="2764">
        <f ca="1"/>
        <v>197.3</v>
      </c>
      <c r="N189" vm="2765">
        <f ca="1"/>
        <v>146.27000000000001</v>
      </c>
      <c r="O189" vm="2766">
        <f ca="1"/>
        <v>59.18</v>
      </c>
      <c r="P189" vm="2767">
        <f ca="1"/>
        <v>173.58</v>
      </c>
    </row>
    <row r="190" spans="1:16" x14ac:dyDescent="0.25">
      <c r="A190" vm="2768">
        <f ca="1"/>
        <v>45610</v>
      </c>
      <c r="B190" vm="2769">
        <f ca="1"/>
        <v>311.18</v>
      </c>
      <c r="C190" vm="2770">
        <f ca="1"/>
        <v>211.48</v>
      </c>
      <c r="D190" vm="2771">
        <f ca="1"/>
        <v>426.89</v>
      </c>
      <c r="E190" vm="2772">
        <f ca="1"/>
        <v>388.46</v>
      </c>
      <c r="F190" vm="2773">
        <f ca="1"/>
        <v>167.08</v>
      </c>
      <c r="G190" vm="2774">
        <f ca="1"/>
        <v>241.87</v>
      </c>
      <c r="H190" vm="2775">
        <f ca="1"/>
        <v>593.15</v>
      </c>
      <c r="I190" vm="632">
        <f ca="1"/>
        <v>120.56</v>
      </c>
      <c r="J190" vm="2776">
        <f ca="1"/>
        <v>18.489999999999998</v>
      </c>
      <c r="K190" vm="2777">
        <f ca="1"/>
        <v>36.340000000000003</v>
      </c>
      <c r="L190" vm="2778">
        <f ca="1"/>
        <v>26.02</v>
      </c>
      <c r="M190" vm="2652">
        <f ca="1"/>
        <v>195.78</v>
      </c>
      <c r="N190" vm="2779">
        <f ca="1"/>
        <v>146.76</v>
      </c>
      <c r="O190" vm="2780">
        <f ca="1"/>
        <v>57.92</v>
      </c>
      <c r="P190" vm="2781">
        <f ca="1"/>
        <v>170.38</v>
      </c>
    </row>
    <row r="191" spans="1:16" x14ac:dyDescent="0.25">
      <c r="A191" vm="2782">
        <f ca="1"/>
        <v>45611</v>
      </c>
      <c r="B191" vm="2783">
        <f ca="1"/>
        <v>320.72000000000003</v>
      </c>
      <c r="C191" vm="2784">
        <f ca="1"/>
        <v>202.61</v>
      </c>
      <c r="D191" vm="2785">
        <f ca="1"/>
        <v>415</v>
      </c>
      <c r="E191" vm="2423">
        <f ca="1"/>
        <v>378.99</v>
      </c>
      <c r="F191" vm="2511">
        <f ca="1"/>
        <v>169.54</v>
      </c>
      <c r="G191" vm="2786">
        <f ca="1"/>
        <v>245.31</v>
      </c>
      <c r="H191" vm="2787">
        <f ca="1"/>
        <v>592.23</v>
      </c>
      <c r="I191" vm="2788">
        <f ca="1"/>
        <v>119.31</v>
      </c>
      <c r="J191" vm="2789">
        <f ca="1"/>
        <v>18.46</v>
      </c>
      <c r="K191" vm="2790">
        <f ca="1"/>
        <v>36.270000000000003</v>
      </c>
      <c r="L191" vm="2791">
        <f ca="1"/>
        <v>24.8</v>
      </c>
      <c r="M191" vm="2792">
        <f ca="1"/>
        <v>196.88</v>
      </c>
      <c r="N191" vm="2793">
        <f ca="1"/>
        <v>141.97999999999999</v>
      </c>
      <c r="O191" vm="2794">
        <f ca="1"/>
        <v>57.46</v>
      </c>
      <c r="P191" vm="998">
        <f ca="1"/>
        <v>164.84</v>
      </c>
    </row>
    <row r="192" spans="1:16" x14ac:dyDescent="0.25">
      <c r="A192" vm="2795">
        <f ca="1"/>
        <v>45614</v>
      </c>
      <c r="B192" vm="2796">
        <f ca="1"/>
        <v>338.74</v>
      </c>
      <c r="C192" vm="2797">
        <f ca="1"/>
        <v>201.7</v>
      </c>
      <c r="D192" vm="2798">
        <f ca="1"/>
        <v>415.76</v>
      </c>
      <c r="E192" vm="2799">
        <f ca="1"/>
        <v>375.35</v>
      </c>
      <c r="F192" vm="2800">
        <f ca="1"/>
        <v>170.75</v>
      </c>
      <c r="G192" vm="2801">
        <f ca="1"/>
        <v>245.03</v>
      </c>
      <c r="H192" vm="2802">
        <f ca="1"/>
        <v>589.65</v>
      </c>
      <c r="I192" vm="2803">
        <f ca="1"/>
        <v>120.31</v>
      </c>
      <c r="J192" vm="2354">
        <f ca="1"/>
        <v>18.97</v>
      </c>
      <c r="K192" vm="2804">
        <f ca="1"/>
        <v>36.450000000000003</v>
      </c>
      <c r="L192" vm="2805">
        <f ca="1"/>
        <v>24.86</v>
      </c>
      <c r="M192" vm="2806">
        <f ca="1"/>
        <v>199.97</v>
      </c>
      <c r="N192" vm="2807">
        <f ca="1"/>
        <v>140.15</v>
      </c>
      <c r="O192" vm="2808">
        <f ca="1"/>
        <v>57.31</v>
      </c>
      <c r="P192" vm="2809">
        <f ca="1"/>
        <v>165.67</v>
      </c>
    </row>
    <row r="193" spans="1:16" x14ac:dyDescent="0.25">
      <c r="A193" vm="2810">
        <f ca="1"/>
        <v>45615</v>
      </c>
      <c r="B193" vm="2811">
        <f ca="1"/>
        <v>346</v>
      </c>
      <c r="C193" vm="2812">
        <f ca="1"/>
        <v>204.61</v>
      </c>
      <c r="D193" vm="2813">
        <f ca="1"/>
        <v>417.79</v>
      </c>
      <c r="E193" vm="2814">
        <f ca="1"/>
        <v>373.5</v>
      </c>
      <c r="F193" vm="2815">
        <f ca="1"/>
        <v>170.76</v>
      </c>
      <c r="G193" vm="2816">
        <f ca="1"/>
        <v>243.09</v>
      </c>
      <c r="H193" vm="2817">
        <f ca="1"/>
        <v>577</v>
      </c>
      <c r="I193" vm="586">
        <f ca="1"/>
        <v>118.63</v>
      </c>
      <c r="J193" vm="2818">
        <f ca="1"/>
        <v>18.920000000000002</v>
      </c>
      <c r="K193" vm="2819">
        <f ca="1"/>
        <v>36.33</v>
      </c>
      <c r="L193" vm="2820">
        <f ca="1"/>
        <v>25.1</v>
      </c>
      <c r="M193" vm="2821">
        <f ca="1"/>
        <v>196.6</v>
      </c>
      <c r="N193" vm="2822">
        <f ca="1"/>
        <v>147.01</v>
      </c>
      <c r="O193" vm="2823">
        <f ca="1"/>
        <v>57.01</v>
      </c>
      <c r="P193" vm="2824">
        <f ca="1"/>
        <v>165.35</v>
      </c>
    </row>
    <row r="194" spans="1:16" x14ac:dyDescent="0.25">
      <c r="A194" vm="2825">
        <f ca="1"/>
        <v>45616</v>
      </c>
      <c r="B194" vm="2826">
        <f ca="1"/>
        <v>342.03</v>
      </c>
      <c r="C194" vm="2827">
        <f ca="1"/>
        <v>202.88</v>
      </c>
      <c r="D194" vm="2828">
        <f ca="1"/>
        <v>415.49</v>
      </c>
      <c r="E194" vm="2829">
        <f ca="1"/>
        <v>371.66</v>
      </c>
      <c r="F194" vm="2830">
        <f ca="1"/>
        <v>170.89</v>
      </c>
      <c r="G194" vm="2831">
        <f ca="1"/>
        <v>240.78</v>
      </c>
      <c r="H194" vm="2832">
        <f ca="1"/>
        <v>600.5</v>
      </c>
      <c r="I194" vm="2833">
        <f ca="1"/>
        <v>120.32</v>
      </c>
      <c r="J194" vm="2834">
        <f ca="1"/>
        <v>19.18</v>
      </c>
      <c r="K194" vm="2835">
        <f ca="1"/>
        <v>36.39</v>
      </c>
      <c r="L194" vm="2836">
        <f ca="1"/>
        <v>24.94</v>
      </c>
      <c r="M194" vm="2837">
        <f ca="1"/>
        <v>197.29</v>
      </c>
      <c r="N194" vm="2838">
        <f ca="1"/>
        <v>145.88999999999999</v>
      </c>
      <c r="O194" vm="2839">
        <f ca="1"/>
        <v>57.5</v>
      </c>
      <c r="P194" vm="2840">
        <f ca="1"/>
        <v>163.25</v>
      </c>
    </row>
    <row r="195" spans="1:16" x14ac:dyDescent="0.25">
      <c r="A195" vm="2841">
        <f ca="1"/>
        <v>45617</v>
      </c>
      <c r="B195" vm="2842">
        <f ca="1"/>
        <v>339.64</v>
      </c>
      <c r="C195" vm="2843">
        <f ca="1"/>
        <v>198.38</v>
      </c>
      <c r="D195" vm="2844">
        <f ca="1"/>
        <v>412.87</v>
      </c>
      <c r="E195" vm="2845">
        <f ca="1"/>
        <v>383.32</v>
      </c>
      <c r="F195" vm="2846">
        <f ca="1"/>
        <v>172.75</v>
      </c>
      <c r="G195" vm="2847">
        <f ca="1"/>
        <v>244.76</v>
      </c>
      <c r="H195" vm="2848">
        <f ca="1"/>
        <v>597.49</v>
      </c>
      <c r="I195" vm="2849">
        <f ca="1"/>
        <v>121.93</v>
      </c>
      <c r="J195" vm="2850">
        <f ca="1"/>
        <v>19.07</v>
      </c>
      <c r="K195" vm="2851">
        <f ca="1"/>
        <v>36.590000000000003</v>
      </c>
      <c r="L195" vm="2852">
        <f ca="1"/>
        <v>25.13</v>
      </c>
      <c r="M195" vm="2853">
        <f ca="1"/>
        <v>203.48</v>
      </c>
      <c r="N195" vm="2854">
        <f ca="1"/>
        <v>146.66999999999999</v>
      </c>
      <c r="O195" vm="2855">
        <f ca="1"/>
        <v>57.56</v>
      </c>
      <c r="P195" vm="2856">
        <f ca="1"/>
        <v>163.94</v>
      </c>
    </row>
    <row r="196" spans="1:16" x14ac:dyDescent="0.25">
      <c r="A196" vm="2857">
        <f ca="1"/>
        <v>45618</v>
      </c>
      <c r="B196" vm="2858">
        <f ca="1"/>
        <v>352.56</v>
      </c>
      <c r="C196" vm="2859">
        <f ca="1"/>
        <v>197.12</v>
      </c>
      <c r="D196" vm="2860">
        <f ca="1"/>
        <v>417</v>
      </c>
      <c r="E196" vm="2861">
        <f ca="1"/>
        <v>388.3</v>
      </c>
      <c r="F196" vm="2862">
        <f ca="1"/>
        <v>176.28</v>
      </c>
      <c r="G196" vm="2863">
        <f ca="1"/>
        <v>248.55</v>
      </c>
      <c r="H196" vm="2864">
        <f ca="1"/>
        <v>590.87</v>
      </c>
      <c r="I196" vm="526">
        <f ca="1"/>
        <v>121.79</v>
      </c>
      <c r="J196" vm="2865">
        <f ca="1"/>
        <v>19.059999999999999</v>
      </c>
      <c r="K196" vm="2866">
        <f ca="1"/>
        <v>35.92</v>
      </c>
      <c r="L196" vm="2867">
        <f ca="1"/>
        <v>25.65</v>
      </c>
      <c r="M196" vm="2868">
        <f ca="1"/>
        <v>203.8</v>
      </c>
      <c r="N196" vm="2869">
        <f ca="1"/>
        <v>141.94999999999999</v>
      </c>
      <c r="O196" vm="2870">
        <f ca="1"/>
        <v>58.55</v>
      </c>
      <c r="P196" vm="2871">
        <f ca="1"/>
        <v>164.23</v>
      </c>
    </row>
    <row r="197" spans="1:16" x14ac:dyDescent="0.25">
      <c r="A197" vm="2872">
        <f ca="1"/>
        <v>45621</v>
      </c>
      <c r="B197" vm="2873">
        <f ca="1"/>
        <v>338.59</v>
      </c>
      <c r="C197" vm="2874">
        <f ca="1"/>
        <v>201.45</v>
      </c>
      <c r="D197" vm="2875">
        <f ca="1"/>
        <v>418.79</v>
      </c>
      <c r="E197" vm="2876">
        <f ca="1"/>
        <v>399.71</v>
      </c>
      <c r="F197" vm="2877">
        <f ca="1"/>
        <v>177.39</v>
      </c>
      <c r="G197" vm="2878">
        <f ca="1"/>
        <v>250.29</v>
      </c>
      <c r="H197" vm="2879">
        <f ca="1"/>
        <v>605.83000000000004</v>
      </c>
      <c r="I197" vm="2880">
        <f ca="1"/>
        <v>119.97</v>
      </c>
      <c r="J197" vm="2881">
        <f ca="1"/>
        <v>19.420000000000002</v>
      </c>
      <c r="K197" vm="1711">
        <f ca="1"/>
        <v>36.07</v>
      </c>
      <c r="L197" vm="2882">
        <f ca="1"/>
        <v>26.17</v>
      </c>
      <c r="M197" vm="2883">
        <f ca="1"/>
        <v>202.03</v>
      </c>
      <c r="N197" vm="2884">
        <f ca="1"/>
        <v>136.02000000000001</v>
      </c>
      <c r="O197" vm="2885">
        <f ca="1"/>
        <v>58.74</v>
      </c>
      <c r="P197" vm="2886">
        <f ca="1"/>
        <v>164.82</v>
      </c>
    </row>
    <row r="198" spans="1:16" x14ac:dyDescent="0.25">
      <c r="A198" vm="2887">
        <f ca="1"/>
        <v>45622</v>
      </c>
      <c r="B198" vm="2888">
        <f ca="1"/>
        <v>338.23</v>
      </c>
      <c r="C198" vm="2152">
        <f ca="1"/>
        <v>207.86</v>
      </c>
      <c r="D198" vm="2889">
        <f ca="1"/>
        <v>427.99</v>
      </c>
      <c r="E198" vm="2890">
        <f ca="1"/>
        <v>396.14</v>
      </c>
      <c r="F198" vm="2891">
        <f ca="1"/>
        <v>179.31</v>
      </c>
      <c r="G198" vm="2892">
        <f ca="1"/>
        <v>249.97</v>
      </c>
      <c r="H198" vm="2893">
        <f ca="1"/>
        <v>606.79</v>
      </c>
      <c r="I198" vm="2894">
        <f ca="1"/>
        <v>117.97</v>
      </c>
      <c r="J198" vm="2895">
        <f ca="1"/>
        <v>19.37</v>
      </c>
      <c r="K198" vm="2896">
        <f ca="1"/>
        <v>35.65</v>
      </c>
      <c r="L198" vm="2897">
        <f ca="1"/>
        <v>25.77</v>
      </c>
      <c r="M198" vm="2898">
        <f ca="1"/>
        <v>207.87</v>
      </c>
      <c r="N198" vm="2899">
        <f ca="1"/>
        <v>136.91999999999999</v>
      </c>
      <c r="O198" vm="2900">
        <f ca="1"/>
        <v>59.59</v>
      </c>
      <c r="P198" vm="2901">
        <f ca="1"/>
        <v>164.74</v>
      </c>
    </row>
    <row r="199" spans="1:16" x14ac:dyDescent="0.25">
      <c r="A199" vm="2902">
        <f ca="1"/>
        <v>45623</v>
      </c>
      <c r="B199" vm="2903">
        <f ca="1"/>
        <v>332.89</v>
      </c>
      <c r="C199" vm="2904">
        <f ca="1"/>
        <v>205.74</v>
      </c>
      <c r="D199" vm="2905">
        <f ca="1"/>
        <v>422.99</v>
      </c>
      <c r="E199" vm="2906">
        <f ca="1"/>
        <v>393.96</v>
      </c>
      <c r="F199" vm="2907">
        <f ca="1"/>
        <v>179.36</v>
      </c>
      <c r="G199" vm="2908">
        <f ca="1"/>
        <v>249.79</v>
      </c>
      <c r="H199" vm="2909">
        <f ca="1"/>
        <v>608.38</v>
      </c>
      <c r="I199" vm="2910">
        <f ca="1"/>
        <v>117.66</v>
      </c>
      <c r="J199" vm="2911">
        <f ca="1"/>
        <v>19.760000000000002</v>
      </c>
      <c r="K199" vm="1412">
        <f ca="1"/>
        <v>36.86</v>
      </c>
      <c r="L199" vm="2912">
        <f ca="1"/>
        <v>25.83</v>
      </c>
      <c r="M199" vm="2913">
        <f ca="1"/>
        <v>208.2</v>
      </c>
      <c r="N199" vm="2914">
        <f ca="1"/>
        <v>135.34</v>
      </c>
      <c r="O199" vm="2915">
        <f ca="1"/>
        <v>59.29</v>
      </c>
      <c r="P199" vm="2916">
        <f ca="1"/>
        <v>159.66999999999999</v>
      </c>
    </row>
    <row r="200" spans="1:16" x14ac:dyDescent="0.25">
      <c r="A200" vm="2917">
        <f ca="1"/>
        <v>45625</v>
      </c>
      <c r="B200" vm="2918">
        <f ca="1"/>
        <v>345.16</v>
      </c>
      <c r="C200" vm="2919">
        <f ca="1"/>
        <v>207.89</v>
      </c>
      <c r="D200" vm="2920">
        <f ca="1"/>
        <v>423.46</v>
      </c>
      <c r="E200" vm="2921">
        <f ca="1"/>
        <v>397.4</v>
      </c>
      <c r="F200" vm="2922">
        <f ca="1"/>
        <v>179.26</v>
      </c>
      <c r="G200" vm="2923">
        <f ca="1"/>
        <v>249.72</v>
      </c>
      <c r="H200" vm="2924">
        <f ca="1"/>
        <v>610.20000000000005</v>
      </c>
      <c r="I200" vm="693">
        <f ca="1"/>
        <v>117.96</v>
      </c>
      <c r="J200" vm="2925">
        <f ca="1"/>
        <v>20.05</v>
      </c>
      <c r="K200" vm="2926">
        <f ca="1"/>
        <v>39</v>
      </c>
      <c r="L200" vm="2927">
        <f ca="1"/>
        <v>26.21</v>
      </c>
      <c r="M200" vm="2928">
        <f ca="1"/>
        <v>207.39</v>
      </c>
      <c r="N200" vm="2929">
        <f ca="1"/>
        <v>138.25</v>
      </c>
      <c r="O200" vm="2930">
        <f ca="1"/>
        <v>59.21</v>
      </c>
      <c r="P200" vm="2931">
        <f ca="1"/>
        <v>162.08000000000001</v>
      </c>
    </row>
    <row r="201" spans="1:16" x14ac:dyDescent="0.25">
      <c r="A201" vm="2932">
        <f ca="1"/>
        <v>45628</v>
      </c>
      <c r="B201" vm="2933">
        <f ca="1"/>
        <v>357.09</v>
      </c>
      <c r="C201" vm="2934">
        <f ca="1"/>
        <v>210.71</v>
      </c>
      <c r="D201" vm="2935">
        <f ca="1"/>
        <v>430.98</v>
      </c>
      <c r="E201" vm="2936">
        <f ca="1"/>
        <v>395.58</v>
      </c>
      <c r="F201" vm="2937">
        <f ca="1"/>
        <v>179.7</v>
      </c>
      <c r="G201" vm="2938">
        <f ca="1"/>
        <v>246.25</v>
      </c>
      <c r="H201" vm="2939">
        <f ca="1"/>
        <v>608.52</v>
      </c>
      <c r="I201" vm="947">
        <f ca="1"/>
        <v>117.85</v>
      </c>
      <c r="J201" vm="2940">
        <f ca="1"/>
        <v>20.010000000000002</v>
      </c>
      <c r="K201" vm="2941">
        <f ca="1"/>
        <v>39.43</v>
      </c>
      <c r="L201" vm="2942">
        <f ca="1"/>
        <v>25.82</v>
      </c>
      <c r="M201" vm="2943">
        <f ca="1"/>
        <v>204.39</v>
      </c>
      <c r="N201" vm="2944">
        <f ca="1"/>
        <v>138.63</v>
      </c>
      <c r="O201" vm="2945">
        <f ca="1"/>
        <v>59.43</v>
      </c>
      <c r="P201" vm="884">
        <f ca="1"/>
        <v>166.51</v>
      </c>
    </row>
    <row r="202" spans="1:16" x14ac:dyDescent="0.25">
      <c r="A202" vm="2946">
        <f ca="1"/>
        <v>45629</v>
      </c>
      <c r="B202" vm="2947">
        <f ca="1"/>
        <v>351.42</v>
      </c>
      <c r="C202" vm="2948">
        <f ca="1"/>
        <v>213.44</v>
      </c>
      <c r="D202" vm="2949">
        <f ca="1"/>
        <v>431.2</v>
      </c>
      <c r="E202" vm="2950">
        <f ca="1"/>
        <v>395.32</v>
      </c>
      <c r="F202" vm="2951">
        <f ca="1"/>
        <v>175.42</v>
      </c>
      <c r="G202" vm="2952">
        <f ca="1"/>
        <v>244.82</v>
      </c>
      <c r="H202" vm="2953">
        <f ca="1"/>
        <v>605.23</v>
      </c>
      <c r="I202" vm="872">
        <f ca="1"/>
        <v>117.67</v>
      </c>
      <c r="J202" vm="2954">
        <f ca="1"/>
        <v>20.47</v>
      </c>
      <c r="K202" vm="2955">
        <f ca="1"/>
        <v>39.840000000000003</v>
      </c>
      <c r="L202" vm="2956">
        <f ca="1"/>
        <v>25.56</v>
      </c>
      <c r="M202" vm="2957">
        <f ca="1"/>
        <v>203.4</v>
      </c>
      <c r="N202" vm="2958">
        <f ca="1"/>
        <v>140.26</v>
      </c>
      <c r="O202" vm="2959">
        <f ca="1"/>
        <v>59.48</v>
      </c>
      <c r="P202" vm="2960">
        <f ca="1"/>
        <v>168.15</v>
      </c>
    </row>
    <row r="203" spans="1:16" x14ac:dyDescent="0.25">
      <c r="A203" vm="2961">
        <f ca="1"/>
        <v>45630</v>
      </c>
      <c r="B203" vm="2962">
        <f ca="1"/>
        <v>357.93</v>
      </c>
      <c r="C203" vm="2963">
        <f ca="1"/>
        <v>218.16</v>
      </c>
      <c r="D203" vm="2964">
        <f ca="1"/>
        <v>437.42</v>
      </c>
      <c r="E203" vm="2965">
        <f ca="1"/>
        <v>392.07</v>
      </c>
      <c r="F203" vm="2966">
        <f ca="1"/>
        <v>175.11</v>
      </c>
      <c r="G203" vm="2967">
        <f ca="1"/>
        <v>243.4</v>
      </c>
      <c r="H203" vm="2968">
        <f ca="1"/>
        <v>610.79</v>
      </c>
      <c r="I203" vm="2969">
        <f ca="1"/>
        <v>114.28</v>
      </c>
      <c r="J203" vm="2970">
        <f ca="1"/>
        <v>20.99</v>
      </c>
      <c r="K203" vm="2971">
        <f ca="1"/>
        <v>40.31</v>
      </c>
      <c r="L203" vm="2972">
        <f ca="1"/>
        <v>25.23</v>
      </c>
      <c r="M203" vm="2973">
        <f ca="1"/>
        <v>204.95</v>
      </c>
      <c r="N203" vm="2974">
        <f ca="1"/>
        <v>145.13999999999999</v>
      </c>
      <c r="O203" vm="2975">
        <f ca="1"/>
        <v>59.62</v>
      </c>
      <c r="P203" vm="2976">
        <f ca="1"/>
        <v>170.56</v>
      </c>
    </row>
    <row r="204" spans="1:16" x14ac:dyDescent="0.25">
      <c r="A204" vm="2977">
        <f ca="1"/>
        <v>45631</v>
      </c>
      <c r="B204" vm="2978">
        <f ca="1"/>
        <v>369.49</v>
      </c>
      <c r="C204" vm="2979">
        <f ca="1"/>
        <v>220.55</v>
      </c>
      <c r="D204" vm="2980">
        <f ca="1"/>
        <v>442.62</v>
      </c>
      <c r="E204" vm="2981">
        <f ca="1"/>
        <v>385.24</v>
      </c>
      <c r="F204" vm="2982">
        <f ca="1"/>
        <v>176.03</v>
      </c>
      <c r="G204" vm="2983">
        <f ca="1"/>
        <v>245.48</v>
      </c>
      <c r="H204" vm="2984">
        <f ca="1"/>
        <v>578.97</v>
      </c>
      <c r="I204" vm="2985">
        <f ca="1"/>
        <v>114.78</v>
      </c>
      <c r="J204" vm="2986">
        <f ca="1"/>
        <v>20.9</v>
      </c>
      <c r="K204" vm="2987">
        <f ca="1"/>
        <v>40.42</v>
      </c>
      <c r="L204" vm="2988">
        <f ca="1"/>
        <v>25.7</v>
      </c>
      <c r="M204" vm="2989">
        <f ca="1"/>
        <v>204.23</v>
      </c>
      <c r="N204" vm="2990">
        <f ca="1"/>
        <v>145.06</v>
      </c>
      <c r="O204" vm="2991">
        <f ca="1"/>
        <v>60.02</v>
      </c>
      <c r="P204" vm="2992">
        <f ca="1"/>
        <v>170.47</v>
      </c>
    </row>
    <row r="205" spans="1:16" x14ac:dyDescent="0.25">
      <c r="A205" vm="2993">
        <f ca="1"/>
        <v>45632</v>
      </c>
      <c r="B205" vm="2994">
        <f ca="1"/>
        <v>389.22</v>
      </c>
      <c r="C205" vm="2995">
        <f ca="1"/>
        <v>227.03</v>
      </c>
      <c r="D205" vm="2996">
        <f ca="1"/>
        <v>443.57</v>
      </c>
      <c r="E205" vm="2997">
        <f ca="1"/>
        <v>384.96</v>
      </c>
      <c r="F205" vm="2998">
        <f ca="1"/>
        <v>173.82</v>
      </c>
      <c r="G205" vm="2999">
        <f ca="1"/>
        <v>247.36</v>
      </c>
      <c r="H205" vm="3000">
        <f ca="1"/>
        <v>549.62</v>
      </c>
      <c r="I205" vm="3001">
        <f ca="1"/>
        <v>113.57</v>
      </c>
      <c r="J205" vm="3002">
        <f ca="1"/>
        <v>20.94</v>
      </c>
      <c r="K205" vm="3003">
        <f ca="1"/>
        <v>40.880000000000003</v>
      </c>
      <c r="L205" vm="3004">
        <f ca="1"/>
        <v>25.73</v>
      </c>
      <c r="M205" vm="3005">
        <f ca="1"/>
        <v>203.64</v>
      </c>
      <c r="N205" vm="3006">
        <f ca="1"/>
        <v>142.44</v>
      </c>
      <c r="O205" vm="3007">
        <f ca="1"/>
        <v>59.89</v>
      </c>
      <c r="P205" vm="3008">
        <f ca="1"/>
        <v>179.53</v>
      </c>
    </row>
    <row r="206" spans="1:16" x14ac:dyDescent="0.25">
      <c r="A206" vm="3009">
        <f ca="1"/>
        <v>45635</v>
      </c>
      <c r="B206" vm="3010">
        <f ca="1"/>
        <v>389.79</v>
      </c>
      <c r="C206" vm="3011">
        <f ca="1"/>
        <v>226.09</v>
      </c>
      <c r="D206" vm="3012">
        <f ca="1"/>
        <v>446.02</v>
      </c>
      <c r="E206" vm="2408">
        <f ca="1"/>
        <v>376.45</v>
      </c>
      <c r="F206" vm="3013">
        <f ca="1"/>
        <v>170.79</v>
      </c>
      <c r="G206" vm="3014">
        <f ca="1"/>
        <v>243.81</v>
      </c>
      <c r="H206" vm="3015">
        <f ca="1"/>
        <v>560.62</v>
      </c>
      <c r="I206" vm="3016">
        <f ca="1"/>
        <v>112.9</v>
      </c>
      <c r="J206" vm="3017">
        <f ca="1"/>
        <v>21.1</v>
      </c>
      <c r="K206" vm="88">
        <f ca="1"/>
        <v>41.31</v>
      </c>
      <c r="L206" vm="3018">
        <f ca="1"/>
        <v>26.1</v>
      </c>
      <c r="M206" vm="3019">
        <f ca="1"/>
        <v>199.04</v>
      </c>
      <c r="N206" vm="3020">
        <f ca="1"/>
        <v>138.81</v>
      </c>
      <c r="O206" vm="3021">
        <f ca="1"/>
        <v>58.95</v>
      </c>
      <c r="P206" vm="3022">
        <f ca="1"/>
        <v>178.94</v>
      </c>
    </row>
    <row r="207" spans="1:16" x14ac:dyDescent="0.25">
      <c r="A207" vm="3023">
        <f ca="1"/>
        <v>45636</v>
      </c>
      <c r="B207" vm="3024">
        <f ca="1"/>
        <v>400.99</v>
      </c>
      <c r="C207" vm="3025">
        <f ca="1"/>
        <v>225.04</v>
      </c>
      <c r="D207" vm="3026">
        <f ca="1"/>
        <v>443.33</v>
      </c>
      <c r="E207" vm="2105">
        <f ca="1"/>
        <v>371.6</v>
      </c>
      <c r="F207" vm="2481">
        <f ca="1"/>
        <v>172.28</v>
      </c>
      <c r="G207" vm="3027">
        <f ca="1"/>
        <v>242.86</v>
      </c>
      <c r="H207" vm="3028">
        <f ca="1"/>
        <v>565.19000000000005</v>
      </c>
      <c r="I207" vm="1090">
        <f ca="1"/>
        <v>112.67</v>
      </c>
      <c r="J207" vm="3029">
        <f ca="1"/>
        <v>21.77</v>
      </c>
      <c r="K207" vm="3030">
        <f ca="1"/>
        <v>41</v>
      </c>
      <c r="L207" vm="3031">
        <f ca="1"/>
        <v>25.57</v>
      </c>
      <c r="M207" vm="3032">
        <f ca="1"/>
        <v>195.06</v>
      </c>
      <c r="N207" vm="3033">
        <f ca="1"/>
        <v>135.07</v>
      </c>
      <c r="O207" vm="3034">
        <f ca="1"/>
        <v>58.72</v>
      </c>
      <c r="P207" vm="3035">
        <f ca="1"/>
        <v>171.81</v>
      </c>
    </row>
    <row r="208" spans="1:16" x14ac:dyDescent="0.25">
      <c r="A208" vm="3036">
        <f ca="1"/>
        <v>45637</v>
      </c>
      <c r="B208" vm="3037">
        <f ca="1"/>
        <v>424.77</v>
      </c>
      <c r="C208" vm="3038">
        <f ca="1"/>
        <v>230.26</v>
      </c>
      <c r="D208" vm="3039">
        <f ca="1"/>
        <v>448.99</v>
      </c>
      <c r="E208" vm="3040">
        <f ca="1"/>
        <v>371.94</v>
      </c>
      <c r="F208" vm="3041">
        <f ca="1"/>
        <v>170.63</v>
      </c>
      <c r="G208" vm="3042">
        <f ca="1"/>
        <v>243.53</v>
      </c>
      <c r="H208" vm="3043">
        <f ca="1"/>
        <v>533.53</v>
      </c>
      <c r="I208" vm="1455">
        <f ca="1"/>
        <v>111.92</v>
      </c>
      <c r="J208" vm="3044">
        <f ca="1"/>
        <v>22.17</v>
      </c>
      <c r="K208" vm="3003">
        <f ca="1"/>
        <v>40.880000000000003</v>
      </c>
      <c r="L208" vm="2972">
        <f ca="1"/>
        <v>25.23</v>
      </c>
      <c r="M208" vm="3045">
        <f ca="1"/>
        <v>193.3</v>
      </c>
      <c r="N208" vm="3046">
        <f ca="1"/>
        <v>139.31</v>
      </c>
      <c r="O208" vm="3047">
        <f ca="1"/>
        <v>58.59</v>
      </c>
      <c r="P208" vm="1641">
        <f ca="1"/>
        <v>183.2</v>
      </c>
    </row>
    <row r="209" spans="1:16" x14ac:dyDescent="0.25">
      <c r="A209" vm="3048">
        <f ca="1"/>
        <v>45638</v>
      </c>
      <c r="B209" vm="3049">
        <f ca="1"/>
        <v>418.1</v>
      </c>
      <c r="C209" vm="3050">
        <f ca="1"/>
        <v>228.97</v>
      </c>
      <c r="D209" vm="3051">
        <f ca="1"/>
        <v>449.56</v>
      </c>
      <c r="E209" vm="3052">
        <f ca="1"/>
        <v>366.85</v>
      </c>
      <c r="F209" vm="3053">
        <f ca="1"/>
        <v>170.85</v>
      </c>
      <c r="G209" vm="3054">
        <f ca="1"/>
        <v>241.53</v>
      </c>
      <c r="H209" vm="3055">
        <f ca="1"/>
        <v>515.76</v>
      </c>
      <c r="I209" vm="3056">
        <f ca="1"/>
        <v>111.82</v>
      </c>
      <c r="J209" vm="3057">
        <f ca="1"/>
        <v>22.38</v>
      </c>
      <c r="K209" vm="3058">
        <f ca="1"/>
        <v>41.56</v>
      </c>
      <c r="L209" vm="3059">
        <f ca="1"/>
        <v>25.37</v>
      </c>
      <c r="M209" vm="3060">
        <f ca="1"/>
        <v>192.3</v>
      </c>
      <c r="N209" vm="3061">
        <f ca="1"/>
        <v>137.34</v>
      </c>
      <c r="O209" vm="3062">
        <f ca="1"/>
        <v>58.85</v>
      </c>
      <c r="P209" vm="3063">
        <f ca="1"/>
        <v>180.66</v>
      </c>
    </row>
    <row r="210" spans="1:16" x14ac:dyDescent="0.25">
      <c r="A210" vm="3064">
        <f ca="1"/>
        <v>45639</v>
      </c>
      <c r="B210" vm="3065">
        <f ca="1"/>
        <v>436.23</v>
      </c>
      <c r="C210" vm="3066">
        <f ca="1"/>
        <v>227.46</v>
      </c>
      <c r="D210" vm="3067">
        <f ca="1"/>
        <v>447.27</v>
      </c>
      <c r="E210" vm="3068">
        <f ca="1"/>
        <v>364.5</v>
      </c>
      <c r="F210" vm="3069">
        <f ca="1"/>
        <v>171.06</v>
      </c>
      <c r="G210" vm="3070">
        <f ca="1"/>
        <v>239.94</v>
      </c>
      <c r="H210" vm="3071">
        <f ca="1"/>
        <v>520.48</v>
      </c>
      <c r="I210" vm="3072">
        <f ca="1"/>
        <v>110.84</v>
      </c>
      <c r="J210" vm="3073">
        <f ca="1"/>
        <v>21.69</v>
      </c>
      <c r="K210" vm="3074">
        <f ca="1"/>
        <v>42.02</v>
      </c>
      <c r="L210" vm="3075">
        <f ca="1"/>
        <v>25.58</v>
      </c>
      <c r="M210" vm="3076">
        <f ca="1"/>
        <v>196.26</v>
      </c>
      <c r="N210" vm="3077">
        <f ca="1"/>
        <v>134.25</v>
      </c>
      <c r="O210" vm="3078">
        <f ca="1"/>
        <v>58.62</v>
      </c>
      <c r="P210" vm="2002">
        <f ca="1"/>
        <v>224.8</v>
      </c>
    </row>
    <row r="211" spans="1:16" x14ac:dyDescent="0.25">
      <c r="A211" vm="3079">
        <f ca="1"/>
        <v>45642</v>
      </c>
      <c r="B211" vm="3080">
        <f ca="1"/>
        <v>463.02</v>
      </c>
      <c r="C211" vm="3081">
        <f ca="1"/>
        <v>232.93</v>
      </c>
      <c r="D211" vm="3082">
        <f ca="1"/>
        <v>451.59</v>
      </c>
      <c r="E211" vm="3083">
        <f ca="1"/>
        <v>365.03</v>
      </c>
      <c r="F211" vm="3084">
        <f ca="1"/>
        <v>171.14</v>
      </c>
      <c r="G211" vm="3085">
        <f ca="1"/>
        <v>239.58</v>
      </c>
      <c r="H211" vm="3086">
        <f ca="1"/>
        <v>498.5</v>
      </c>
      <c r="I211" vm="3087">
        <f ca="1"/>
        <v>108.47</v>
      </c>
      <c r="J211" vm="3088">
        <f ca="1"/>
        <v>21.49</v>
      </c>
      <c r="K211" vm="3089">
        <f ca="1"/>
        <v>41.44</v>
      </c>
      <c r="L211" vm="3090">
        <f ca="1"/>
        <v>25.25</v>
      </c>
      <c r="M211" vm="3091">
        <f ca="1"/>
        <v>195.02</v>
      </c>
      <c r="N211" vm="3092">
        <f ca="1"/>
        <v>132</v>
      </c>
      <c r="O211" vm="3093">
        <f ca="1"/>
        <v>58.35</v>
      </c>
      <c r="P211" vm="2214">
        <f ca="1"/>
        <v>250</v>
      </c>
    </row>
    <row r="212" spans="1:16" x14ac:dyDescent="0.25">
      <c r="A212" vm="3094">
        <f ca="1"/>
        <v>45643</v>
      </c>
      <c r="B212" vm="3095">
        <f ca="1"/>
        <v>479.86</v>
      </c>
      <c r="C212" vm="3096">
        <f ca="1"/>
        <v>231.15</v>
      </c>
      <c r="D212" vm="3097">
        <f ca="1"/>
        <v>454.46</v>
      </c>
      <c r="E212" vm="3098">
        <f ca="1"/>
        <v>362.79</v>
      </c>
      <c r="F212" vm="3099">
        <f ca="1"/>
        <v>170.33</v>
      </c>
      <c r="G212" vm="3100">
        <f ca="1"/>
        <v>238.36</v>
      </c>
      <c r="H212" vm="3101">
        <f ca="1"/>
        <v>485.52</v>
      </c>
      <c r="I212" vm="3102">
        <f ca="1"/>
        <v>108.01</v>
      </c>
      <c r="J212" vm="3103">
        <f ca="1"/>
        <v>21.73</v>
      </c>
      <c r="K212" vm="3104">
        <f ca="1"/>
        <v>41.46</v>
      </c>
      <c r="L212" vm="25">
        <f ca="1"/>
        <v>26.43</v>
      </c>
      <c r="M212" vm="3105">
        <f ca="1"/>
        <v>193.4</v>
      </c>
      <c r="N212" vm="3106">
        <f ca="1"/>
        <v>130.38999999999999</v>
      </c>
      <c r="O212" vm="3107">
        <f ca="1"/>
        <v>58.52</v>
      </c>
      <c r="P212" vm="3108">
        <f ca="1"/>
        <v>240.23</v>
      </c>
    </row>
    <row r="213" spans="1:16" x14ac:dyDescent="0.25">
      <c r="A213" vm="3109">
        <f ca="1"/>
        <v>45644</v>
      </c>
      <c r="B213" vm="3110">
        <f ca="1"/>
        <v>440.13</v>
      </c>
      <c r="C213" vm="3111">
        <f ca="1"/>
        <v>220.52</v>
      </c>
      <c r="D213" vm="3112">
        <f ca="1"/>
        <v>437.39</v>
      </c>
      <c r="E213" vm="3113">
        <f ca="1"/>
        <v>348.66</v>
      </c>
      <c r="F213" vm="876">
        <f ca="1"/>
        <v>169.08</v>
      </c>
      <c r="G213" vm="3114">
        <f ca="1"/>
        <v>230.37</v>
      </c>
      <c r="H213" vm="3115">
        <f ca="1"/>
        <v>499.72</v>
      </c>
      <c r="I213" vm="3116">
        <f ca="1"/>
        <v>106.42</v>
      </c>
      <c r="J213" vm="3117">
        <f ca="1"/>
        <v>20.91</v>
      </c>
      <c r="K213" vm="3118">
        <f ca="1"/>
        <v>40.69</v>
      </c>
      <c r="L213" vm="105">
        <f ca="1"/>
        <v>25.89</v>
      </c>
      <c r="M213" vm="3119">
        <f ca="1"/>
        <v>189.25</v>
      </c>
      <c r="N213" vm="3120">
        <f ca="1"/>
        <v>128.91</v>
      </c>
      <c r="O213" vm="3121">
        <f ca="1"/>
        <v>57.53</v>
      </c>
      <c r="P213" vm="3122">
        <f ca="1"/>
        <v>223.62</v>
      </c>
    </row>
    <row r="214" spans="1:16" x14ac:dyDescent="0.25">
      <c r="A214" vm="3123">
        <f ca="1"/>
        <v>45645</v>
      </c>
      <c r="B214" vm="3124">
        <f ca="1"/>
        <v>436.17</v>
      </c>
      <c r="C214" vm="3125">
        <f ca="1"/>
        <v>223.29</v>
      </c>
      <c r="D214" vm="3126">
        <f ca="1"/>
        <v>437.03</v>
      </c>
      <c r="E214" vm="3127">
        <f ca="1"/>
        <v>342.38</v>
      </c>
      <c r="F214" vm="3128">
        <f ca="1"/>
        <v>169.19</v>
      </c>
      <c r="G214" vm="3129">
        <f ca="1"/>
        <v>232.96</v>
      </c>
      <c r="H214" vm="3130">
        <f ca="1"/>
        <v>489.25</v>
      </c>
      <c r="I214" vm="3131">
        <f ca="1"/>
        <v>105.51</v>
      </c>
      <c r="J214" vm="3132">
        <f ca="1"/>
        <v>20.66</v>
      </c>
      <c r="K214" vm="3133">
        <f ca="1"/>
        <v>40.46</v>
      </c>
      <c r="L214" vm="2897">
        <f ca="1"/>
        <v>25.77</v>
      </c>
      <c r="M214" vm="3134">
        <f ca="1"/>
        <v>189.79</v>
      </c>
      <c r="N214" vm="3135">
        <f ca="1"/>
        <v>130.68</v>
      </c>
      <c r="O214" vm="3136">
        <f ca="1"/>
        <v>57.63</v>
      </c>
      <c r="P214" vm="3137">
        <f ca="1"/>
        <v>218.32</v>
      </c>
    </row>
    <row r="215" spans="1:16" x14ac:dyDescent="0.25">
      <c r="A215" vm="3138">
        <f ca="1"/>
        <v>45646</v>
      </c>
      <c r="B215" vm="3139">
        <f ca="1"/>
        <v>421.06</v>
      </c>
      <c r="C215" vm="3140">
        <f ca="1"/>
        <v>224.92</v>
      </c>
      <c r="D215" vm="3141">
        <f ca="1"/>
        <v>436.6</v>
      </c>
      <c r="E215" vm="3142">
        <f ca="1"/>
        <v>345.47</v>
      </c>
      <c r="F215" vm="1720">
        <f ca="1"/>
        <v>168.06</v>
      </c>
      <c r="G215" vm="3143">
        <f ca="1"/>
        <v>237.6</v>
      </c>
      <c r="H215" vm="3144">
        <f ca="1"/>
        <v>500.13</v>
      </c>
      <c r="I215" vm="3145">
        <f ca="1"/>
        <v>105.87</v>
      </c>
      <c r="J215" vm="3146">
        <f ca="1"/>
        <v>21.02</v>
      </c>
      <c r="K215" vm="2987">
        <f ca="1"/>
        <v>40.42</v>
      </c>
      <c r="L215" vm="3147">
        <f ca="1"/>
        <v>26.36</v>
      </c>
      <c r="M215" vm="3148">
        <f ca="1"/>
        <v>193.56</v>
      </c>
      <c r="N215" vm="3149">
        <f ca="1"/>
        <v>134.69999999999999</v>
      </c>
      <c r="O215" vm="3107">
        <f ca="1"/>
        <v>58.52</v>
      </c>
      <c r="P215" vm="3150">
        <f ca="1"/>
        <v>220.79</v>
      </c>
    </row>
    <row r="216" spans="1:16" x14ac:dyDescent="0.25">
      <c r="A216" vm="3151">
        <f ca="1"/>
        <v>45649</v>
      </c>
      <c r="B216" vm="3152">
        <f ca="1"/>
        <v>430.6</v>
      </c>
      <c r="C216" vm="3153">
        <f ca="1"/>
        <v>225.06</v>
      </c>
      <c r="D216" vm="3154">
        <f ca="1"/>
        <v>435.25</v>
      </c>
      <c r="E216" vm="3155">
        <f ca="1"/>
        <v>344.84</v>
      </c>
      <c r="F216" vm="3156">
        <f ca="1"/>
        <v>168.11</v>
      </c>
      <c r="G216" vm="3157">
        <f ca="1"/>
        <v>238.39</v>
      </c>
      <c r="H216" vm="3158">
        <f ca="1"/>
        <v>506.34</v>
      </c>
      <c r="I216" vm="3159">
        <f ca="1"/>
        <v>106.3</v>
      </c>
      <c r="J216" vm="3160">
        <f ca="1"/>
        <v>21.16</v>
      </c>
      <c r="K216" vm="3161">
        <f ca="1"/>
        <v>40.06</v>
      </c>
      <c r="L216" vm="3162">
        <f ca="1"/>
        <v>26.71</v>
      </c>
      <c r="M216" vm="3163">
        <f ca="1"/>
        <v>193.63</v>
      </c>
      <c r="N216" vm="3164">
        <f ca="1"/>
        <v>139.66999999999999</v>
      </c>
      <c r="O216" vm="3165">
        <f ca="1"/>
        <v>58.98</v>
      </c>
      <c r="P216" vm="3166">
        <f ca="1"/>
        <v>232.35</v>
      </c>
    </row>
    <row r="217" spans="1:16" x14ac:dyDescent="0.25">
      <c r="A217" vm="3167">
        <f ca="1"/>
        <v>45650</v>
      </c>
      <c r="B217" vm="3168">
        <f ca="1"/>
        <v>462.28</v>
      </c>
      <c r="C217" vm="3169">
        <f ca="1"/>
        <v>229.05</v>
      </c>
      <c r="D217" vm="3170">
        <f ca="1"/>
        <v>439.33</v>
      </c>
      <c r="E217" vm="3171">
        <f ca="1"/>
        <v>346.52</v>
      </c>
      <c r="F217" vm="3172">
        <f ca="1"/>
        <v>168.94</v>
      </c>
      <c r="G217" vm="3173">
        <f ca="1"/>
        <v>242.31</v>
      </c>
      <c r="H217" vm="3174">
        <f ca="1"/>
        <v>506.1</v>
      </c>
      <c r="I217" vm="3175">
        <f ca="1"/>
        <v>106.4</v>
      </c>
      <c r="J217" vm="3176">
        <f ca="1"/>
        <v>21.14</v>
      </c>
      <c r="K217" vm="3177">
        <f ca="1"/>
        <v>40.15</v>
      </c>
      <c r="L217" vm="3178">
        <f ca="1"/>
        <v>26.74</v>
      </c>
      <c r="M217" vm="3179">
        <f ca="1"/>
        <v>195.52</v>
      </c>
      <c r="N217" vm="3180">
        <f ca="1"/>
        <v>140.22</v>
      </c>
      <c r="O217" vm="3181">
        <f ca="1"/>
        <v>59.85</v>
      </c>
      <c r="P217" vm="3182">
        <f ca="1"/>
        <v>239.68</v>
      </c>
    </row>
    <row r="218" spans="1:16" x14ac:dyDescent="0.25">
      <c r="A218" vm="3183">
        <f ca="1"/>
        <v>45652</v>
      </c>
      <c r="B218" vm="3184">
        <f ca="1"/>
        <v>454.13</v>
      </c>
      <c r="C218" vm="3185">
        <f ca="1"/>
        <v>227.05</v>
      </c>
      <c r="D218" vm="3186">
        <f ca="1"/>
        <v>438.11</v>
      </c>
      <c r="E218" vm="3187">
        <f ca="1"/>
        <v>345.51</v>
      </c>
      <c r="F218" vm="1897">
        <f ca="1"/>
        <v>170.16</v>
      </c>
      <c r="G218" vm="3188">
        <f ca="1"/>
        <v>243.14</v>
      </c>
      <c r="H218" vm="3189">
        <f ca="1"/>
        <v>511.15</v>
      </c>
      <c r="I218" vm="3190">
        <f ca="1"/>
        <v>106.49</v>
      </c>
      <c r="J218" vm="3191">
        <f ca="1"/>
        <v>21.18</v>
      </c>
      <c r="K218" vm="3192">
        <f ca="1"/>
        <v>40.4</v>
      </c>
      <c r="L218" vm="73">
        <f ca="1"/>
        <v>26.56</v>
      </c>
      <c r="M218" vm="3193">
        <f ca="1"/>
        <v>195.62</v>
      </c>
      <c r="N218" vm="3194">
        <f ca="1"/>
        <v>139.93</v>
      </c>
      <c r="O218" vm="3195">
        <f ca="1"/>
        <v>59.98</v>
      </c>
      <c r="P218" vm="3196">
        <f ca="1"/>
        <v>245.36</v>
      </c>
    </row>
    <row r="219" spans="1:16" x14ac:dyDescent="0.25">
      <c r="A219" vm="3197">
        <f ca="1"/>
        <v>45653</v>
      </c>
      <c r="B219" vm="3198">
        <f ca="1"/>
        <v>431.66</v>
      </c>
      <c r="C219" vm="3199">
        <f ca="1"/>
        <v>223.75</v>
      </c>
      <c r="D219" vm="3200">
        <f ca="1"/>
        <v>430.53</v>
      </c>
      <c r="E219" vm="3201">
        <f ca="1"/>
        <v>343.29</v>
      </c>
      <c r="F219" vm="3202">
        <f ca="1"/>
        <v>169.53</v>
      </c>
      <c r="G219" vm="3203">
        <f ca="1"/>
        <v>241.17</v>
      </c>
      <c r="H219" vm="3204">
        <f ca="1"/>
        <v>509.99</v>
      </c>
      <c r="I219" vm="3205">
        <f ca="1"/>
        <v>106.48</v>
      </c>
      <c r="J219" vm="3206">
        <f ca="1"/>
        <v>21.46</v>
      </c>
      <c r="K219" vm="3207">
        <f ca="1"/>
        <v>40.340000000000003</v>
      </c>
      <c r="L219" vm="3208">
        <f ca="1"/>
        <v>26.62</v>
      </c>
      <c r="M219" vm="3209">
        <f ca="1"/>
        <v>193.8</v>
      </c>
      <c r="N219" vm="3210">
        <f ca="1"/>
        <v>137.01</v>
      </c>
      <c r="O219" vm="3211">
        <f ca="1"/>
        <v>59.61</v>
      </c>
      <c r="P219" vm="3212">
        <f ca="1"/>
        <v>241.75</v>
      </c>
    </row>
    <row r="220" spans="1:16" x14ac:dyDescent="0.25">
      <c r="A220" vm="3213">
        <f ca="1"/>
        <v>45656</v>
      </c>
      <c r="B220" vm="3214">
        <f ca="1"/>
        <v>417.41</v>
      </c>
      <c r="C220" vm="3215">
        <f ca="1"/>
        <v>221.3</v>
      </c>
      <c r="D220" vm="3216">
        <f ca="1"/>
        <v>424.83</v>
      </c>
      <c r="E220" vm="3217">
        <f ca="1"/>
        <v>338.75</v>
      </c>
      <c r="F220" vm="3218">
        <f ca="1"/>
        <v>167.09</v>
      </c>
      <c r="G220" vm="3219">
        <f ca="1"/>
        <v>239.32</v>
      </c>
      <c r="H220" vm="3220">
        <f ca="1"/>
        <v>507.8</v>
      </c>
      <c r="I220" vm="3221">
        <f ca="1"/>
        <v>105.76</v>
      </c>
      <c r="J220" vm="3222">
        <f ca="1"/>
        <v>21.21</v>
      </c>
      <c r="K220" vm="3223">
        <f ca="1"/>
        <v>40.1</v>
      </c>
      <c r="L220" vm="3224">
        <f ca="1"/>
        <v>26.42</v>
      </c>
      <c r="M220" vm="3225">
        <f ca="1"/>
        <v>192.55</v>
      </c>
      <c r="N220" vm="3226">
        <f ca="1"/>
        <v>137.49</v>
      </c>
      <c r="O220" vm="3227">
        <f ca="1"/>
        <v>59.19</v>
      </c>
      <c r="P220" vm="3228">
        <f ca="1"/>
        <v>235.58</v>
      </c>
    </row>
    <row r="221" spans="1:16" x14ac:dyDescent="0.25">
      <c r="A221" vm="3229">
        <f ca="1"/>
        <v>45657</v>
      </c>
      <c r="B221" vm="3230">
        <f ca="1"/>
        <v>403.84</v>
      </c>
      <c r="C221" vm="3231">
        <f ca="1"/>
        <v>219.39</v>
      </c>
      <c r="D221" vm="3232">
        <f ca="1"/>
        <v>421.5</v>
      </c>
      <c r="E221" vm="3233">
        <f ca="1"/>
        <v>339.93</v>
      </c>
      <c r="F221" vm="3234">
        <f ca="1"/>
        <v>167.65</v>
      </c>
      <c r="G221" vm="3235">
        <f ca="1"/>
        <v>239.71</v>
      </c>
      <c r="H221" vm="3236">
        <f ca="1"/>
        <v>505.86</v>
      </c>
      <c r="I221" vm="3237">
        <f ca="1"/>
        <v>107.57</v>
      </c>
      <c r="J221" vm="3160">
        <f ca="1"/>
        <v>21.16</v>
      </c>
      <c r="K221" vm="3238">
        <f ca="1"/>
        <v>39.835000000000001</v>
      </c>
      <c r="L221" vm="3239">
        <f ca="1"/>
        <v>26.53</v>
      </c>
      <c r="M221" vm="3240">
        <f ca="1"/>
        <v>192.79</v>
      </c>
      <c r="N221" vm="3241">
        <f ca="1"/>
        <v>134.29</v>
      </c>
      <c r="O221" vm="3242">
        <f ca="1"/>
        <v>59.2</v>
      </c>
      <c r="P221" vm="3243">
        <f ca="1"/>
        <v>231.84</v>
      </c>
    </row>
    <row r="222" spans="1:16" x14ac:dyDescent="0.25">
      <c r="A222" vm="3244">
        <f ca="1"/>
        <v>45659</v>
      </c>
      <c r="B222" vm="3245">
        <f ca="1"/>
        <v>379.28</v>
      </c>
      <c r="C222" vm="3246">
        <f ca="1"/>
        <v>220.22</v>
      </c>
      <c r="D222" vm="3247">
        <f ca="1"/>
        <v>418.58</v>
      </c>
      <c r="E222" vm="3248">
        <f ca="1"/>
        <v>333.16</v>
      </c>
      <c r="F222" vm="3249">
        <f ca="1"/>
        <v>165.98</v>
      </c>
      <c r="G222" vm="3250">
        <f ca="1"/>
        <v>240</v>
      </c>
      <c r="H222" vm="3251">
        <f ca="1"/>
        <v>504.51</v>
      </c>
      <c r="I222" vm="3252">
        <f ca="1"/>
        <v>107.31</v>
      </c>
      <c r="J222" vm="3253">
        <f ca="1"/>
        <v>21.09</v>
      </c>
      <c r="K222" vm="3254">
        <f ca="1"/>
        <v>40.869999999999997</v>
      </c>
      <c r="L222" vm="3255">
        <f ca="1"/>
        <v>26.61</v>
      </c>
      <c r="M222" vm="3256">
        <f ca="1"/>
        <v>191.95</v>
      </c>
      <c r="N222" vm="3257">
        <f ca="1"/>
        <v>138.31</v>
      </c>
      <c r="O222" vm="3258">
        <f ca="1"/>
        <v>59.1</v>
      </c>
      <c r="P222" vm="3259">
        <f ca="1"/>
        <v>231.98</v>
      </c>
    </row>
    <row r="223" spans="1:16" x14ac:dyDescent="0.25">
      <c r="A223" vm="3260">
        <f ca="1"/>
        <v>45660</v>
      </c>
      <c r="B223" vm="3261">
        <f ca="1"/>
        <v>410.44</v>
      </c>
      <c r="C223" vm="3262">
        <f ca="1"/>
        <v>224.19</v>
      </c>
      <c r="D223" vm="3263">
        <f ca="1"/>
        <v>423.35</v>
      </c>
      <c r="E223" vm="3264">
        <f ca="1"/>
        <v>336.54</v>
      </c>
      <c r="F223" vm="3265">
        <f ca="1"/>
        <v>165.13</v>
      </c>
      <c r="G223" vm="3266">
        <f ca="1"/>
        <v>243.28</v>
      </c>
      <c r="H223" vm="3267">
        <f ca="1"/>
        <v>513</v>
      </c>
      <c r="I223" vm="3268">
        <f ca="1"/>
        <v>107.86</v>
      </c>
      <c r="J223" vm="3269">
        <f ca="1"/>
        <v>21.32</v>
      </c>
      <c r="K223" vm="3270">
        <f ca="1"/>
        <v>40.86</v>
      </c>
      <c r="L223" vm="89">
        <f ca="1"/>
        <v>26.59</v>
      </c>
      <c r="M223" vm="3271">
        <f ca="1"/>
        <v>191.45</v>
      </c>
      <c r="N223" vm="3272">
        <f ca="1"/>
        <v>144.47</v>
      </c>
      <c r="O223" vm="3273">
        <f ca="1"/>
        <v>58.86</v>
      </c>
      <c r="P223" vm="3274">
        <f ca="1"/>
        <v>232.55</v>
      </c>
    </row>
    <row r="224" spans="1:16" x14ac:dyDescent="0.25">
      <c r="A224" vm="3275">
        <f ca="1"/>
        <v>45663</v>
      </c>
      <c r="B224" vm="3276">
        <f ca="1"/>
        <v>411.05</v>
      </c>
      <c r="C224" vm="3277">
        <f ca="1"/>
        <v>227.61</v>
      </c>
      <c r="D224" vm="3278">
        <f ca="1"/>
        <v>427.85</v>
      </c>
      <c r="E224" vm="3279">
        <f ca="1"/>
        <v>337.82</v>
      </c>
      <c r="F224" vm="3280">
        <f ca="1"/>
        <v>160.6</v>
      </c>
      <c r="G224" vm="3281">
        <f ca="1"/>
        <v>240.85</v>
      </c>
      <c r="H224" vm="3282">
        <f ca="1"/>
        <v>513.66999999999996</v>
      </c>
      <c r="I224" vm="3283">
        <f ca="1"/>
        <v>107.74</v>
      </c>
      <c r="J224" vm="2986">
        <f ca="1"/>
        <v>20.9</v>
      </c>
      <c r="K224" vm="3284">
        <f ca="1"/>
        <v>41.26</v>
      </c>
      <c r="L224" vm="41">
        <f ca="1"/>
        <v>26.89</v>
      </c>
      <c r="M224" vm="3285">
        <f ca="1"/>
        <v>185.91</v>
      </c>
      <c r="N224" vm="3286">
        <f ca="1"/>
        <v>149.43</v>
      </c>
      <c r="O224" vm="3287">
        <f ca="1"/>
        <v>58.77</v>
      </c>
      <c r="P224" vm="3288">
        <f ca="1"/>
        <v>236.41</v>
      </c>
    </row>
    <row r="225" spans="1:16" x14ac:dyDescent="0.25">
      <c r="A225" vm="3289">
        <f ca="1"/>
        <v>45664</v>
      </c>
      <c r="B225" vm="3290">
        <f ca="1"/>
        <v>394.36</v>
      </c>
      <c r="C225" vm="3291">
        <f ca="1"/>
        <v>222.11</v>
      </c>
      <c r="D225" vm="3292">
        <f ca="1"/>
        <v>422.37</v>
      </c>
      <c r="E225" vm="3293">
        <f ca="1"/>
        <v>334.4</v>
      </c>
      <c r="F225" vm="3294">
        <f ca="1"/>
        <v>161.30000000000001</v>
      </c>
      <c r="G225" vm="3295">
        <f ca="1"/>
        <v>243.17</v>
      </c>
      <c r="H225" vm="3296">
        <f ca="1"/>
        <v>514.25</v>
      </c>
      <c r="I225" vm="3297">
        <f ca="1"/>
        <v>108.75</v>
      </c>
      <c r="J225" vm="3117">
        <f ca="1"/>
        <v>20.91</v>
      </c>
      <c r="K225" vm="3298">
        <f ca="1"/>
        <v>40.83</v>
      </c>
      <c r="L225" vm="3299">
        <f ca="1"/>
        <v>27.13</v>
      </c>
      <c r="M225" vm="3300">
        <f ca="1"/>
        <v>186.04</v>
      </c>
      <c r="N225" vm="3301">
        <f ca="1"/>
        <v>140.13999999999999</v>
      </c>
      <c r="O225" vm="3302">
        <f ca="1"/>
        <v>58.93</v>
      </c>
      <c r="P225" vm="3303">
        <f ca="1"/>
        <v>228.64</v>
      </c>
    </row>
    <row r="226" spans="1:16" x14ac:dyDescent="0.25">
      <c r="A226" vm="3304">
        <f ca="1"/>
        <v>45665</v>
      </c>
      <c r="B226" vm="733">
        <f ca="1"/>
        <v>394.94</v>
      </c>
      <c r="C226" vm="3305">
        <f ca="1"/>
        <v>222.13</v>
      </c>
      <c r="D226" vm="3306">
        <f ca="1"/>
        <v>424.56</v>
      </c>
      <c r="E226" vm="3307">
        <f ca="1"/>
        <v>337.54</v>
      </c>
      <c r="F226" vm="3308">
        <f ca="1"/>
        <v>162.1</v>
      </c>
      <c r="G226" vm="3309">
        <f ca="1"/>
        <v>243.13</v>
      </c>
      <c r="H226" vm="3310">
        <f ca="1"/>
        <v>524.52</v>
      </c>
      <c r="I226" vm="3311">
        <f ca="1"/>
        <v>106.93</v>
      </c>
      <c r="J226" vm="3312">
        <f ca="1"/>
        <v>20.77</v>
      </c>
      <c r="K226" vm="3254">
        <f ca="1"/>
        <v>40.869999999999997</v>
      </c>
      <c r="L226" vm="3313">
        <f ca="1"/>
        <v>26.86</v>
      </c>
      <c r="M226" vm="3314">
        <f ca="1"/>
        <v>191.8</v>
      </c>
      <c r="N226" vm="3315">
        <f ca="1"/>
        <v>140.11000000000001</v>
      </c>
      <c r="O226" vm="3242">
        <f ca="1"/>
        <v>59.2</v>
      </c>
      <c r="P226" vm="3316">
        <f ca="1"/>
        <v>229.31</v>
      </c>
    </row>
    <row r="227" spans="1:16" x14ac:dyDescent="0.25">
      <c r="A227" vm="3317">
        <f ca="1"/>
        <v>45667</v>
      </c>
      <c r="B227" vm="3318">
        <f ca="1"/>
        <v>394.74</v>
      </c>
      <c r="C227" vm="3319">
        <f ca="1"/>
        <v>218.94</v>
      </c>
      <c r="D227" vm="3320">
        <f ca="1"/>
        <v>418.95</v>
      </c>
      <c r="E227" vm="3321">
        <f ca="1"/>
        <v>330.16</v>
      </c>
      <c r="F227" vm="3322">
        <f ca="1"/>
        <v>158.56</v>
      </c>
      <c r="G227" vm="3323">
        <f ca="1"/>
        <v>239.87</v>
      </c>
      <c r="H227" vm="3324">
        <f ca="1"/>
        <v>520.69000000000005</v>
      </c>
      <c r="I227" vm="3325">
        <f ca="1"/>
        <v>106.54</v>
      </c>
      <c r="J227" vm="3326">
        <f ca="1"/>
        <v>20.350000000000001</v>
      </c>
      <c r="K227" vm="3327">
        <f ca="1"/>
        <v>40.450000000000003</v>
      </c>
      <c r="L227" vm="2717">
        <f ca="1"/>
        <v>26.72</v>
      </c>
      <c r="M227" vm="3328">
        <f ca="1"/>
        <v>180.99</v>
      </c>
      <c r="N227" vm="3329">
        <f ca="1"/>
        <v>135.91</v>
      </c>
      <c r="O227" vm="2885">
        <f ca="1"/>
        <v>58.74</v>
      </c>
      <c r="P227" vm="3330">
        <f ca="1"/>
        <v>224.31</v>
      </c>
    </row>
    <row r="228" spans="1:16" x14ac:dyDescent="0.25">
      <c r="A228" vm="3331">
        <f ca="1"/>
        <v>45670</v>
      </c>
      <c r="B228" vm="3332">
        <f ca="1"/>
        <v>403.31</v>
      </c>
      <c r="C228" vm="3333">
        <f ca="1"/>
        <v>218.46</v>
      </c>
      <c r="D228" vm="3334">
        <f ca="1"/>
        <v>417.19</v>
      </c>
      <c r="E228" vm="3335">
        <f ca="1"/>
        <v>336.12</v>
      </c>
      <c r="F228" vm="3336">
        <f ca="1"/>
        <v>158.84</v>
      </c>
      <c r="G228" vm="3337">
        <f ca="1"/>
        <v>244.21</v>
      </c>
      <c r="H228" vm="3338">
        <f ca="1"/>
        <v>541.14</v>
      </c>
      <c r="I228" vm="3339">
        <f ca="1"/>
        <v>109.29</v>
      </c>
      <c r="J228" vm="3340">
        <f ca="1"/>
        <v>20.21</v>
      </c>
      <c r="K228" vm="3341">
        <f ca="1"/>
        <v>39.79</v>
      </c>
      <c r="L228" vm="3342">
        <f ca="1"/>
        <v>26.8</v>
      </c>
      <c r="M228" vm="3343">
        <f ca="1"/>
        <v>182.54</v>
      </c>
      <c r="N228" vm="3344">
        <f ca="1"/>
        <v>133.22999999999999</v>
      </c>
      <c r="O228" vm="3345">
        <f ca="1"/>
        <v>58.76</v>
      </c>
      <c r="P228" vm="3346">
        <f ca="1"/>
        <v>225.29</v>
      </c>
    </row>
    <row r="229" spans="1:16" x14ac:dyDescent="0.25">
      <c r="A229" vm="3347">
        <f ca="1"/>
        <v>45671</v>
      </c>
      <c r="B229" vm="3348">
        <f ca="1"/>
        <v>396.36</v>
      </c>
      <c r="C229" vm="3349">
        <f ca="1"/>
        <v>217.76</v>
      </c>
      <c r="D229" vm="3350">
        <f ca="1"/>
        <v>415.67</v>
      </c>
      <c r="E229" vm="3351">
        <f ca="1"/>
        <v>341.64</v>
      </c>
      <c r="F229" vm="3352">
        <f ca="1"/>
        <v>159.74</v>
      </c>
      <c r="G229" vm="3353">
        <f ca="1"/>
        <v>247.47</v>
      </c>
      <c r="H229" vm="3354">
        <f ca="1"/>
        <v>543.74</v>
      </c>
      <c r="I229" vm="2109">
        <f ca="1"/>
        <v>109.72</v>
      </c>
      <c r="J229" vm="3355">
        <f ca="1"/>
        <v>19.88</v>
      </c>
      <c r="K229" vm="3356">
        <f ca="1"/>
        <v>40.229999999999997</v>
      </c>
      <c r="L229" vm="3357">
        <f ca="1"/>
        <v>26.41</v>
      </c>
      <c r="M229" vm="3358">
        <f ca="1"/>
        <v>186.81</v>
      </c>
      <c r="N229" vm="3359">
        <f ca="1"/>
        <v>131.76</v>
      </c>
      <c r="O229" vm="3360">
        <f ca="1"/>
        <v>59.33</v>
      </c>
      <c r="P229" vm="3361">
        <f ca="1"/>
        <v>224.7</v>
      </c>
    </row>
    <row r="230" spans="1:16" x14ac:dyDescent="0.25">
      <c r="A230" vm="3362">
        <f ca="1"/>
        <v>45672</v>
      </c>
      <c r="B230" vm="3363">
        <f ca="1"/>
        <v>428.22</v>
      </c>
      <c r="C230" vm="3364">
        <f ca="1"/>
        <v>223.35</v>
      </c>
      <c r="D230" vm="3365">
        <f ca="1"/>
        <v>426.31</v>
      </c>
      <c r="E230" vm="3366">
        <f ca="1"/>
        <v>346.93</v>
      </c>
      <c r="F230" vm="3367">
        <f ca="1"/>
        <v>159.65</v>
      </c>
      <c r="G230" vm="3368">
        <f ca="1"/>
        <v>252.35</v>
      </c>
      <c r="H230" vm="3369">
        <f ca="1"/>
        <v>543.41999999999996</v>
      </c>
      <c r="I230" vm="3370">
        <f ca="1"/>
        <v>111.51</v>
      </c>
      <c r="J230" vm="3371">
        <f ca="1"/>
        <v>20.5</v>
      </c>
      <c r="K230" vm="1246">
        <f ca="1"/>
        <v>39.72</v>
      </c>
      <c r="L230" vm="3372">
        <f ca="1"/>
        <v>26.22</v>
      </c>
      <c r="M230" vm="3373">
        <f ca="1"/>
        <v>188.03</v>
      </c>
      <c r="N230" vm="3374">
        <f ca="1"/>
        <v>136.24</v>
      </c>
      <c r="O230" vm="3195">
        <f ca="1"/>
        <v>59.98</v>
      </c>
      <c r="P230" vm="3375">
        <f ca="1"/>
        <v>228</v>
      </c>
    </row>
    <row r="231" spans="1:16" x14ac:dyDescent="0.25">
      <c r="A231" vm="3376">
        <f ca="1"/>
        <v>45673</v>
      </c>
      <c r="B231" vm="3377">
        <f ca="1"/>
        <v>413.82</v>
      </c>
      <c r="C231" vm="3378">
        <f ca="1"/>
        <v>220.66</v>
      </c>
      <c r="D231" vm="3379">
        <f ca="1"/>
        <v>424.58</v>
      </c>
      <c r="E231" vm="3380">
        <f ca="1"/>
        <v>354.17</v>
      </c>
      <c r="F231" vm="3381">
        <f ca="1"/>
        <v>160.5</v>
      </c>
      <c r="G231" vm="2229">
        <f ca="1"/>
        <v>254.27</v>
      </c>
      <c r="H231" vm="3382">
        <f ca="1"/>
        <v>510.59</v>
      </c>
      <c r="I231" vm="3383">
        <f ca="1"/>
        <v>111.32</v>
      </c>
      <c r="J231" vm="3384">
        <f ca="1"/>
        <v>20.329999999999998</v>
      </c>
      <c r="K231" vm="3385">
        <f ca="1"/>
        <v>40.36</v>
      </c>
      <c r="L231" vm="3386">
        <f ca="1"/>
        <v>26.49</v>
      </c>
      <c r="M231" vm="3387">
        <f ca="1"/>
        <v>191.1</v>
      </c>
      <c r="N231" vm="3388">
        <f ca="1"/>
        <v>133.57</v>
      </c>
      <c r="O231" vm="3389">
        <f ca="1"/>
        <v>59.82</v>
      </c>
      <c r="P231" vm="3390">
        <f ca="1"/>
        <v>229.41</v>
      </c>
    </row>
    <row r="232" spans="1:16" x14ac:dyDescent="0.25">
      <c r="A232" vm="3391">
        <f ca="1"/>
        <v>45674</v>
      </c>
      <c r="B232" vm="3392">
        <f ca="1"/>
        <v>426.5</v>
      </c>
      <c r="C232" vm="3393">
        <f ca="1"/>
        <v>225.94</v>
      </c>
      <c r="D232" vm="3394">
        <f ca="1"/>
        <v>429.03</v>
      </c>
      <c r="E232" vm="3395">
        <f ca="1"/>
        <v>353.98</v>
      </c>
      <c r="F232" vm="3396">
        <f ca="1"/>
        <v>161.13</v>
      </c>
      <c r="G232" vm="3397">
        <f ca="1"/>
        <v>259.16000000000003</v>
      </c>
      <c r="H232" vm="3398">
        <f ca="1"/>
        <v>509.76</v>
      </c>
      <c r="I232" vm="3399">
        <f ca="1"/>
        <v>112.32</v>
      </c>
      <c r="J232" vm="3400">
        <f ca="1"/>
        <v>20.64</v>
      </c>
      <c r="K232" vm="3401">
        <f ca="1"/>
        <v>41.3</v>
      </c>
      <c r="L232" vm="3402">
        <f ca="1"/>
        <v>26.3</v>
      </c>
      <c r="M232" vm="3403">
        <f ca="1"/>
        <v>188.9</v>
      </c>
      <c r="N232" vm="3404">
        <f ca="1"/>
        <v>137.71</v>
      </c>
      <c r="O232" vm="3405">
        <f ca="1"/>
        <v>60.23</v>
      </c>
      <c r="P232" vm="3406">
        <f ca="1"/>
        <v>237.44</v>
      </c>
    </row>
    <row r="233" spans="1:16" x14ac:dyDescent="0.25">
      <c r="A233" vm="3407">
        <f ca="1"/>
        <v>45678</v>
      </c>
      <c r="B233" vm="3408">
        <f ca="1"/>
        <v>424.07</v>
      </c>
      <c r="C233" vm="3409">
        <f ca="1"/>
        <v>230.71</v>
      </c>
      <c r="D233" vm="3410">
        <f ca="1"/>
        <v>428.5</v>
      </c>
      <c r="E233" vm="3411">
        <f ca="1"/>
        <v>361.52</v>
      </c>
      <c r="F233" vm="3412">
        <f ca="1"/>
        <v>161.72</v>
      </c>
      <c r="G233" vm="3413">
        <f ca="1"/>
        <v>263.02999999999997</v>
      </c>
      <c r="H233" vm="3414">
        <f ca="1"/>
        <v>524.99</v>
      </c>
      <c r="I233" vm="230">
        <f ca="1"/>
        <v>111.47</v>
      </c>
      <c r="J233" vm="2986">
        <f ca="1"/>
        <v>20.9</v>
      </c>
      <c r="K233" vm="120">
        <f ca="1"/>
        <v>42.59</v>
      </c>
      <c r="L233" vm="3415">
        <f ca="1"/>
        <v>26.64</v>
      </c>
      <c r="M233" vm="3416">
        <f ca="1"/>
        <v>189.75</v>
      </c>
      <c r="N233" vm="3417">
        <f ca="1"/>
        <v>140.83000000000001</v>
      </c>
      <c r="O233" vm="3418">
        <f ca="1"/>
        <v>61.03</v>
      </c>
      <c r="P233" vm="3419">
        <f ca="1"/>
        <v>240.31</v>
      </c>
    </row>
    <row r="234" spans="1:16" x14ac:dyDescent="0.25">
      <c r="A234" vm="3420">
        <f ca="1"/>
        <v>45679</v>
      </c>
      <c r="B234" vm="3421">
        <f ca="1"/>
        <v>415.11</v>
      </c>
      <c r="C234" vm="3422">
        <f ca="1"/>
        <v>235.01</v>
      </c>
      <c r="D234" vm="3423">
        <f ca="1"/>
        <v>446.2</v>
      </c>
      <c r="E234" vm="3424">
        <f ca="1"/>
        <v>357.74</v>
      </c>
      <c r="F234" vm="2901">
        <f ca="1"/>
        <v>164.74</v>
      </c>
      <c r="G234" vm="3425">
        <f ca="1"/>
        <v>262.83999999999997</v>
      </c>
      <c r="H234" vm="3426">
        <f ca="1"/>
        <v>519.72</v>
      </c>
      <c r="I234" vm="214">
        <f ca="1"/>
        <v>109.53</v>
      </c>
      <c r="J234" vm="3427">
        <f ca="1"/>
        <v>20.92</v>
      </c>
      <c r="K234" vm="3428">
        <f ca="1"/>
        <v>42.85</v>
      </c>
      <c r="L234" vm="3429">
        <f ca="1"/>
        <v>26.01</v>
      </c>
      <c r="M234" vm="3430">
        <f ca="1"/>
        <v>185.25</v>
      </c>
      <c r="N234" vm="3431">
        <f ca="1"/>
        <v>147.07</v>
      </c>
      <c r="O234" vm="3432">
        <f ca="1"/>
        <v>61.63</v>
      </c>
      <c r="P234" vm="3433">
        <f ca="1"/>
        <v>240.91</v>
      </c>
    </row>
    <row r="235" spans="1:16" x14ac:dyDescent="0.25">
      <c r="A235" vm="3434">
        <f ca="1"/>
        <v>45680</v>
      </c>
      <c r="B235" vm="3435">
        <f ca="1"/>
        <v>412.38</v>
      </c>
      <c r="C235" vm="3436">
        <f ca="1"/>
        <v>235.42</v>
      </c>
      <c r="D235" vm="3437">
        <f ca="1"/>
        <v>446.71</v>
      </c>
      <c r="E235" vm="3438">
        <f ca="1"/>
        <v>361.11</v>
      </c>
      <c r="F235" vm="3439">
        <f ca="1"/>
        <v>166.15</v>
      </c>
      <c r="G235" vm="3440">
        <f ca="1"/>
        <v>265.95</v>
      </c>
      <c r="H235" vm="3441">
        <f ca="1"/>
        <v>529.77</v>
      </c>
      <c r="I235" vm="3442">
        <f ca="1"/>
        <v>110.15</v>
      </c>
      <c r="J235" vm="3443">
        <f ca="1"/>
        <v>21.37</v>
      </c>
      <c r="K235" vm="3444">
        <f ca="1"/>
        <v>43.4</v>
      </c>
      <c r="L235" vm="3445">
        <f ca="1"/>
        <v>26.44</v>
      </c>
      <c r="M235" vm="3446">
        <f ca="1"/>
        <v>184.66</v>
      </c>
      <c r="N235" vm="3447">
        <f ca="1"/>
        <v>147.22</v>
      </c>
      <c r="O235" vm="3448">
        <f ca="1"/>
        <v>62.23</v>
      </c>
      <c r="P235" vm="3449">
        <f ca="1"/>
        <v>240.28</v>
      </c>
    </row>
    <row r="236" spans="1:16" x14ac:dyDescent="0.25">
      <c r="A236" vm="3450">
        <f ca="1"/>
        <v>45681</v>
      </c>
      <c r="B236" vm="3451">
        <f ca="1"/>
        <v>406.58</v>
      </c>
      <c r="C236" vm="3452">
        <f ca="1"/>
        <v>234.85</v>
      </c>
      <c r="D236" vm="3453">
        <f ca="1"/>
        <v>444.06</v>
      </c>
      <c r="E236" vm="3454">
        <f ca="1"/>
        <v>360.15</v>
      </c>
      <c r="F236" vm="1078">
        <f ca="1"/>
        <v>164.12</v>
      </c>
      <c r="G236" vm="3455">
        <f ca="1"/>
        <v>264.83999999999997</v>
      </c>
      <c r="H236" vm="3456">
        <f ca="1"/>
        <v>532.51</v>
      </c>
      <c r="I236" vm="3457">
        <f ca="1"/>
        <v>108.66</v>
      </c>
      <c r="J236" vm="3458">
        <f ca="1"/>
        <v>20.83</v>
      </c>
      <c r="K236" vm="3459">
        <f ca="1"/>
        <v>43.65</v>
      </c>
      <c r="L236" vm="3460">
        <f ca="1"/>
        <v>26.09</v>
      </c>
      <c r="M236" vm="3461">
        <f ca="1"/>
        <v>186.07</v>
      </c>
      <c r="N236" vm="3462">
        <f ca="1"/>
        <v>142.62</v>
      </c>
      <c r="O236" vm="3448">
        <f ca="1"/>
        <v>62.23</v>
      </c>
      <c r="P236" vm="3463">
        <f ca="1"/>
        <v>244.7</v>
      </c>
    </row>
    <row r="237" spans="1:16" x14ac:dyDescent="0.25">
      <c r="A237" vm="3464">
        <f ca="1"/>
        <v>45684</v>
      </c>
      <c r="B237" vm="3465">
        <f ca="1"/>
        <v>397.15</v>
      </c>
      <c r="C237" vm="3436">
        <f ca="1"/>
        <v>235.42</v>
      </c>
      <c r="D237" vm="3466">
        <f ca="1"/>
        <v>434.56</v>
      </c>
      <c r="E237" vm="3467">
        <f ca="1"/>
        <v>364.17</v>
      </c>
      <c r="F237" vm="3468">
        <f ca="1"/>
        <v>169.66</v>
      </c>
      <c r="G237" vm="3469">
        <f ca="1"/>
        <v>265.85000000000002</v>
      </c>
      <c r="H237" vm="3470">
        <f ca="1"/>
        <v>543.52</v>
      </c>
      <c r="I237" vm="3471">
        <f ca="1"/>
        <v>110.17</v>
      </c>
      <c r="J237" vm="3472">
        <f ca="1"/>
        <v>21</v>
      </c>
      <c r="K237" vm="889">
        <f ca="1"/>
        <v>43.47</v>
      </c>
      <c r="L237" vm="3313">
        <f ca="1"/>
        <v>26.86</v>
      </c>
      <c r="M237" vm="3473">
        <f ca="1"/>
        <v>193.19</v>
      </c>
      <c r="N237" vm="3474">
        <f ca="1"/>
        <v>118.42</v>
      </c>
      <c r="O237" vm="3475">
        <f ca="1"/>
        <v>59.08</v>
      </c>
      <c r="P237" vm="3476">
        <f ca="1"/>
        <v>202.13</v>
      </c>
    </row>
    <row r="238" spans="1:16" x14ac:dyDescent="0.25">
      <c r="A238" vm="3477">
        <f ca="1"/>
        <v>45685</v>
      </c>
      <c r="B238" vm="3478">
        <f ca="1"/>
        <v>398.09</v>
      </c>
      <c r="C238" vm="3479">
        <f ca="1"/>
        <v>238.15</v>
      </c>
      <c r="D238" vm="3480">
        <f ca="1"/>
        <v>447.2</v>
      </c>
      <c r="E238" vm="3467">
        <f ca="1"/>
        <v>364.17</v>
      </c>
      <c r="F238" vm="3481">
        <f ca="1"/>
        <v>166.19</v>
      </c>
      <c r="G238" vm="3482">
        <f ca="1"/>
        <v>267.14</v>
      </c>
      <c r="H238" vm="3483">
        <f ca="1"/>
        <v>542.48</v>
      </c>
      <c r="I238" vm="3484">
        <f ca="1"/>
        <v>108.04</v>
      </c>
      <c r="J238" vm="3485">
        <f ca="1"/>
        <v>21.81</v>
      </c>
      <c r="K238" vm="3486">
        <f ca="1"/>
        <v>43.51</v>
      </c>
      <c r="L238" vm="3487">
        <f ca="1"/>
        <v>26.75</v>
      </c>
      <c r="M238" vm="3488">
        <f ca="1"/>
        <v>190.96</v>
      </c>
      <c r="N238" vm="3489">
        <f ca="1"/>
        <v>128.99</v>
      </c>
      <c r="O238" vm="2945">
        <f ca="1"/>
        <v>59.43</v>
      </c>
      <c r="P238" vm="3490">
        <f ca="1"/>
        <v>207.36</v>
      </c>
    </row>
    <row r="239" spans="1:16" x14ac:dyDescent="0.25">
      <c r="A239" vm="3491">
        <f ca="1"/>
        <v>45686</v>
      </c>
      <c r="B239" vm="3492">
        <f ca="1"/>
        <v>389.1</v>
      </c>
      <c r="C239" vm="3493">
        <f ca="1"/>
        <v>237.07</v>
      </c>
      <c r="D239" vm="3494">
        <f ca="1"/>
        <v>442.33</v>
      </c>
      <c r="E239" vm="3495">
        <f ca="1"/>
        <v>360.41</v>
      </c>
      <c r="F239" vm="3496">
        <f ca="1"/>
        <v>166.23</v>
      </c>
      <c r="G239" vm="3497">
        <f ca="1"/>
        <v>266.58</v>
      </c>
      <c r="H239" vm="3498">
        <f ca="1"/>
        <v>538.1</v>
      </c>
      <c r="I239" vm="3499">
        <f ca="1"/>
        <v>108.67</v>
      </c>
      <c r="J239" vm="3500">
        <f ca="1"/>
        <v>22.13</v>
      </c>
      <c r="K239" vm="3501">
        <f ca="1"/>
        <v>43.18</v>
      </c>
      <c r="L239" vm="3208">
        <f ca="1"/>
        <v>26.62</v>
      </c>
      <c r="M239" vm="3502">
        <f ca="1"/>
        <v>190.81</v>
      </c>
      <c r="N239" vm="3503">
        <f ca="1"/>
        <v>123.7</v>
      </c>
      <c r="O239" vm="3504">
        <f ca="1"/>
        <v>59.55</v>
      </c>
      <c r="P239" vm="3505">
        <f ca="1"/>
        <v>206.35</v>
      </c>
    </row>
    <row r="240" spans="1:16" x14ac:dyDescent="0.25">
      <c r="A240" vm="3506">
        <f ca="1"/>
        <v>45687</v>
      </c>
      <c r="B240" vm="3507">
        <f ca="1"/>
        <v>400.28</v>
      </c>
      <c r="C240" vm="3508">
        <f ca="1"/>
        <v>234.64</v>
      </c>
      <c r="D240" vm="3509">
        <f ca="1"/>
        <v>414.99</v>
      </c>
      <c r="E240" vm="3510">
        <f ca="1"/>
        <v>365.55</v>
      </c>
      <c r="F240" vm="3511">
        <f ca="1"/>
        <v>167.41</v>
      </c>
      <c r="G240" vm="3512">
        <f ca="1"/>
        <v>268.23</v>
      </c>
      <c r="H240" vm="3513">
        <f ca="1"/>
        <v>545.57000000000005</v>
      </c>
      <c r="I240" vm="3514">
        <f ca="1"/>
        <v>109.57</v>
      </c>
      <c r="J240" vm="3515">
        <f ca="1"/>
        <v>22.3</v>
      </c>
      <c r="K240" vm="3516">
        <f ca="1"/>
        <v>43.14</v>
      </c>
      <c r="L240" vm="3517">
        <f ca="1"/>
        <v>26.91</v>
      </c>
      <c r="M240" vm="3518">
        <f ca="1"/>
        <v>193.83</v>
      </c>
      <c r="N240" vm="3519">
        <f ca="1"/>
        <v>124.65</v>
      </c>
      <c r="O240" vm="3520">
        <f ca="1"/>
        <v>60.47</v>
      </c>
      <c r="P240" vm="3521">
        <f ca="1"/>
        <v>215.66</v>
      </c>
    </row>
    <row r="241" spans="1:16" x14ac:dyDescent="0.25">
      <c r="A241" vm="3522">
        <f ca="1"/>
        <v>45688</v>
      </c>
      <c r="B241" vm="3523">
        <f ca="1"/>
        <v>404.6</v>
      </c>
      <c r="C241" vm="3524">
        <f ca="1"/>
        <v>237.68</v>
      </c>
      <c r="D241" vm="3525">
        <f ca="1"/>
        <v>415.06</v>
      </c>
      <c r="E241" vm="3526">
        <f ca="1"/>
        <v>358.16</v>
      </c>
      <c r="F241" vm="3527">
        <f ca="1"/>
        <v>165.99</v>
      </c>
      <c r="G241" vm="3528">
        <f ca="1"/>
        <v>267.3</v>
      </c>
      <c r="H241" vm="3529">
        <f ca="1"/>
        <v>542.49</v>
      </c>
      <c r="I241" vm="3530">
        <f ca="1"/>
        <v>106.83</v>
      </c>
      <c r="J241" vm="3531">
        <f ca="1"/>
        <v>22.01</v>
      </c>
      <c r="K241" vm="3532">
        <f ca="1"/>
        <v>43.15</v>
      </c>
      <c r="L241" vm="3533">
        <f ca="1"/>
        <v>26.52</v>
      </c>
      <c r="M241" vm="3534">
        <f ca="1"/>
        <v>192.33</v>
      </c>
      <c r="N241" vm="3535">
        <f ca="1"/>
        <v>120.07</v>
      </c>
      <c r="O241" vm="3536">
        <f ca="1"/>
        <v>60.6</v>
      </c>
      <c r="P241" vm="3537">
        <f ca="1"/>
        <v>221.27</v>
      </c>
    </row>
    <row r="242" spans="1:16" x14ac:dyDescent="0.25">
      <c r="A242" vm="3538">
        <f ca="1"/>
        <v>45691</v>
      </c>
      <c r="B242" vm="3539">
        <f ca="1"/>
        <v>383.68</v>
      </c>
      <c r="C242" vm="3540">
        <f ca="1"/>
        <v>237.42</v>
      </c>
      <c r="D242" vm="3541">
        <f ca="1"/>
        <v>410.92</v>
      </c>
      <c r="E242" vm="3542">
        <f ca="1"/>
        <v>357.64</v>
      </c>
      <c r="F242" vm="3543">
        <f ca="1"/>
        <v>168.76</v>
      </c>
      <c r="G242" vm="3544">
        <f ca="1"/>
        <v>266.81</v>
      </c>
      <c r="H242" vm="3545">
        <f ca="1"/>
        <v>548.17999999999995</v>
      </c>
      <c r="I242" vm="3546">
        <f ca="1"/>
        <v>107.09</v>
      </c>
      <c r="J242" vm="3547">
        <f ca="1"/>
        <v>21.89</v>
      </c>
      <c r="K242" vm="3548">
        <f ca="1"/>
        <v>42.78</v>
      </c>
      <c r="L242" vm="3549">
        <f ca="1"/>
        <v>26.2</v>
      </c>
      <c r="M242" vm="3550">
        <f ca="1"/>
        <v>191.98</v>
      </c>
      <c r="N242" vm="3551">
        <f ca="1"/>
        <v>116.66</v>
      </c>
      <c r="O242" vm="3552">
        <f ca="1"/>
        <v>61.04</v>
      </c>
      <c r="P242" vm="3553">
        <f ca="1"/>
        <v>217.73</v>
      </c>
    </row>
    <row r="243" spans="1:16" x14ac:dyDescent="0.25">
      <c r="A243" vm="3554">
        <f ca="1"/>
        <v>45692</v>
      </c>
      <c r="B243" vm="3555">
        <f ca="1"/>
        <v>392.21</v>
      </c>
      <c r="C243" vm="3556">
        <f ca="1"/>
        <v>242.06</v>
      </c>
      <c r="D243" vm="3557">
        <f ca="1"/>
        <v>412.37</v>
      </c>
      <c r="E243" vm="3558">
        <f ca="1"/>
        <v>357.59</v>
      </c>
      <c r="F243" vm="3559">
        <f ca="1"/>
        <v>168.13</v>
      </c>
      <c r="G243" vm="3560">
        <f ca="1"/>
        <v>267.94</v>
      </c>
      <c r="H243" vm="3561">
        <f ca="1"/>
        <v>545.45000000000005</v>
      </c>
      <c r="I243" vm="3562">
        <f ca="1"/>
        <v>109.96</v>
      </c>
      <c r="J243" vm="3563">
        <f ca="1"/>
        <v>22.52</v>
      </c>
      <c r="K243" vm="634">
        <f ca="1"/>
        <v>43.01</v>
      </c>
      <c r="L243" vm="3564">
        <f ca="1"/>
        <v>25.87</v>
      </c>
      <c r="M243" vm="3565">
        <f ca="1"/>
        <v>190.87</v>
      </c>
      <c r="N243" vm="3566">
        <f ca="1"/>
        <v>118.65</v>
      </c>
      <c r="O243" vm="3567">
        <f ca="1"/>
        <v>61.34</v>
      </c>
      <c r="P243" vm="3568">
        <f ca="1"/>
        <v>222.43</v>
      </c>
    </row>
    <row r="244" spans="1:16" x14ac:dyDescent="0.25">
      <c r="A244" vm="3569">
        <f ca="1"/>
        <v>45693</v>
      </c>
      <c r="B244" vm="3570">
        <f ca="1"/>
        <v>378.17</v>
      </c>
      <c r="C244" vm="3571">
        <f ca="1"/>
        <v>236.17</v>
      </c>
      <c r="D244" vm="3572">
        <f ca="1"/>
        <v>413.29</v>
      </c>
      <c r="E244" vm="3573">
        <f ca="1"/>
        <v>364.48</v>
      </c>
      <c r="F244" vm="3574">
        <f ca="1"/>
        <v>169.01</v>
      </c>
      <c r="G244" vm="3575">
        <f ca="1"/>
        <v>270.43</v>
      </c>
      <c r="H244" vm="3576">
        <f ca="1"/>
        <v>539.80999999999995</v>
      </c>
      <c r="I244" vm="3577">
        <f ca="1"/>
        <v>109.88</v>
      </c>
      <c r="J244" vm="3578">
        <f ca="1"/>
        <v>22.92</v>
      </c>
      <c r="K244" vm="3579">
        <f ca="1"/>
        <v>43.48</v>
      </c>
      <c r="L244" vm="3445">
        <f ca="1"/>
        <v>26.44</v>
      </c>
      <c r="M244" vm="2460">
        <f ca="1"/>
        <v>193.01</v>
      </c>
      <c r="N244" vm="2353">
        <f ca="1"/>
        <v>124.83</v>
      </c>
      <c r="O244" vm="3580">
        <f ca="1"/>
        <v>62.57</v>
      </c>
      <c r="P244" vm="3581">
        <f ca="1"/>
        <v>232</v>
      </c>
    </row>
    <row r="245" spans="1:16" x14ac:dyDescent="0.25">
      <c r="A245" vm="3582">
        <f ca="1"/>
        <v>45694</v>
      </c>
      <c r="B245" vm="3583">
        <f ca="1"/>
        <v>374.32</v>
      </c>
      <c r="C245" vm="3584">
        <f ca="1"/>
        <v>238.83</v>
      </c>
      <c r="D245" vm="3585">
        <f ca="1"/>
        <v>415.82</v>
      </c>
      <c r="E245" vm="3586">
        <f ca="1"/>
        <v>365.22</v>
      </c>
      <c r="F245" vm="2350">
        <f ca="1"/>
        <v>168.88</v>
      </c>
      <c r="G245" vm="3587">
        <f ca="1"/>
        <v>276.89999999999998</v>
      </c>
      <c r="H245" vm="3588">
        <f ca="1"/>
        <v>530.04</v>
      </c>
      <c r="I245" vm="3589">
        <f ca="1"/>
        <v>108.43</v>
      </c>
      <c r="J245" vm="3590">
        <f ca="1"/>
        <v>23.01</v>
      </c>
      <c r="K245" vm="3591">
        <f ca="1"/>
        <v>43.5</v>
      </c>
      <c r="L245" vm="2912">
        <f ca="1"/>
        <v>25.83</v>
      </c>
      <c r="M245" vm="3592">
        <f ca="1"/>
        <v>191.88</v>
      </c>
      <c r="N245" vm="3593">
        <f ca="1"/>
        <v>128.68</v>
      </c>
      <c r="O245" vm="3594">
        <f ca="1"/>
        <v>62.27</v>
      </c>
      <c r="P245" vm="3595">
        <f ca="1"/>
        <v>231.36</v>
      </c>
    </row>
    <row r="246" spans="1:16" x14ac:dyDescent="0.25">
      <c r="A246" vm="3596">
        <f ca="1"/>
        <v>45695</v>
      </c>
      <c r="B246" vm="2597">
        <f ca="1"/>
        <v>361.62</v>
      </c>
      <c r="C246" vm="3597">
        <f ca="1"/>
        <v>229.15</v>
      </c>
      <c r="D246" vm="3598">
        <f ca="1"/>
        <v>409.75</v>
      </c>
      <c r="E246" vm="3599">
        <f ca="1"/>
        <v>360.57</v>
      </c>
      <c r="F246" vm="3600">
        <f ca="1"/>
        <v>167.97</v>
      </c>
      <c r="G246" vm="3601">
        <f ca="1"/>
        <v>275.8</v>
      </c>
      <c r="H246" vm="3602">
        <f ca="1"/>
        <v>527.03</v>
      </c>
      <c r="I246" vm="3603">
        <f ca="1"/>
        <v>108.89</v>
      </c>
      <c r="J246" vm="3604">
        <f ca="1"/>
        <v>22.57</v>
      </c>
      <c r="K246" vm="3605">
        <f ca="1"/>
        <v>42.82</v>
      </c>
      <c r="L246" vm="3606">
        <f ca="1"/>
        <v>25.74</v>
      </c>
      <c r="M246" vm="3607">
        <f ca="1"/>
        <v>190.24</v>
      </c>
      <c r="N246" vm="3608">
        <f ca="1"/>
        <v>129.84</v>
      </c>
      <c r="O246" vm="3594">
        <f ca="1"/>
        <v>62.27</v>
      </c>
      <c r="P246" vm="3609">
        <f ca="1"/>
        <v>224.87</v>
      </c>
    </row>
    <row r="247" spans="1:16" x14ac:dyDescent="0.25">
      <c r="A247" vm="3610">
        <f ca="1"/>
        <v>45698</v>
      </c>
      <c r="B247" vm="3611">
        <f ca="1"/>
        <v>350.73</v>
      </c>
      <c r="C247" vm="3612">
        <f ca="1"/>
        <v>233.14</v>
      </c>
      <c r="D247" vm="3613">
        <f ca="1"/>
        <v>412.22</v>
      </c>
      <c r="E247" vm="3614">
        <f ca="1"/>
        <v>359.16</v>
      </c>
      <c r="F247" vm="3615">
        <f ca="1"/>
        <v>167.53</v>
      </c>
      <c r="G247" vm="3616">
        <f ca="1"/>
        <v>271.04000000000002</v>
      </c>
      <c r="H247" vm="3617">
        <f ca="1"/>
        <v>533.37</v>
      </c>
      <c r="I247" vm="3618">
        <f ca="1"/>
        <v>110.97</v>
      </c>
      <c r="J247" vm="3619">
        <f ca="1"/>
        <v>22.42</v>
      </c>
      <c r="K247" vm="3620">
        <f ca="1"/>
        <v>43.09</v>
      </c>
      <c r="L247" vm="3564">
        <f ca="1"/>
        <v>25.87</v>
      </c>
      <c r="M247" vm="3621">
        <f ca="1"/>
        <v>186.58</v>
      </c>
      <c r="N247" vm="3388">
        <f ca="1"/>
        <v>133.57</v>
      </c>
      <c r="O247" vm="3622">
        <f ca="1"/>
        <v>62.81</v>
      </c>
      <c r="P247" vm="3623">
        <f ca="1"/>
        <v>235.04</v>
      </c>
    </row>
    <row r="248" spans="1:16" x14ac:dyDescent="0.25">
      <c r="A248" vm="3624">
        <f ca="1"/>
        <v>45699</v>
      </c>
      <c r="B248" vm="3625">
        <f ca="1"/>
        <v>328.5</v>
      </c>
      <c r="C248" vm="3626">
        <f ca="1"/>
        <v>232.76</v>
      </c>
      <c r="D248" vm="3627">
        <f ca="1"/>
        <v>411.44</v>
      </c>
      <c r="E248" vm="3628">
        <f ca="1"/>
        <v>361.37</v>
      </c>
      <c r="F248" vm="3629">
        <f ca="1"/>
        <v>169.43</v>
      </c>
      <c r="G248" vm="3630">
        <f ca="1"/>
        <v>274.99</v>
      </c>
      <c r="H248" vm="3631">
        <f ca="1"/>
        <v>533.91999999999996</v>
      </c>
      <c r="I248" vm="3632">
        <f ca="1"/>
        <v>111.67</v>
      </c>
      <c r="J248" vm="3633">
        <f ca="1"/>
        <v>22.36</v>
      </c>
      <c r="K248" vm="3634">
        <f ca="1"/>
        <v>43.42</v>
      </c>
      <c r="L248" vm="3635">
        <f ca="1"/>
        <v>25.53</v>
      </c>
      <c r="M248" vm="3636">
        <f ca="1"/>
        <v>189.43</v>
      </c>
      <c r="N248" vm="3637">
        <f ca="1"/>
        <v>132.80000000000001</v>
      </c>
      <c r="O248" vm="3638">
        <f ca="1"/>
        <v>62.43</v>
      </c>
      <c r="P248" vm="3623">
        <f ca="1"/>
        <v>235.04</v>
      </c>
    </row>
    <row r="249" spans="1:16" x14ac:dyDescent="0.25">
      <c r="A249" vm="3639">
        <f ca="1"/>
        <v>45700</v>
      </c>
      <c r="B249" vm="3640">
        <f ca="1"/>
        <v>336.51</v>
      </c>
      <c r="C249" vm="3641">
        <f ca="1"/>
        <v>228.93</v>
      </c>
      <c r="D249" vm="3642">
        <f ca="1"/>
        <v>409.04</v>
      </c>
      <c r="E249" vm="3643">
        <f ca="1"/>
        <v>355.5</v>
      </c>
      <c r="F249" vm="710">
        <f ca="1"/>
        <v>169.58</v>
      </c>
      <c r="G249" vm="3644">
        <f ca="1"/>
        <v>275.45</v>
      </c>
      <c r="H249" vm="3645">
        <f ca="1"/>
        <v>527.4</v>
      </c>
      <c r="I249" vm="3646">
        <f ca="1"/>
        <v>107.35</v>
      </c>
      <c r="J249" vm="3647">
        <f ca="1"/>
        <v>21.97</v>
      </c>
      <c r="K249" vm="3648">
        <f ca="1"/>
        <v>44.36</v>
      </c>
      <c r="L249" vm="3649">
        <f ca="1"/>
        <v>25.47</v>
      </c>
      <c r="M249" vm="3650">
        <f ca="1"/>
        <v>189.33</v>
      </c>
      <c r="N249" vm="3651">
        <f ca="1"/>
        <v>131.13999999999999</v>
      </c>
      <c r="O249" vm="3652">
        <f ca="1"/>
        <v>62.53</v>
      </c>
      <c r="P249" vm="3653">
        <f ca="1"/>
        <v>236.35</v>
      </c>
    </row>
    <row r="250" spans="1:16" x14ac:dyDescent="0.25">
      <c r="A250" vm="3654">
        <f ca="1"/>
        <v>45701</v>
      </c>
      <c r="B250" vm="3655">
        <f ca="1"/>
        <v>355.94</v>
      </c>
      <c r="C250" vm="3114">
        <f ca="1"/>
        <v>230.37</v>
      </c>
      <c r="D250" vm="810">
        <f ca="1"/>
        <v>410.54</v>
      </c>
      <c r="E250" vm="3656">
        <f ca="1"/>
        <v>361.13</v>
      </c>
      <c r="F250" vm="3657">
        <f ca="1"/>
        <v>171.02</v>
      </c>
      <c r="G250" vm="3658">
        <f ca="1"/>
        <v>276.32</v>
      </c>
      <c r="H250" vm="3659">
        <f ca="1"/>
        <v>531.17999999999995</v>
      </c>
      <c r="I250" vm="3660">
        <f ca="1"/>
        <v>108.13</v>
      </c>
      <c r="J250" vm="3661">
        <f ca="1"/>
        <v>23.19</v>
      </c>
      <c r="K250" vm="3662">
        <f ca="1"/>
        <v>44.01</v>
      </c>
      <c r="L250" vm="709">
        <f ca="1"/>
        <v>25.64</v>
      </c>
      <c r="M250" vm="3663">
        <f ca="1"/>
        <v>192.77</v>
      </c>
      <c r="N250" vm="3664">
        <f ca="1"/>
        <v>135.29</v>
      </c>
      <c r="O250" vm="3665">
        <f ca="1"/>
        <v>63.84</v>
      </c>
      <c r="P250" vm="3666">
        <f ca="1"/>
        <v>235.8</v>
      </c>
    </row>
    <row r="251" spans="1:16" x14ac:dyDescent="0.25">
      <c r="A251" vm="3667">
        <f ca="1"/>
        <v>45702</v>
      </c>
      <c r="B251" vm="3668">
        <f ca="1"/>
        <v>355.84</v>
      </c>
      <c r="C251" vm="3669">
        <f ca="1"/>
        <v>228.68</v>
      </c>
      <c r="D251" vm="3670">
        <f ca="1"/>
        <v>408.43</v>
      </c>
      <c r="E251" vm="3671">
        <f ca="1"/>
        <v>356.86</v>
      </c>
      <c r="F251" vm="3672">
        <f ca="1"/>
        <v>162.88999999999999</v>
      </c>
      <c r="G251" vm="3673">
        <f ca="1"/>
        <v>276.58999999999997</v>
      </c>
      <c r="H251" vm="3674">
        <f ca="1"/>
        <v>523.51</v>
      </c>
      <c r="I251" vm="3675">
        <f ca="1"/>
        <v>108.24</v>
      </c>
      <c r="J251" vm="3676">
        <f ca="1"/>
        <v>24.14</v>
      </c>
      <c r="K251" vm="3677">
        <f ca="1"/>
        <v>44.09</v>
      </c>
      <c r="L251" vm="3635">
        <f ca="1"/>
        <v>25.53</v>
      </c>
      <c r="M251" vm="3678">
        <f ca="1"/>
        <v>187.63</v>
      </c>
      <c r="N251" vm="3679">
        <f ca="1"/>
        <v>138.85</v>
      </c>
      <c r="O251" vm="3680">
        <f ca="1"/>
        <v>64.87</v>
      </c>
      <c r="P251" vm="3681">
        <f ca="1"/>
        <v>233.04</v>
      </c>
    </row>
    <row r="252" spans="1:16" x14ac:dyDescent="0.25">
      <c r="A252" vm="3682">
        <f ca="1"/>
        <v>45706</v>
      </c>
      <c r="B252" vm="3683">
        <f ca="1"/>
        <v>354.11</v>
      </c>
      <c r="C252" vm="3684">
        <f ca="1"/>
        <v>226.65</v>
      </c>
      <c r="D252" vm="3685">
        <f ca="1"/>
        <v>409.64</v>
      </c>
      <c r="E252" vm="3686">
        <f ca="1"/>
        <v>352.99</v>
      </c>
      <c r="F252" vm="3687">
        <f ca="1"/>
        <v>165.43</v>
      </c>
      <c r="G252" vm="3688">
        <f ca="1"/>
        <v>279.95</v>
      </c>
      <c r="H252" vm="3689">
        <f ca="1"/>
        <v>500.73</v>
      </c>
      <c r="I252" vm="3690">
        <f ca="1"/>
        <v>110.14</v>
      </c>
      <c r="J252" vm="3691">
        <f ca="1"/>
        <v>24.52</v>
      </c>
      <c r="K252" vm="3692">
        <f ca="1"/>
        <v>45.17</v>
      </c>
      <c r="L252" vm="2956">
        <f ca="1"/>
        <v>25.56</v>
      </c>
      <c r="M252" vm="3693">
        <f ca="1"/>
        <v>188.95</v>
      </c>
      <c r="N252" vm="3694">
        <f ca="1"/>
        <v>139.4</v>
      </c>
      <c r="O252" vm="3695">
        <f ca="1"/>
        <v>64.59</v>
      </c>
      <c r="P252" vm="3696">
        <f ca="1"/>
        <v>228.53</v>
      </c>
    </row>
    <row r="253" spans="1:16" x14ac:dyDescent="0.25">
      <c r="A253" vm="3697">
        <f ca="1"/>
        <v>45707</v>
      </c>
      <c r="B253" vm="3698">
        <f ca="1"/>
        <v>360.56</v>
      </c>
      <c r="C253" vm="3699">
        <f ca="1"/>
        <v>226.63</v>
      </c>
      <c r="D253" vm="3700">
        <f ca="1"/>
        <v>414.77</v>
      </c>
      <c r="E253" vm="3701">
        <f ca="1"/>
        <v>351.85</v>
      </c>
      <c r="F253" vm="3702">
        <f ca="1"/>
        <v>166.49</v>
      </c>
      <c r="G253" vm="3703">
        <f ca="1"/>
        <v>279.25</v>
      </c>
      <c r="H253" vm="3704">
        <f ca="1"/>
        <v>511.04</v>
      </c>
      <c r="I253" vm="3705">
        <f ca="1"/>
        <v>110.3</v>
      </c>
      <c r="J253" vm="3706">
        <f ca="1"/>
        <v>24.72</v>
      </c>
      <c r="K253" vm="3707">
        <f ca="1"/>
        <v>43.975000000000001</v>
      </c>
      <c r="L253" vm="105">
        <f ca="1"/>
        <v>25.89</v>
      </c>
      <c r="M253" vm="2201">
        <f ca="1"/>
        <v>191.6</v>
      </c>
      <c r="N253" vm="3708">
        <f ca="1"/>
        <v>139.22999999999999</v>
      </c>
      <c r="O253" vm="3709">
        <f ca="1"/>
        <v>64.84</v>
      </c>
      <c r="P253" vm="3710">
        <f ca="1"/>
        <v>228.73</v>
      </c>
    </row>
    <row r="254" spans="1:16" x14ac:dyDescent="0.25">
      <c r="A254" vm="3711">
        <f ca="1"/>
        <v>45708</v>
      </c>
      <c r="B254" vm="1853">
        <f ca="1"/>
        <v>354.4</v>
      </c>
      <c r="C254" vm="3712">
        <f ca="1"/>
        <v>222.88</v>
      </c>
      <c r="D254" vm="3713">
        <f ca="1"/>
        <v>416.13</v>
      </c>
      <c r="E254" vm="3714">
        <f ca="1"/>
        <v>350.02</v>
      </c>
      <c r="F254" vm="3715">
        <f ca="1"/>
        <v>167.21</v>
      </c>
      <c r="G254" vm="3716">
        <f ca="1"/>
        <v>266.8</v>
      </c>
      <c r="H254" vm="3717">
        <f ca="1"/>
        <v>502.42</v>
      </c>
      <c r="I254" vm="3718">
        <f ca="1"/>
        <v>112</v>
      </c>
      <c r="J254" vm="3719">
        <f ca="1"/>
        <v>24.92</v>
      </c>
      <c r="K254" vm="964">
        <f ca="1"/>
        <v>43.24</v>
      </c>
      <c r="L254" vm="3720">
        <f ca="1"/>
        <v>25.9</v>
      </c>
      <c r="M254" vm="3721">
        <f ca="1"/>
        <v>189.18</v>
      </c>
      <c r="N254" vm="3315">
        <f ca="1"/>
        <v>140.11000000000001</v>
      </c>
      <c r="O254" vm="3722">
        <f ca="1"/>
        <v>64.67</v>
      </c>
      <c r="P254" vm="3723">
        <f ca="1"/>
        <v>226.74</v>
      </c>
    </row>
    <row r="255" spans="1:16" x14ac:dyDescent="0.25">
      <c r="A255" vm="3724">
        <f ca="1"/>
        <v>45709</v>
      </c>
      <c r="B255" vm="3725">
        <f ca="1"/>
        <v>337.8</v>
      </c>
      <c r="C255" vm="3726">
        <f ca="1"/>
        <v>216.58</v>
      </c>
      <c r="D255" vm="3727">
        <f ca="1"/>
        <v>408.21</v>
      </c>
      <c r="E255" vm="3728">
        <f ca="1"/>
        <v>344.57</v>
      </c>
      <c r="F255" vm="1806">
        <f ca="1"/>
        <v>170.23</v>
      </c>
      <c r="G255" vm="3729">
        <f ca="1"/>
        <v>264.24</v>
      </c>
      <c r="H255" vm="3730">
        <f ca="1"/>
        <v>466.42</v>
      </c>
      <c r="I255" vm="3731">
        <f ca="1"/>
        <v>110.69</v>
      </c>
      <c r="J255" vm="3732">
        <f ca="1"/>
        <v>24.78</v>
      </c>
      <c r="K255" vm="3733">
        <f ca="1"/>
        <v>41.72</v>
      </c>
      <c r="L255" vm="3402">
        <f ca="1"/>
        <v>26.3</v>
      </c>
      <c r="M255" vm="3734">
        <f ca="1"/>
        <v>185.66</v>
      </c>
      <c r="N255" vm="3735">
        <f ca="1"/>
        <v>134.43</v>
      </c>
      <c r="O255" vm="3736">
        <f ca="1"/>
        <v>63.98</v>
      </c>
      <c r="P255" vm="3737">
        <f ca="1"/>
        <v>218.66</v>
      </c>
    </row>
    <row r="256" spans="1:16" x14ac:dyDescent="0.25">
      <c r="A256" vm="3738">
        <f ca="1"/>
        <v>45712</v>
      </c>
      <c r="B256" vm="3739">
        <f ca="1"/>
        <v>330.53</v>
      </c>
      <c r="C256" vm="3740">
        <f ca="1"/>
        <v>212.71</v>
      </c>
      <c r="D256" vm="3741">
        <f ca="1"/>
        <v>404</v>
      </c>
      <c r="E256" vm="3742">
        <f ca="1"/>
        <v>343.87</v>
      </c>
      <c r="F256" vm="1780">
        <f ca="1"/>
        <v>170.54</v>
      </c>
      <c r="G256" vm="3743">
        <f ca="1"/>
        <v>261.33999999999997</v>
      </c>
      <c r="H256" vm="3744">
        <f ca="1"/>
        <v>461.52</v>
      </c>
      <c r="I256" vm="246">
        <f ca="1"/>
        <v>111.27</v>
      </c>
      <c r="J256" vm="2791">
        <f ca="1"/>
        <v>24.8</v>
      </c>
      <c r="K256" vm="3745">
        <f ca="1"/>
        <v>42.8</v>
      </c>
      <c r="L256" vm="450">
        <f ca="1"/>
        <v>26.65</v>
      </c>
      <c r="M256" vm="3746">
        <f ca="1"/>
        <v>188.75</v>
      </c>
      <c r="N256" vm="3747">
        <f ca="1"/>
        <v>130.28</v>
      </c>
      <c r="O256" vm="3748">
        <f ca="1"/>
        <v>63.24</v>
      </c>
      <c r="P256" vm="3749">
        <f ca="1"/>
        <v>207.93</v>
      </c>
    </row>
    <row r="257" spans="1:16" x14ac:dyDescent="0.25">
      <c r="A257" vm="3750">
        <f ca="1"/>
        <v>45713</v>
      </c>
      <c r="B257" vm="3751">
        <f ca="1"/>
        <v>302.8</v>
      </c>
      <c r="C257" vm="1676">
        <f ca="1"/>
        <v>212.8</v>
      </c>
      <c r="D257" vm="3752">
        <f ca="1"/>
        <v>397.9</v>
      </c>
      <c r="E257" vm="3753">
        <f ca="1"/>
        <v>353.03</v>
      </c>
      <c r="F257" vm="3754">
        <f ca="1"/>
        <v>172.65</v>
      </c>
      <c r="G257" vm="3755">
        <f ca="1"/>
        <v>257.39999999999998</v>
      </c>
      <c r="H257" vm="3756">
        <f ca="1"/>
        <v>470.38</v>
      </c>
      <c r="I257" vm="3757">
        <f ca="1"/>
        <v>109.73</v>
      </c>
      <c r="J257" vm="3758">
        <f ca="1"/>
        <v>25.07</v>
      </c>
      <c r="K257" vm="3759">
        <f ca="1"/>
        <v>43.35</v>
      </c>
      <c r="L257" vm="3178">
        <f ca="1"/>
        <v>26.74</v>
      </c>
      <c r="M257" vm="3760">
        <f ca="1"/>
        <v>190.48</v>
      </c>
      <c r="N257" vm="3761">
        <f ca="1"/>
        <v>126.63</v>
      </c>
      <c r="O257" vm="3762">
        <f ca="1"/>
        <v>64.27</v>
      </c>
      <c r="P257" vm="3763">
        <f ca="1"/>
        <v>202.54</v>
      </c>
    </row>
    <row r="258" spans="1:16" x14ac:dyDescent="0.25">
      <c r="A258" vm="3764">
        <f ca="1"/>
        <v>45714</v>
      </c>
      <c r="B258" vm="3765">
        <f ca="1"/>
        <v>290.8</v>
      </c>
      <c r="C258" vm="3766">
        <f ca="1"/>
        <v>214.35</v>
      </c>
      <c r="D258" vm="3767">
        <f ca="1"/>
        <v>399.73</v>
      </c>
      <c r="E258" vm="3768">
        <f ca="1"/>
        <v>359.59</v>
      </c>
      <c r="F258" vm="3769">
        <f ca="1"/>
        <v>171.3</v>
      </c>
      <c r="G258" vm="3770">
        <f ca="1"/>
        <v>258.79000000000002</v>
      </c>
      <c r="H258" vm="3771">
        <f ca="1"/>
        <v>463.59</v>
      </c>
      <c r="I258" vm="3772">
        <f ca="1"/>
        <v>109.46</v>
      </c>
      <c r="J258" vm="3773">
        <f ca="1"/>
        <v>25.46</v>
      </c>
      <c r="K258" vm="3774">
        <f ca="1"/>
        <v>43.53</v>
      </c>
      <c r="L258" vm="3224">
        <f ca="1"/>
        <v>26.42</v>
      </c>
      <c r="M258" vm="3775">
        <f ca="1"/>
        <v>188.43</v>
      </c>
      <c r="N258" vm="3776">
        <f ca="1"/>
        <v>131.28</v>
      </c>
      <c r="O258" vm="3777">
        <f ca="1"/>
        <v>64.08</v>
      </c>
      <c r="P258" vm="3778">
        <f ca="1"/>
        <v>212.94</v>
      </c>
    </row>
    <row r="259" spans="1:16" x14ac:dyDescent="0.25">
      <c r="A259" vm="3779">
        <f ca="1"/>
        <v>45715</v>
      </c>
      <c r="B259" vm="3780">
        <f ca="1"/>
        <v>281.95</v>
      </c>
      <c r="C259" vm="3781">
        <f ca="1"/>
        <v>208.74</v>
      </c>
      <c r="D259" vm="3782">
        <f ca="1"/>
        <v>392.53</v>
      </c>
      <c r="E259" vm="3783">
        <f ca="1"/>
        <v>355.51</v>
      </c>
      <c r="F259" vm="823">
        <f ca="1"/>
        <v>171.97</v>
      </c>
      <c r="G259" vm="3784">
        <f ca="1"/>
        <v>259.05</v>
      </c>
      <c r="H259" vm="3785">
        <f ca="1"/>
        <v>468.56</v>
      </c>
      <c r="I259" vm="3442">
        <f ca="1"/>
        <v>110.15</v>
      </c>
      <c r="J259" vm="3786">
        <f ca="1"/>
        <v>25.03</v>
      </c>
      <c r="K259" vm="3787">
        <f ca="1"/>
        <v>42.77</v>
      </c>
      <c r="L259" vm="3018">
        <f ca="1"/>
        <v>26.1</v>
      </c>
      <c r="M259" vm="3032">
        <f ca="1"/>
        <v>195.06</v>
      </c>
      <c r="N259" vm="3788">
        <f ca="1"/>
        <v>120.15</v>
      </c>
      <c r="O259" vm="3789">
        <f ca="1"/>
        <v>63.81</v>
      </c>
      <c r="P259" vm="3790">
        <f ca="1"/>
        <v>197.8</v>
      </c>
    </row>
    <row r="260" spans="1:16" x14ac:dyDescent="0.25">
      <c r="A260" vm="3791">
        <f ca="1"/>
        <v>45716</v>
      </c>
      <c r="B260" vm="16">
        <f ca="1"/>
        <v>292.98</v>
      </c>
      <c r="C260" vm="17">
        <f ca="1"/>
        <v>212.28</v>
      </c>
      <c r="D260" vm="3792">
        <f ca="1"/>
        <v>396.99</v>
      </c>
      <c r="E260" vm="18">
        <f ca="1"/>
        <v>362.27</v>
      </c>
      <c r="F260" vm="19">
        <f ca="1"/>
        <v>173.84</v>
      </c>
      <c r="G260" vm="20">
        <f ca="1"/>
        <v>264.64999999999998</v>
      </c>
      <c r="H260" vm="21">
        <f ca="1"/>
        <v>474.96</v>
      </c>
      <c r="I260" vm="22">
        <f ca="1"/>
        <v>111.33</v>
      </c>
      <c r="J260" vm="23">
        <f ca="1"/>
        <v>24.2224</v>
      </c>
      <c r="K260" vm="24">
        <f ca="1"/>
        <v>43.071199999999997</v>
      </c>
      <c r="L260" vm="25">
        <f ca="1"/>
        <v>26.43</v>
      </c>
      <c r="M260" vm="26">
        <f ca="1"/>
        <v>199.15</v>
      </c>
      <c r="N260" vm="27">
        <f ca="1"/>
        <v>124.92</v>
      </c>
      <c r="O260" vm="28">
        <f ca="1"/>
        <v>64.11</v>
      </c>
      <c r="P260" vm="29">
        <f ca="1"/>
        <v>199.43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1C610-C87C-48DD-8645-7F45A049F46B}">
  <sheetPr codeName="Sheet4">
    <tabColor rgb="FFFFD581"/>
  </sheetPr>
  <dimension ref="A2:P256"/>
  <sheetViews>
    <sheetView tabSelected="1" zoomScale="120" zoomScaleNormal="120" workbookViewId="0">
      <selection activeCell="E4" sqref="E4"/>
    </sheetView>
  </sheetViews>
  <sheetFormatPr defaultRowHeight="15" x14ac:dyDescent="0.25"/>
  <cols>
    <col min="1" max="1" width="19.28515625" bestFit="1" customWidth="1"/>
  </cols>
  <sheetData>
    <row r="2" spans="1:16" x14ac:dyDescent="0.25">
      <c r="A2" t="s">
        <v>10</v>
      </c>
      <c r="B2" s="7">
        <f ca="1">_xlfn.STDEV.P(B5:B1000)*SQRT(255)</f>
        <v>0.65319767758384017</v>
      </c>
      <c r="C2" s="7">
        <f t="shared" ref="C2:P2" ca="1" si="0">_xlfn.STDEV.P(C5:C1000)*SQRT(255)</f>
        <v>0.274318290381518</v>
      </c>
      <c r="D2" s="7">
        <f t="shared" ca="1" si="0"/>
        <v>0.21217304573039722</v>
      </c>
      <c r="E2" s="7">
        <f t="shared" ca="1" si="0"/>
        <v>0.21934166196544524</v>
      </c>
      <c r="F2" s="7">
        <f t="shared" ca="1" si="0"/>
        <v>0.16313543277552275</v>
      </c>
      <c r="G2" s="7">
        <f t="shared" ca="1" si="0"/>
        <v>0.24421680832488743</v>
      </c>
      <c r="H2" s="7">
        <f t="shared" ca="1" si="0"/>
        <v>0.29399804857384282</v>
      </c>
      <c r="I2" s="7">
        <f t="shared" ca="1" si="0"/>
        <v>0.19600961282692878</v>
      </c>
      <c r="J2" s="7">
        <f t="shared" ca="1" si="0"/>
        <v>0.28311578610012167</v>
      </c>
      <c r="K2" s="7">
        <f t="shared" ca="1" si="0"/>
        <v>0.2556329574652359</v>
      </c>
      <c r="L2" s="7">
        <f t="shared" ca="1" si="0"/>
        <v>0.23265703681566308</v>
      </c>
      <c r="M2" s="7">
        <f t="shared" ca="1" si="0"/>
        <v>0.22867597068019099</v>
      </c>
      <c r="N2" s="7">
        <f t="shared" ca="1" si="0"/>
        <v>0.54933178065932031</v>
      </c>
      <c r="O2" s="7">
        <f t="shared" ca="1" si="0"/>
        <v>0.18533296970824426</v>
      </c>
      <c r="P2" s="7">
        <f t="shared" ca="1" si="0"/>
        <v>0.57490483249591318</v>
      </c>
    </row>
    <row r="3" spans="1:16" x14ac:dyDescent="0.25">
      <c r="B3" s="4" t="str" cm="1">
        <f t="array" aca="1" ref="B3:P3" ca="1">+TRANSPOSE(Stock.List)</f>
        <v>TSLA</v>
      </c>
      <c r="C3" s="4" t="str">
        <f ca="1"/>
        <v>AMZN</v>
      </c>
      <c r="D3" s="4" t="str">
        <f ca="1"/>
        <v>MSFT</v>
      </c>
      <c r="E3" s="4" t="str">
        <f ca="1"/>
        <v>SHW</v>
      </c>
      <c r="F3" s="4" t="str">
        <f ca="1"/>
        <v>PG</v>
      </c>
      <c r="G3" s="4" t="str">
        <f ca="1"/>
        <v>JPM</v>
      </c>
      <c r="H3" s="4" t="str">
        <f ca="1"/>
        <v>UNH</v>
      </c>
      <c r="I3" s="4" t="str">
        <f ca="1"/>
        <v>XOM</v>
      </c>
      <c r="J3" s="4" t="str">
        <f ca="1"/>
        <v>SONY</v>
      </c>
      <c r="K3" s="4" t="str">
        <f ca="1"/>
        <v>EADSY</v>
      </c>
      <c r="L3" s="4" t="str">
        <f ca="1"/>
        <v>PFE</v>
      </c>
      <c r="M3" s="4" t="str">
        <f ca="1"/>
        <v>ALL</v>
      </c>
      <c r="N3" s="4" t="str">
        <f ca="1"/>
        <v>NVDA</v>
      </c>
      <c r="O3" s="4" t="str">
        <f ca="1"/>
        <v>CSCO</v>
      </c>
      <c r="P3" s="4" t="str">
        <f ca="1"/>
        <v>AVGO</v>
      </c>
    </row>
    <row r="4" spans="1:16" x14ac:dyDescent="0.25">
      <c r="A4" cm="1" vm="30">
        <f t="array" aca="1" ref="A4:A256" ca="1">_xlfn.CHOOSECOLS(_xlfn.ANCHORARRAY(The.Dates),1)</f>
        <v>45349</v>
      </c>
    </row>
    <row r="5" spans="1:16" x14ac:dyDescent="0.25">
      <c r="A5" vm="46">
        <f ca="1"/>
        <v>45350</v>
      </c>
      <c r="B5" s="7">
        <f ca="1">+'Historical Data'!B9/'Historical Data'!B8-1</f>
        <v>1.1565613578330858E-2</v>
      </c>
      <c r="C5" s="7">
        <f ca="1">+'Historical Data'!C9/'Historical Data'!C8-1</f>
        <v>-2.1896968998501576E-3</v>
      </c>
      <c r="D5" s="7">
        <f ca="1">+'Historical Data'!D9/'Historical Data'!D8-1</f>
        <v>5.889859625012317E-4</v>
      </c>
      <c r="E5" s="7">
        <f ca="1">+'Historical Data'!E9/'Historical Data'!E8-1</f>
        <v>5.9807152447211021E-3</v>
      </c>
      <c r="F5" s="7">
        <f ca="1">+'Historical Data'!F9/'Historical Data'!F8-1</f>
        <v>4.7080979284368496E-3</v>
      </c>
      <c r="G5" s="7">
        <f ca="1">+'Historical Data'!G9/'Historical Data'!G8-1</f>
        <v>5.0695012264923012E-3</v>
      </c>
      <c r="H5" s="7">
        <f ca="1">+'Historical Data'!H9/'Historical Data'!H8-1</f>
        <v>-2.9488527910872198E-2</v>
      </c>
      <c r="I5" s="7">
        <f ca="1">+'Historical Data'!I9/'Historical Data'!I8-1</f>
        <v>2.7876574065173187E-3</v>
      </c>
      <c r="J5" s="7">
        <f ca="1">+'Historical Data'!J9/'Historical Data'!J8-1</f>
        <v>-7.3435132299802808E-3</v>
      </c>
      <c r="K5" s="7">
        <f ca="1">+'Historical Data'!K9/'Historical Data'!K8-1</f>
        <v>3.8672654690618868E-2</v>
      </c>
      <c r="L5" s="7">
        <f ca="1">+'Historical Data'!L9/'Historical Data'!L8-1</f>
        <v>5.5782818891780828E-3</v>
      </c>
      <c r="M5" s="7">
        <f ca="1">+'Historical Data'!M9/'Historical Data'!M8-1</f>
        <v>6.5814215870629855E-3</v>
      </c>
      <c r="N5" s="7">
        <f ca="1">+'Historical Data'!N9/'Historical Data'!N8-1</f>
        <v>-1.3189158968755166E-2</v>
      </c>
      <c r="O5" s="7">
        <f ca="1">+'Historical Data'!O9/'Historical Data'!O8-1</f>
        <v>-5.1749120264955595E-3</v>
      </c>
      <c r="P5" s="7">
        <f ca="1">+'Historical Data'!P9/'Historical Data'!P8-1</f>
        <v>-5.253697260516943E-3</v>
      </c>
    </row>
    <row r="6" spans="1:16" x14ac:dyDescent="0.25">
      <c r="A6" vm="62">
        <f ca="1"/>
        <v>45351</v>
      </c>
      <c r="B6" s="7">
        <f ca="1">+'Historical Data'!B10/'Historical Data'!B9-1</f>
        <v>-7.9192239160563727E-4</v>
      </c>
      <c r="C6" s="7">
        <f ca="1">+'Historical Data'!C10/'Historical Data'!C9-1</f>
        <v>2.079002079002068E-2</v>
      </c>
      <c r="D6" s="7">
        <f ca="1">+'Historical Data'!D10/'Historical Data'!D9-1</f>
        <v>1.4519768468556737E-2</v>
      </c>
      <c r="E6" s="7">
        <f ca="1">+'Historical Data'!E10/'Historical Data'!E9-1</f>
        <v>7.128124241688738E-3</v>
      </c>
      <c r="F6" s="7">
        <f ca="1">+'Historical Data'!F10/'Historical Data'!F9-1</f>
        <v>-6.9353327085286409E-3</v>
      </c>
      <c r="G6" s="7">
        <f ca="1">+'Historical Data'!G10/'Historical Data'!G9-1</f>
        <v>9.1116173120728838E-3</v>
      </c>
      <c r="H6" s="7">
        <f ca="1">+'Historical Data'!H10/'Historical Data'!H9-1</f>
        <v>-9.3923095448341654E-3</v>
      </c>
      <c r="I6" s="7">
        <f ca="1">+'Historical Data'!I10/'Historical Data'!I9-1</f>
        <v>1.9171779141105016E-3</v>
      </c>
      <c r="J6" s="7">
        <f ca="1">+'Historical Data'!J10/'Historical Data'!J9-1</f>
        <v>7.6326914044151373E-3</v>
      </c>
      <c r="K6" s="7">
        <f ca="1">+'Historical Data'!K10/'Historical Data'!K9-1</f>
        <v>-7.2063415805909692E-3</v>
      </c>
      <c r="L6" s="7">
        <f ca="1">+'Historical Data'!L10/'Historical Data'!L9-1</f>
        <v>-1.7751479289940808E-2</v>
      </c>
      <c r="M6" s="7">
        <f ca="1">+'Historical Data'!M10/'Historical Data'!M9-1</f>
        <v>-6.6629304439878023E-3</v>
      </c>
      <c r="N6" s="7">
        <f ca="1">+'Historical Data'!N10/'Historical Data'!N9-1</f>
        <v>1.8657533188262132E-2</v>
      </c>
      <c r="O6" s="7">
        <f ca="1">+'Historical Data'!O10/'Historical Data'!O9-1</f>
        <v>6.4502704952142942E-3</v>
      </c>
      <c r="P6" s="7">
        <f ca="1">+'Historical Data'!P10/'Historical Data'!P9-1</f>
        <v>8.5852553861425207E-3</v>
      </c>
    </row>
    <row r="7" spans="1:16" x14ac:dyDescent="0.25">
      <c r="A7" vm="78">
        <f ca="1"/>
        <v>45352</v>
      </c>
      <c r="B7" s="7">
        <f ca="1">+'Historical Data'!B11/'Historical Data'!B10-1</f>
        <v>3.7646126411730041E-3</v>
      </c>
      <c r="C7" s="7">
        <f ca="1">+'Historical Data'!C11/'Historical Data'!C10-1</f>
        <v>8.2597872821905671E-3</v>
      </c>
      <c r="D7" s="7">
        <f ca="1">+'Historical Data'!D11/'Historical Data'!D10-1</f>
        <v>4.4966637655932118E-3</v>
      </c>
      <c r="E7" s="7">
        <f ca="1">+'Historical Data'!E11/'Historical Data'!E10-1</f>
        <v>9.6376833418667651E-3</v>
      </c>
      <c r="F7" s="7">
        <f ca="1">+'Historical Data'!F11/'Historical Data'!F10-1</f>
        <v>-5.662514156286047E-4</v>
      </c>
      <c r="G7" s="7">
        <f ca="1">+'Historical Data'!G11/'Historical Data'!G10-1</f>
        <v>-4.1384499623777771E-3</v>
      </c>
      <c r="H7" s="7">
        <f ca="1">+'Historical Data'!H11/'Historical Data'!H10-1</f>
        <v>-8.2455429497569899E-3</v>
      </c>
      <c r="I7" s="7">
        <f ca="1">+'Historical Data'!I11/'Historical Data'!I10-1</f>
        <v>1.2629161882893314E-2</v>
      </c>
      <c r="J7" s="7">
        <f ca="1">+'Historical Data'!J11/'Historical Data'!J10-1</f>
        <v>2.5754574058967528E-2</v>
      </c>
      <c r="K7" s="7">
        <f ca="1">+'Historical Data'!K11/'Historical Data'!K10-1</f>
        <v>-4.8390999274128266E-4</v>
      </c>
      <c r="L7" s="7">
        <f ca="1">+'Historical Data'!L11/'Historical Data'!L10-1</f>
        <v>1.1295180722892262E-3</v>
      </c>
      <c r="M7" s="7">
        <f ca="1">+'Historical Data'!M11/'Historical Data'!M10-1</f>
        <v>-2.7394684052156504E-2</v>
      </c>
      <c r="N7" s="7">
        <f ca="1">+'Historical Data'!N11/'Historical Data'!N10-1</f>
        <v>4.0031853574678866E-2</v>
      </c>
      <c r="O7" s="7">
        <f ca="1">+'Historical Data'!O11/'Historical Data'!O10-1</f>
        <v>6.2021914409760015E-4</v>
      </c>
      <c r="P7" s="7">
        <f ca="1">+'Historical Data'!P11/'Historical Data'!P10-1</f>
        <v>7.5879091726964498E-2</v>
      </c>
    </row>
    <row r="8" spans="1:16" x14ac:dyDescent="0.25">
      <c r="A8" vm="94">
        <f ca="1"/>
        <v>45355</v>
      </c>
      <c r="B8" s="7">
        <f ca="1">+'Historical Data'!B12/'Historical Data'!B11-1</f>
        <v>-7.1555467824713781E-2</v>
      </c>
      <c r="C8" s="7">
        <f ca="1">+'Historical Data'!C12/'Historical Data'!C11-1</f>
        <v>-3.5910672202894567E-3</v>
      </c>
      <c r="D8" s="7">
        <f ca="1">+'Historical Data'!D12/'Historical Data'!D11-1</f>
        <v>-1.395908543922908E-3</v>
      </c>
      <c r="E8" s="7">
        <f ca="1">+'Historical Data'!E12/'Historical Data'!E11-1</f>
        <v>5.5782597022939751E-3</v>
      </c>
      <c r="F8" s="7">
        <f ca="1">+'Historical Data'!F12/'Historical Data'!F11-1</f>
        <v>4.4696254327982743E-3</v>
      </c>
      <c r="G8" s="7">
        <f ca="1">+'Historical Data'!G12/'Historical Data'!G11-1</f>
        <v>7.5017540072319644E-3</v>
      </c>
      <c r="H8" s="7">
        <f ca="1">+'Historical Data'!H12/'Historical Data'!H11-1</f>
        <v>-1.5647662043184241E-2</v>
      </c>
      <c r="I8" s="7">
        <f ca="1">+'Historical Data'!I12/'Historical Data'!I11-1</f>
        <v>-1.3983371126228272E-2</v>
      </c>
      <c r="J8" s="7">
        <f ca="1">+'Historical Data'!J12/'Historical Data'!J11-1</f>
        <v>-1.7496023630992896E-2</v>
      </c>
      <c r="K8" s="7">
        <f ca="1">+'Historical Data'!K12/'Historical Data'!K11-1</f>
        <v>2.0576131687242594E-2</v>
      </c>
      <c r="L8" s="7">
        <f ca="1">+'Historical Data'!L12/'Historical Data'!L11-1</f>
        <v>-2.6325686348251165E-2</v>
      </c>
      <c r="M8" s="7">
        <f ca="1">+'Historical Data'!M12/'Historical Data'!M11-1</f>
        <v>7.9278117950369875E-3</v>
      </c>
      <c r="N8" s="7">
        <f ca="1">+'Historical Data'!N12/'Historical Data'!N11-1</f>
        <v>3.5950850156175829E-2</v>
      </c>
      <c r="O8" s="7">
        <f ca="1">+'Historical Data'!O12/'Historical Data'!O11-1</f>
        <v>1.5082644628099162E-2</v>
      </c>
      <c r="P8" s="7">
        <f ca="1">+'Historical Data'!P12/'Historical Data'!P11-1</f>
        <v>2.208452153776852E-3</v>
      </c>
    </row>
    <row r="9" spans="1:16" x14ac:dyDescent="0.25">
      <c r="A9" vm="110">
        <f ca="1"/>
        <v>45356</v>
      </c>
      <c r="B9" s="7">
        <f ca="1">+'Historical Data'!B13/'Historical Data'!B12-1</f>
        <v>-3.9332412033591835E-2</v>
      </c>
      <c r="C9" s="7">
        <f ca="1">+'Historical Data'!C13/'Historical Data'!C12-1</f>
        <v>-1.9484176145962429E-2</v>
      </c>
      <c r="D9" s="7">
        <f ca="1">+'Historical Data'!D13/'Historical Data'!D12-1</f>
        <v>-2.9571965680131207E-2</v>
      </c>
      <c r="E9" s="7">
        <f ca="1">+'Historical Data'!E13/'Historical Data'!E12-1</f>
        <v>-1.1331948976564976E-2</v>
      </c>
      <c r="F9" s="7">
        <f ca="1">+'Historical Data'!F13/'Historical Data'!F12-1</f>
        <v>-1.5041363750314396E-3</v>
      </c>
      <c r="G9" s="7">
        <f ca="1">+'Historical Data'!G13/'Historical Data'!G12-1</f>
        <v>1.0017141632740589E-2</v>
      </c>
      <c r="H9" s="7">
        <f ca="1">+'Historical Data'!H13/'Historical Data'!H12-1</f>
        <v>-1.8096167016000253E-2</v>
      </c>
      <c r="I9" s="7">
        <f ca="1">+'Historical Data'!I13/'Historical Data'!I12-1</f>
        <v>1.2265235722499046E-2</v>
      </c>
      <c r="J9" s="7">
        <f ca="1">+'Historical Data'!J13/'Historical Data'!J12-1</f>
        <v>-9.4819611470858822E-3</v>
      </c>
      <c r="K9" s="7">
        <f ca="1">+'Historical Data'!K13/'Historical Data'!K12-1</f>
        <v>1.0199240986717539E-2</v>
      </c>
      <c r="L9" s="7">
        <f ca="1">+'Historical Data'!L13/'Historical Data'!L12-1</f>
        <v>7.3387408265739307E-3</v>
      </c>
      <c r="M9" s="7">
        <f ca="1">+'Historical Data'!M13/'Historical Data'!M12-1</f>
        <v>2.4939250543549729E-3</v>
      </c>
      <c r="N9" s="7">
        <f ca="1">+'Historical Data'!N13/'Historical Data'!N12-1</f>
        <v>8.5291598718866268E-3</v>
      </c>
      <c r="O9" s="7">
        <f ca="1">+'Historical Data'!O13/'Historical Data'!O12-1</f>
        <v>-3.6637492367188607E-3</v>
      </c>
      <c r="P9" s="7">
        <f ca="1">+'Historical Data'!P13/'Historical Data'!P12-1</f>
        <v>-4.2438634775291306E-2</v>
      </c>
    </row>
    <row r="10" spans="1:16" x14ac:dyDescent="0.25">
      <c r="A10" vm="126">
        <f ca="1"/>
        <v>45357</v>
      </c>
      <c r="B10" s="7">
        <f ca="1">+'Historical Data'!B14/'Historical Data'!B13-1</f>
        <v>-2.323780015491872E-2</v>
      </c>
      <c r="C10" s="7">
        <f ca="1">+'Historical Data'!C14/'Historical Data'!C13-1</f>
        <v>-3.5033310360671477E-3</v>
      </c>
      <c r="D10" s="7">
        <f ca="1">+'Historical Data'!D14/'Historical Data'!D13-1</f>
        <v>-1.3907860424686724E-3</v>
      </c>
      <c r="E10" s="7">
        <f ca="1">+'Historical Data'!E14/'Historical Data'!E13-1</f>
        <v>9.6315410465674933E-3</v>
      </c>
      <c r="F10" s="7">
        <f ca="1">+'Historical Data'!F14/'Historical Data'!F13-1</f>
        <v>1.5691689681145427E-3</v>
      </c>
      <c r="G10" s="7">
        <f ca="1">+'Historical Data'!G14/'Historical Data'!G13-1</f>
        <v>5.1975603288252348E-3</v>
      </c>
      <c r="H10" s="7">
        <f ca="1">+'Historical Data'!H14/'Historical Data'!H13-1</f>
        <v>-1.1624220648841499E-3</v>
      </c>
      <c r="I10" s="7">
        <f ca="1">+'Historical Data'!I14/'Historical Data'!I13-1</f>
        <v>1.0696705793260097E-2</v>
      </c>
      <c r="J10" s="7">
        <f ca="1">+'Historical Data'!J14/'Historical Data'!J13-1</f>
        <v>1.2958206864347233E-2</v>
      </c>
      <c r="K10" s="7">
        <f ca="1">+'Historical Data'!K14/'Historical Data'!K13-1</f>
        <v>1.0565860530640903E-2</v>
      </c>
      <c r="L10" s="7">
        <f ca="1">+'Historical Data'!L14/'Historical Data'!L13-1</f>
        <v>4.256134969325176E-2</v>
      </c>
      <c r="M10" s="7">
        <f ca="1">+'Historical Data'!M14/'Historical Data'!M13-1</f>
        <v>1.7222682911270937E-3</v>
      </c>
      <c r="N10" s="7">
        <f ca="1">+'Historical Data'!N14/'Historical Data'!N13-1</f>
        <v>3.1827276534363236E-2</v>
      </c>
      <c r="O10" s="7">
        <f ca="1">+'Historical Data'!O14/'Historical Data'!O13-1</f>
        <v>4.4943820224718767E-3</v>
      </c>
      <c r="P10" s="7">
        <f ca="1">+'Historical Data'!P14/'Historical Data'!P13-1</f>
        <v>5.3993669707688152E-3</v>
      </c>
    </row>
    <row r="11" spans="1:16" x14ac:dyDescent="0.25">
      <c r="A11" vm="142">
        <f ca="1"/>
        <v>45358</v>
      </c>
      <c r="B11" s="7">
        <f ca="1">+'Historical Data'!B15/'Historical Data'!B14-1</f>
        <v>1.1951965560213162E-2</v>
      </c>
      <c r="C11" s="7">
        <f ca="1">+'Historical Data'!C15/'Historical Data'!C14-1</f>
        <v>1.9076710276064723E-2</v>
      </c>
      <c r="D11" s="7">
        <f ca="1">+'Historical Data'!D15/'Historical Data'!D14-1</f>
        <v>1.7533388047452192E-2</v>
      </c>
      <c r="E11" s="7">
        <f ca="1">+'Historical Data'!E15/'Historical Data'!E14-1</f>
        <v>2.4280067758328583E-2</v>
      </c>
      <c r="F11" s="7">
        <f ca="1">+'Historical Data'!F15/'Historical Data'!F14-1</f>
        <v>6.5801842451589376E-3</v>
      </c>
      <c r="G11" s="7">
        <f ca="1">+'Historical Data'!G15/'Historical Data'!G14-1</f>
        <v>-8.7585078879333089E-3</v>
      </c>
      <c r="H11" s="7">
        <f ca="1">+'Historical Data'!H15/'Historical Data'!H14-1</f>
        <v>1.3076597545492952E-2</v>
      </c>
      <c r="I11" s="7">
        <f ca="1">+'Historical Data'!I15/'Historical Data'!I14-1</f>
        <v>5.619556055071806E-3</v>
      </c>
      <c r="J11" s="7">
        <f ca="1">+'Historical Data'!J15/'Historical Data'!J14-1</f>
        <v>1.4982136683185932E-3</v>
      </c>
      <c r="K11" s="7">
        <f ca="1">+'Historical Data'!K15/'Historical Data'!K14-1</f>
        <v>5.5762081784387352E-3</v>
      </c>
      <c r="L11" s="7">
        <f ca="1">+'Historical Data'!L15/'Historical Data'!L14-1</f>
        <v>-1.4711290915777941E-2</v>
      </c>
      <c r="M11" s="7">
        <f ca="1">+'Historical Data'!M15/'Historical Data'!M14-1</f>
        <v>-2.5471217524197787E-3</v>
      </c>
      <c r="N11" s="7">
        <f ca="1">+'Historical Data'!N15/'Historical Data'!N14-1</f>
        <v>4.47463359639233E-2</v>
      </c>
      <c r="O11" s="7">
        <f ca="1">+'Historical Data'!O15/'Historical Data'!O14-1</f>
        <v>-5.4911531421598658E-3</v>
      </c>
      <c r="P11" s="7">
        <f ca="1">+'Historical Data'!P15/'Historical Data'!P14-1</f>
        <v>4.2229629629629617E-2</v>
      </c>
    </row>
    <row r="12" spans="1:16" x14ac:dyDescent="0.25">
      <c r="A12" vm="158">
        <f ca="1"/>
        <v>45359</v>
      </c>
      <c r="B12" s="7">
        <f ca="1">+'Historical Data'!B16/'Historical Data'!B15-1</f>
        <v>-1.8527847746991344E-2</v>
      </c>
      <c r="C12" s="7">
        <f ca="1">+'Historical Data'!C16/'Historical Data'!C15-1</f>
        <v>-8.3135391923990776E-3</v>
      </c>
      <c r="D12" s="7">
        <f ca="1">+'Historical Data'!D16/'Historical Data'!D15-1</f>
        <v>-7.1369213472159965E-3</v>
      </c>
      <c r="E12" s="7">
        <f ca="1">+'Historical Data'!E16/'Historical Data'!E15-1</f>
        <v>-1.1518598038646854E-2</v>
      </c>
      <c r="F12" s="7">
        <f ca="1">+'Historical Data'!F16/'Historical Data'!F15-1</f>
        <v>-1.6809861785581637E-3</v>
      </c>
      <c r="G12" s="7">
        <f ca="1">+'Historical Data'!G16/'Historical Data'!G15-1</f>
        <v>1.8629903656783853E-3</v>
      </c>
      <c r="H12" s="7">
        <f ca="1">+'Historical Data'!H16/'Historical Data'!H15-1</f>
        <v>-4.6158987426374587E-3</v>
      </c>
      <c r="I12" s="7">
        <f ca="1">+'Historical Data'!I16/'Historical Data'!I15-1</f>
        <v>9.4067244109155013E-3</v>
      </c>
      <c r="J12" s="7">
        <f ca="1">+'Historical Data'!J16/'Historical Data'!J15-1</f>
        <v>3.5673187571922949E-3</v>
      </c>
      <c r="K12" s="7">
        <f ca="1">+'Historical Data'!K16/'Historical Data'!K15-1</f>
        <v>-4.852125693160847E-3</v>
      </c>
      <c r="L12" s="7">
        <f ca="1">+'Historical Data'!L16/'Historical Data'!L15-1</f>
        <v>1.6050765210899653E-2</v>
      </c>
      <c r="M12" s="7">
        <f ca="1">+'Historical Data'!M16/'Historical Data'!M15-1</f>
        <v>1.7875383043921556E-3</v>
      </c>
      <c r="N12" s="7">
        <f ca="1">+'Historical Data'!N16/'Historical Data'!N15-1</f>
        <v>-5.5477020362796559E-2</v>
      </c>
      <c r="O12" s="7">
        <f ca="1">+'Historical Data'!O16/'Historical Data'!O15-1</f>
        <v>1.2269938650306678E-2</v>
      </c>
      <c r="P12" s="7">
        <f ca="1">+'Historical Data'!P16/'Historical Data'!P15-1</f>
        <v>-6.985735709056784E-2</v>
      </c>
    </row>
    <row r="13" spans="1:16" x14ac:dyDescent="0.25">
      <c r="A13" vm="174">
        <f ca="1"/>
        <v>45362</v>
      </c>
      <c r="B13" s="7">
        <f ca="1">+'Historical Data'!B17/'Historical Data'!B16-1</f>
        <v>1.3858788639215192E-2</v>
      </c>
      <c r="C13" s="7">
        <f ca="1">+'Historical Data'!C17/'Historical Data'!C16-1</f>
        <v>-1.933276304533782E-2</v>
      </c>
      <c r="D13" s="7">
        <f ca="1">+'Historical Data'!D17/'Historical Data'!D16-1</f>
        <v>-4.1849244251884743E-3</v>
      </c>
      <c r="E13" s="7">
        <f ca="1">+'Historical Data'!E17/'Historical Data'!E16-1</f>
        <v>-8.8056591035845511E-4</v>
      </c>
      <c r="F13" s="7">
        <f ca="1">+'Historical Data'!F17/'Historical Data'!F16-1</f>
        <v>7.4836295603368796E-3</v>
      </c>
      <c r="G13" s="7">
        <f ca="1">+'Historical Data'!G17/'Historical Data'!G16-1</f>
        <v>3.7190521729879578E-4</v>
      </c>
      <c r="H13" s="7">
        <f ca="1">+'Historical Data'!H17/'Historical Data'!H16-1</f>
        <v>2.6396961621587556E-2</v>
      </c>
      <c r="I13" s="7">
        <f ca="1">+'Historical Data'!I17/'Historical Data'!I16-1</f>
        <v>5.9051485513932356E-3</v>
      </c>
      <c r="J13" s="7">
        <f ca="1">+'Historical Data'!J17/'Historical Data'!J16-1</f>
        <v>-5.1599587203302599E-3</v>
      </c>
      <c r="K13" s="7">
        <f ca="1">+'Historical Data'!K17/'Historical Data'!K16-1</f>
        <v>-3.2505224053865911E-3</v>
      </c>
      <c r="L13" s="7">
        <f ca="1">+'Historical Data'!L17/'Historical Data'!L16-1</f>
        <v>4.2248346803820835E-2</v>
      </c>
      <c r="M13" s="7">
        <f ca="1">+'Historical Data'!M17/'Historical Data'!M16-1</f>
        <v>1.9245475401478584E-2</v>
      </c>
      <c r="N13" s="7">
        <f ca="1">+'Historical Data'!N17/'Historical Data'!N16-1</f>
        <v>-2.0039301709167456E-2</v>
      </c>
      <c r="O13" s="7">
        <f ca="1">+'Historical Data'!O17/'Historical Data'!O16-1</f>
        <v>1.4545454545454417E-2</v>
      </c>
      <c r="P13" s="7">
        <f ca="1">+'Historical Data'!P17/'Historical Data'!P16-1</f>
        <v>-1.1920044012470266E-2</v>
      </c>
    </row>
    <row r="14" spans="1:16" x14ac:dyDescent="0.25">
      <c r="A14" vm="190">
        <f ca="1"/>
        <v>45363</v>
      </c>
      <c r="B14" s="7">
        <f ca="1">+'Historical Data'!B18/'Historical Data'!B17-1</f>
        <v>-1.2938066040389939E-3</v>
      </c>
      <c r="C14" s="7">
        <f ca="1">+'Historical Data'!C18/'Historical Data'!C17-1</f>
        <v>1.9946499185857114E-2</v>
      </c>
      <c r="D14" s="7">
        <f ca="1">+'Historical Data'!D18/'Historical Data'!D17-1</f>
        <v>2.6599426480767407E-2</v>
      </c>
      <c r="E14" s="7">
        <f ca="1">+'Historical Data'!E18/'Historical Data'!E17-1</f>
        <v>6.7863333235407275E-3</v>
      </c>
      <c r="F14" s="7">
        <f ca="1">+'Historical Data'!F18/'Historical Data'!F17-1</f>
        <v>2.3522129371711387E-3</v>
      </c>
      <c r="G14" s="7">
        <f ca="1">+'Historical Data'!G18/'Historical Data'!G17-1</f>
        <v>8.2319825800627466E-3</v>
      </c>
      <c r="H14" s="7">
        <f ca="1">+'Historical Data'!H18/'Historical Data'!H17-1</f>
        <v>4.0887253398769197E-4</v>
      </c>
      <c r="I14" s="7">
        <f ca="1">+'Historical Data'!I18/'Historical Data'!I17-1</f>
        <v>-6.4208402128049791E-3</v>
      </c>
      <c r="J14" s="7">
        <f ca="1">+'Historical Data'!J18/'Historical Data'!J17-1</f>
        <v>1.1410788381742698E-2</v>
      </c>
      <c r="K14" s="7">
        <f ca="1">+'Historical Data'!K18/'Historical Data'!K17-1</f>
        <v>6.5222455159561488E-3</v>
      </c>
      <c r="L14" s="7">
        <f ca="1">+'Historical Data'!L18/'Historical Data'!L17-1</f>
        <v>-1.2689460697920318E-2</v>
      </c>
      <c r="M14" s="7">
        <f ca="1">+'Historical Data'!M18/'Historical Data'!M17-1</f>
        <v>-2.1257971739402359E-3</v>
      </c>
      <c r="N14" s="7">
        <f ca="1">+'Historical Data'!N18/'Historical Data'!N17-1</f>
        <v>7.1571804975866682E-2</v>
      </c>
      <c r="O14" s="7">
        <f ca="1">+'Historical Data'!O18/'Historical Data'!O17-1</f>
        <v>-2.9868578255675127E-3</v>
      </c>
      <c r="P14" s="7">
        <f ca="1">+'Historical Data'!P18/'Historical Data'!P17-1</f>
        <v>-9.5892105914396897E-4</v>
      </c>
    </row>
    <row r="15" spans="1:16" x14ac:dyDescent="0.25">
      <c r="A15" vm="206">
        <f ca="1"/>
        <v>45364</v>
      </c>
      <c r="B15" s="7">
        <f ca="1">+'Historical Data'!B19/'Historical Data'!B18-1</f>
        <v>-4.5398220119409749E-2</v>
      </c>
      <c r="C15" s="7">
        <f ca="1">+'Historical Data'!C19/'Historical Data'!C18-1</f>
        <v>6.6423399281603235E-3</v>
      </c>
      <c r="D15" s="7">
        <f ca="1">+'Historical Data'!D19/'Historical Data'!D18-1</f>
        <v>-4.3344249662868872E-4</v>
      </c>
      <c r="E15" s="7">
        <f ca="1">+'Historical Data'!E19/'Historical Data'!E18-1</f>
        <v>-1.7187044061861667E-2</v>
      </c>
      <c r="F15" s="7">
        <f ca="1">+'Historical Data'!F19/'Historical Data'!F18-1</f>
        <v>2.2849379361453703E-3</v>
      </c>
      <c r="G15" s="7">
        <f ca="1">+'Historical Data'!G19/'Historical Data'!G18-1</f>
        <v>8.1120943952801561E-3</v>
      </c>
      <c r="H15" s="7">
        <f ca="1">+'Historical Data'!H19/'Historical Data'!H18-1</f>
        <v>-2.7587616225606126E-3</v>
      </c>
      <c r="I15" s="7">
        <f ca="1">+'Historical Data'!I19/'Historical Data'!I18-1</f>
        <v>1.1170605612998541E-2</v>
      </c>
      <c r="J15" s="7">
        <f ca="1">+'Historical Data'!J19/'Historical Data'!J18-1</f>
        <v>1.0256410256410664E-3</v>
      </c>
      <c r="K15" s="7">
        <f ca="1">+'Historical Data'!K19/'Historical Data'!K18-1</f>
        <v>1.1339967600092704E-2</v>
      </c>
      <c r="L15" s="7">
        <f ca="1">+'Historical Data'!L19/'Historical Data'!L18-1</f>
        <v>7.4973223848624482E-3</v>
      </c>
      <c r="M15" s="7">
        <f ca="1">+'Historical Data'!M19/'Historical Data'!M18-1</f>
        <v>3.0075187969926809E-3</v>
      </c>
      <c r="N15" s="7">
        <f ca="1">+'Historical Data'!N19/'Historical Data'!N18-1</f>
        <v>-1.1151850119134332E-2</v>
      </c>
      <c r="O15" s="7">
        <f ca="1">+'Historical Data'!O19/'Historical Data'!O18-1</f>
        <v>7.9888156580776304E-4</v>
      </c>
      <c r="P15" s="7">
        <f ca="1">+'Historical Data'!P19/'Historical Data'!P18-1</f>
        <v>-2.6325974548719544E-2</v>
      </c>
    </row>
    <row r="16" spans="1:16" x14ac:dyDescent="0.25">
      <c r="A16" vm="222">
        <f ca="1"/>
        <v>45365</v>
      </c>
      <c r="B16" s="7">
        <f ca="1">+'Historical Data'!B20/'Historical Data'!B19-1</f>
        <v>-4.1184800566438473E-2</v>
      </c>
      <c r="C16" s="7">
        <f ca="1">+'Historical Data'!C20/'Historical Data'!C19-1</f>
        <v>1.2432386508453463E-2</v>
      </c>
      <c r="D16" s="7">
        <f ca="1">+'Historical Data'!D20/'Historical Data'!D19-1</f>
        <v>2.4379667549987882E-2</v>
      </c>
      <c r="E16" s="7">
        <f ca="1">+'Historical Data'!E20/'Historical Data'!E19-1</f>
        <v>-5.611472343457713E-3</v>
      </c>
      <c r="F16" s="7">
        <f ca="1">+'Historical Data'!F20/'Historical Data'!F19-1</f>
        <v>-4.9291435613062484E-3</v>
      </c>
      <c r="G16" s="7">
        <f ca="1">+'Historical Data'!G20/'Historical Data'!G19-1</f>
        <v>-1.7817953809175391E-2</v>
      </c>
      <c r="H16" s="7">
        <f ca="1">+'Historical Data'!H20/'Historical Data'!H19-1</f>
        <v>2.049180327868827E-3</v>
      </c>
      <c r="I16" s="7">
        <f ca="1">+'Historical Data'!I20/'Historical Data'!I19-1</f>
        <v>1.7712042362822977E-2</v>
      </c>
      <c r="J16" s="7">
        <f ca="1">+'Historical Data'!J20/'Historical Data'!J19-1</f>
        <v>-8.4244080145718936E-3</v>
      </c>
      <c r="K16" s="7">
        <f ca="1">+'Historical Data'!K20/'Historical Data'!K19-1</f>
        <v>-4.5766590389018091E-4</v>
      </c>
      <c r="L16" s="7">
        <f ca="1">+'Historical Data'!L20/'Historical Data'!L19-1</f>
        <v>-3.1892274982282531E-3</v>
      </c>
      <c r="M16" s="7">
        <f ca="1">+'Historical Data'!M20/'Historical Data'!M19-1</f>
        <v>-4.3728135932035173E-3</v>
      </c>
      <c r="N16" s="7">
        <f ca="1">+'Historical Data'!N20/'Historical Data'!N19-1</f>
        <v>-3.2391514831440871E-2</v>
      </c>
      <c r="O16" s="7">
        <f ca="1">+'Historical Data'!O20/'Historical Data'!O19-1</f>
        <v>-6.3859509080024246E-3</v>
      </c>
      <c r="P16" s="7">
        <f ca="1">+'Historical Data'!P20/'Historical Data'!P19-1</f>
        <v>3.4979767384546445E-3</v>
      </c>
    </row>
    <row r="17" spans="1:16" x14ac:dyDescent="0.25">
      <c r="A17" vm="238">
        <f ca="1"/>
        <v>45366</v>
      </c>
      <c r="B17" s="7">
        <f ca="1">+'Historical Data'!B21/'Historical Data'!B20-1</f>
        <v>6.584615384615411E-3</v>
      </c>
      <c r="C17" s="7">
        <f ca="1">+'Historical Data'!C21/'Historical Data'!C20-1</f>
        <v>-2.422377622377625E-2</v>
      </c>
      <c r="D17" s="7">
        <f ca="1">+'Historical Data'!D21/'Historical Data'!D20-1</f>
        <v>-2.0695169559286963E-2</v>
      </c>
      <c r="E17" s="7">
        <f ca="1">+'Historical Data'!E21/'Historical Data'!E20-1</f>
        <v>-7.7630478920331925E-4</v>
      </c>
      <c r="F17" s="7">
        <f ca="1">+'Historical Data'!F21/'Historical Data'!F20-1</f>
        <v>-7.4303405572762049E-4</v>
      </c>
      <c r="G17" s="7">
        <f ca="1">+'Historical Data'!G21/'Historical Data'!G20-1</f>
        <v>1.239559504176202E-2</v>
      </c>
      <c r="H17" s="7">
        <f ca="1">+'Historical Data'!H21/'Historical Data'!H20-1</f>
        <v>3.7218813905930404E-3</v>
      </c>
      <c r="I17" s="7">
        <f ca="1">+'Historical Data'!I21/'Historical Data'!I20-1</f>
        <v>-1.7942047187584631E-3</v>
      </c>
      <c r="J17" s="7">
        <f ca="1">+'Historical Data'!J21/'Historical Data'!J20-1</f>
        <v>3.2146957520089448E-3</v>
      </c>
      <c r="K17" s="7">
        <f ca="1">+'Historical Data'!K21/'Historical Data'!K20-1</f>
        <v>1.6025641025641191E-2</v>
      </c>
      <c r="L17" s="7">
        <f ca="1">+'Historical Data'!L21/'Historical Data'!L20-1</f>
        <v>-6.7543547813720961E-3</v>
      </c>
      <c r="M17" s="7">
        <f ca="1">+'Historical Data'!M21/'Historical Data'!M20-1</f>
        <v>1.7693562554900177E-2</v>
      </c>
      <c r="N17" s="7">
        <f ca="1">+'Historical Data'!N21/'Historical Data'!N20-1</f>
        <v>-1.2223687801328209E-3</v>
      </c>
      <c r="O17" s="7">
        <f ca="1">+'Historical Data'!O21/'Historical Data'!O20-1</f>
        <v>-1.727254468768824E-2</v>
      </c>
      <c r="P17" s="7">
        <f ca="1">+'Historical Data'!P21/'Historical Data'!P20-1</f>
        <v>-2.1207823999619735E-2</v>
      </c>
    </row>
    <row r="18" spans="1:16" x14ac:dyDescent="0.25">
      <c r="A18" vm="254">
        <f ca="1"/>
        <v>45369</v>
      </c>
      <c r="B18" s="7">
        <f ca="1">+'Historical Data'!B22/'Historical Data'!B21-1</f>
        <v>6.2542030934768178E-2</v>
      </c>
      <c r="C18" s="7">
        <f ca="1">+'Historical Data'!C22/'Historical Data'!C21-1</f>
        <v>3.4399724802192111E-4</v>
      </c>
      <c r="D18" s="7">
        <f ca="1">+'Historical Data'!D22/'Historical Data'!D21-1</f>
        <v>2.161279477450595E-3</v>
      </c>
      <c r="E18" s="7">
        <f ca="1">+'Historical Data'!E22/'Historical Data'!E21-1</f>
        <v>1.8227454730173065E-3</v>
      </c>
      <c r="F18" s="7">
        <f ca="1">+'Historical Data'!F22/'Historical Data'!F21-1</f>
        <v>-1.0534143016481812E-3</v>
      </c>
      <c r="G18" s="7">
        <f ca="1">+'Historical Data'!G22/'Historical Data'!G21-1</f>
        <v>1.2401471361008776E-2</v>
      </c>
      <c r="H18" s="7">
        <f ca="1">+'Historical Data'!H22/'Historical Data'!H21-1</f>
        <v>-7.6810235931705773E-3</v>
      </c>
      <c r="I18" s="7">
        <f ca="1">+'Historical Data'!I22/'Historical Data'!I21-1</f>
        <v>9.2567628291542192E-3</v>
      </c>
      <c r="J18" s="7">
        <f ca="1">+'Historical Data'!J22/'Historical Data'!J21-1</f>
        <v>1.8883039597161977E-2</v>
      </c>
      <c r="K18" s="7">
        <f ca="1">+'Historical Data'!K22/'Historical Data'!K21-1</f>
        <v>-1.1266336187473192E-3</v>
      </c>
      <c r="L18" s="7">
        <f ca="1">+'Historical Data'!L22/'Historical Data'!L21-1</f>
        <v>-7.8740157480315931E-3</v>
      </c>
      <c r="M18" s="7">
        <f ca="1">+'Historical Data'!M22/'Historical Data'!M21-1</f>
        <v>4.9938347718865295E-3</v>
      </c>
      <c r="N18" s="7">
        <f ca="1">+'Historical Data'!N22/'Historical Data'!N21-1</f>
        <v>7.0414918627221823E-3</v>
      </c>
      <c r="O18" s="7">
        <f ca="1">+'Historical Data'!O22/'Historical Data'!O21-1</f>
        <v>6.9487022276721877E-3</v>
      </c>
      <c r="P18" s="7">
        <f ca="1">+'Historical Data'!P22/'Historical Data'!P21-1</f>
        <v>1.4083367057871055E-3</v>
      </c>
    </row>
    <row r="19" spans="1:16" x14ac:dyDescent="0.25">
      <c r="A19" vm="270">
        <f ca="1"/>
        <v>45370</v>
      </c>
      <c r="B19" s="7">
        <f ca="1">+'Historical Data'!B23/'Historical Data'!B22-1</f>
        <v>-1.4269275028768846E-2</v>
      </c>
      <c r="C19" s="7">
        <f ca="1">+'Historical Data'!C23/'Historical Data'!C22-1</f>
        <v>8.13846859238887E-3</v>
      </c>
      <c r="D19" s="7">
        <f ca="1">+'Historical Data'!D23/'Historical Data'!D22-1</f>
        <v>9.8006326080706252E-3</v>
      </c>
      <c r="E19" s="7">
        <f ca="1">+'Historical Data'!E23/'Historical Data'!E22-1</f>
        <v>3.9072985951620343E-3</v>
      </c>
      <c r="F19" s="7">
        <f ca="1">+'Historical Data'!F23/'Historical Data'!F22-1</f>
        <v>3.8459152658023577E-3</v>
      </c>
      <c r="G19" s="7">
        <f ca="1">+'Historical Data'!G23/'Historical Data'!G22-1</f>
        <v>5.8652548531090698E-3</v>
      </c>
      <c r="H19" s="7">
        <f ca="1">+'Historical Data'!H23/'Historical Data'!H22-1</f>
        <v>1.287342161995686E-2</v>
      </c>
      <c r="I19" s="7">
        <f ca="1">+'Historical Data'!I23/'Historical Data'!I22-1</f>
        <v>7.0347284060552351E-3</v>
      </c>
      <c r="J19" s="7">
        <f ca="1">+'Historical Data'!J23/'Historical Data'!J22-1</f>
        <v>-3.369650679546643E-4</v>
      </c>
      <c r="K19" s="7">
        <f ca="1">+'Historical Data'!K23/'Historical Data'!K22-1</f>
        <v>2.0302278366794546E-2</v>
      </c>
      <c r="L19" s="7">
        <f ca="1">+'Historical Data'!L23/'Historical Data'!L22-1</f>
        <v>-3.2467532467532756E-3</v>
      </c>
      <c r="M19" s="7">
        <f ca="1">+'Historical Data'!M23/'Historical Data'!M22-1</f>
        <v>-3.987485430341553E-3</v>
      </c>
      <c r="N19" s="7">
        <f ca="1">+'Historical Data'!N23/'Historical Data'!N22-1</f>
        <v>1.066078797128478E-2</v>
      </c>
      <c r="O19" s="7">
        <f ca="1">+'Historical Data'!O23/'Historical Data'!O22-1</f>
        <v>-2.6385224274406704E-3</v>
      </c>
      <c r="P19" s="7">
        <f ca="1">+'Historical Data'!P23/'Historical Data'!P22-1</f>
        <v>6.2235297921175992E-4</v>
      </c>
    </row>
    <row r="20" spans="1:16" x14ac:dyDescent="0.25">
      <c r="A20" vm="286">
        <f ca="1"/>
        <v>45371</v>
      </c>
      <c r="B20" s="7">
        <f ca="1">+'Historical Data'!B24/'Historical Data'!B23-1</f>
        <v>2.5332710716787332E-2</v>
      </c>
      <c r="C20" s="7">
        <f ca="1">+'Historical Data'!C24/'Historical Data'!C23-1</f>
        <v>1.2791358726549129E-2</v>
      </c>
      <c r="D20" s="7">
        <f ca="1">+'Historical Data'!D24/'Historical Data'!D23-1</f>
        <v>9.064806245699053E-3</v>
      </c>
      <c r="E20" s="7">
        <f ca="1">+'Historical Data'!E24/'Historical Data'!E23-1</f>
        <v>1.3280646503060378E-2</v>
      </c>
      <c r="F20" s="7">
        <f ca="1">+'Historical Data'!F24/'Historical Data'!F23-1</f>
        <v>9.8869183711292052E-4</v>
      </c>
      <c r="G20" s="7">
        <f ca="1">+'Historical Data'!G24/'Historical Data'!G23-1</f>
        <v>1.3106971463956008E-2</v>
      </c>
      <c r="H20" s="7">
        <f ca="1">+'Historical Data'!H24/'Historical Data'!H23-1</f>
        <v>1.844644449850108E-3</v>
      </c>
      <c r="I20" s="7">
        <f ca="1">+'Historical Data'!I24/'Historical Data'!I23-1</f>
        <v>-8.8425148112125651E-4</v>
      </c>
      <c r="J20" s="7">
        <f ca="1">+'Historical Data'!J24/'Historical Data'!J23-1</f>
        <v>6.9662921348314644E-3</v>
      </c>
      <c r="K20" s="7">
        <f ca="1">+'Historical Data'!K24/'Historical Data'!K23-1</f>
        <v>2.4762325889896131E-2</v>
      </c>
      <c r="L20" s="7">
        <f ca="1">+'Historical Data'!L24/'Historical Data'!L23-1</f>
        <v>2.5334781035106779E-3</v>
      </c>
      <c r="M20" s="7">
        <f ca="1">+'Historical Data'!M24/'Historical Data'!M23-1</f>
        <v>-7.3293914757330825E-3</v>
      </c>
      <c r="N20" s="7">
        <f ca="1">+'Historical Data'!N24/'Historical Data'!N23-1</f>
        <v>1.089509832434743E-2</v>
      </c>
      <c r="O20" s="7">
        <f ca="1">+'Historical Data'!O24/'Historical Data'!O23-1</f>
        <v>8.3435083435081658E-3</v>
      </c>
      <c r="P20" s="7">
        <f ca="1">+'Historical Data'!P24/'Historical Data'!P23-1</f>
        <v>3.068634340594989E-2</v>
      </c>
    </row>
    <row r="21" spans="1:16" x14ac:dyDescent="0.25">
      <c r="A21" vm="302">
        <f ca="1"/>
        <v>45372</v>
      </c>
      <c r="B21" s="7">
        <f ca="1">+'Historical Data'!B25/'Historical Data'!B24-1</f>
        <v>-1.6167596493225522E-2</v>
      </c>
      <c r="C21" s="7">
        <f ca="1">+'Historical Data'!C25/'Historical Data'!C24-1</f>
        <v>0</v>
      </c>
      <c r="D21" s="7">
        <f ca="1">+'Historical Data'!D25/'Historical Data'!D24-1</f>
        <v>9.7359076264609268E-3</v>
      </c>
      <c r="E21" s="7">
        <f ca="1">+'Historical Data'!E25/'Historical Data'!E24-1</f>
        <v>1.8120510189121752E-2</v>
      </c>
      <c r="F21" s="7">
        <f ca="1">+'Historical Data'!F25/'Historical Data'!F24-1</f>
        <v>-8.025186739921697E-4</v>
      </c>
      <c r="G21" s="7">
        <f ca="1">+'Historical Data'!G25/'Historical Data'!G24-1</f>
        <v>1.3905159680130286E-2</v>
      </c>
      <c r="H21" s="7">
        <f ca="1">+'Historical Data'!H25/'Historical Data'!H24-1</f>
        <v>-5.1393076098172896E-3</v>
      </c>
      <c r="I21" s="7">
        <f ca="1">+'Historical Data'!I25/'Historical Data'!I24-1</f>
        <v>4.4251703690592059E-3</v>
      </c>
      <c r="J21" s="7">
        <f ca="1">+'Historical Data'!J25/'Historical Data'!J24-1</f>
        <v>-1.0042401249721E-2</v>
      </c>
      <c r="K21" s="7">
        <f ca="1">+'Historical Data'!K25/'Historical Data'!K24-1</f>
        <v>-1.035598705501628E-2</v>
      </c>
      <c r="L21" s="7">
        <f ca="1">+'Historical Data'!L25/'Historical Data'!L24-1</f>
        <v>-1.4440433212996595E-3</v>
      </c>
      <c r="M21" s="7">
        <f ca="1">+'Historical Data'!M25/'Historical Data'!M24-1</f>
        <v>6.2046286529751082E-3</v>
      </c>
      <c r="N21" s="7">
        <f ca="1">+'Historical Data'!N25/'Historical Data'!N24-1</f>
        <v>1.1762492807506852E-2</v>
      </c>
      <c r="O21" s="7">
        <f ca="1">+'Historical Data'!O25/'Historical Data'!O24-1</f>
        <v>6.659939455095909E-3</v>
      </c>
      <c r="P21" s="7">
        <f ca="1">+'Historical Data'!P25/'Historical Data'!P24-1</f>
        <v>5.6426332288401326E-2</v>
      </c>
    </row>
    <row r="22" spans="1:16" x14ac:dyDescent="0.25">
      <c r="A22" vm="317">
        <f ca="1"/>
        <v>45373</v>
      </c>
      <c r="B22" s="7">
        <f ca="1">+'Historical Data'!B26/'Historical Data'!B25-1</f>
        <v>-1.1514870964008717E-2</v>
      </c>
      <c r="C22" s="7">
        <f ca="1">+'Historical Data'!C26/'Historical Data'!C25-1</f>
        <v>4.041538029750269E-3</v>
      </c>
      <c r="D22" s="7">
        <f ca="1">+'Historical Data'!D26/'Historical Data'!D25-1</f>
        <v>-1.4672659943638644E-3</v>
      </c>
      <c r="E22" s="7">
        <f ca="1">+'Historical Data'!E26/'Historical Data'!E25-1</f>
        <v>-1.2556518733980448E-2</v>
      </c>
      <c r="F22" s="7">
        <f ca="1">+'Historical Data'!F26/'Historical Data'!F25-1</f>
        <v>-1.2356357345855162E-3</v>
      </c>
      <c r="G22" s="7">
        <f ca="1">+'Historical Data'!G26/'Historical Data'!G25-1</f>
        <v>-1.2257610770621929E-2</v>
      </c>
      <c r="H22" s="7">
        <f ca="1">+'Historical Data'!H26/'Historical Data'!H25-1</f>
        <v>-3.2947588927982885E-3</v>
      </c>
      <c r="I22" s="7">
        <f ca="1">+'Historical Data'!I26/'Historical Data'!I25-1</f>
        <v>0</v>
      </c>
      <c r="J22" s="7">
        <f ca="1">+'Historical Data'!J26/'Historical Data'!J25-1</f>
        <v>-1.1271415689810826E-3</v>
      </c>
      <c r="K22" s="7">
        <f ca="1">+'Historical Data'!K26/'Historical Data'!K25-1</f>
        <v>1.7440592980162428E-3</v>
      </c>
      <c r="L22" s="7">
        <f ca="1">+'Historical Data'!L26/'Historical Data'!L25-1</f>
        <v>-1.0845986984815648E-2</v>
      </c>
      <c r="M22" s="7">
        <f ca="1">+'Historical Data'!M26/'Historical Data'!M25-1</f>
        <v>1.8992415366590798E-2</v>
      </c>
      <c r="N22" s="7">
        <f ca="1">+'Historical Data'!N26/'Historical Data'!N25-1</f>
        <v>3.1213430305681689E-2</v>
      </c>
      <c r="O22" s="7">
        <f ca="1">+'Historical Data'!O26/'Historical Data'!O25-1</f>
        <v>-2.0048115477145911E-3</v>
      </c>
      <c r="P22" s="7">
        <f ca="1">+'Historical Data'!P26/'Historical Data'!P25-1</f>
        <v>4.0578635014836273E-3</v>
      </c>
    </row>
    <row r="23" spans="1:16" x14ac:dyDescent="0.25">
      <c r="A23" vm="332">
        <f ca="1"/>
        <v>45376</v>
      </c>
      <c r="B23" s="7">
        <f ca="1">+'Historical Data'!B27/'Historical Data'!B26-1</f>
        <v>1.0536790961774845E-2</v>
      </c>
      <c r="C23" s="7">
        <f ca="1">+'Historical Data'!C27/'Historical Data'!C26-1</f>
        <v>4.6961480404763556E-3</v>
      </c>
      <c r="D23" s="7">
        <f ca="1">+'Historical Data'!D27/'Historical Data'!D26-1</f>
        <v>-1.3714605588468487E-2</v>
      </c>
      <c r="E23" s="7">
        <f ca="1">+'Historical Data'!E27/'Historical Data'!E26-1</f>
        <v>-2.5374048473182365E-3</v>
      </c>
      <c r="F23" s="7">
        <f ca="1">+'Historical Data'!F27/'Historical Data'!F26-1</f>
        <v>-9.0931584807620869E-3</v>
      </c>
      <c r="G23" s="7">
        <f ca="1">+'Historical Data'!G27/'Historical Data'!G26-1</f>
        <v>-9.1547146780592836E-3</v>
      </c>
      <c r="H23" s="7">
        <f ca="1">+'Historical Data'!H27/'Historical Data'!H26-1</f>
        <v>-8.5497990083048814E-3</v>
      </c>
      <c r="I23" s="7">
        <f ca="1">+'Historical Data'!I27/'Historical Data'!I26-1</f>
        <v>1.0221164860340304E-2</v>
      </c>
      <c r="J23" s="7">
        <f ca="1">+'Historical Data'!J27/'Historical Data'!J26-1</f>
        <v>-3.0015797788309651E-2</v>
      </c>
      <c r="K23" s="7">
        <f ca="1">+'Historical Data'!K27/'Historical Data'!K26-1</f>
        <v>6.5288356909665168E-4</v>
      </c>
      <c r="L23" s="7">
        <f ca="1">+'Historical Data'!L27/'Historical Data'!L26-1</f>
        <v>2.5584795321638154E-3</v>
      </c>
      <c r="M23" s="7">
        <f ca="1">+'Historical Data'!M27/'Historical Data'!M26-1</f>
        <v>2.2511346444780589E-2</v>
      </c>
      <c r="N23" s="7">
        <f ca="1">+'Historical Data'!N27/'Historical Data'!N26-1</f>
        <v>7.5618576928380143E-3</v>
      </c>
      <c r="O23" s="7">
        <f ca="1">+'Historical Data'!O27/'Historical Data'!O26-1</f>
        <v>-2.0088388911209121E-3</v>
      </c>
      <c r="P23" s="7">
        <f ca="1">+'Historical Data'!P27/'Historical Data'!P26-1</f>
        <v>-1.3964107072932386E-3</v>
      </c>
    </row>
    <row r="24" spans="1:16" x14ac:dyDescent="0.25">
      <c r="A24" vm="348">
        <f ca="1"/>
        <v>45377</v>
      </c>
      <c r="B24" s="7">
        <f ca="1">+'Historical Data'!B28/'Historical Data'!B27-1</f>
        <v>2.9195388982216297E-2</v>
      </c>
      <c r="C24" s="7">
        <f ca="1">+'Historical Data'!C28/'Historical Data'!C27-1</f>
        <v>-7.8459740693339608E-3</v>
      </c>
      <c r="D24" s="7">
        <f ca="1">+'Historical Data'!D28/'Historical Data'!D27-1</f>
        <v>-2.8614671522491086E-3</v>
      </c>
      <c r="E24" s="7">
        <f ca="1">+'Historical Data'!E28/'Historical Data'!E27-1</f>
        <v>0</v>
      </c>
      <c r="F24" s="7">
        <f ca="1">+'Historical Data'!F28/'Historical Data'!F27-1</f>
        <v>2.2473312940882728E-3</v>
      </c>
      <c r="G24" s="7">
        <f ca="1">+'Historical Data'!G28/'Historical Data'!G27-1</f>
        <v>4.6709783389795589E-3</v>
      </c>
      <c r="H24" s="7">
        <f ca="1">+'Historical Data'!H28/'Historical Data'!H27-1</f>
        <v>1.3233720260146464E-2</v>
      </c>
      <c r="I24" s="7">
        <f ca="1">+'Historical Data'!I28/'Historical Data'!I27-1</f>
        <v>-7.5010902747492114E-3</v>
      </c>
      <c r="J24" s="7">
        <f ca="1">+'Historical Data'!J28/'Historical Data'!J27-1</f>
        <v>8.841321544904579E-3</v>
      </c>
      <c r="K24" s="7">
        <f ca="1">+'Historical Data'!K28/'Historical Data'!K27-1</f>
        <v>1.0874293170943794E-3</v>
      </c>
      <c r="L24" s="7">
        <f ca="1">+'Historical Data'!L28/'Historical Data'!L27-1</f>
        <v>5.8330295297119861E-3</v>
      </c>
      <c r="M24" s="7">
        <f ca="1">+'Historical Data'!M28/'Historical Data'!M27-1</f>
        <v>1.0889507013079225E-2</v>
      </c>
      <c r="N24" s="7">
        <f ca="1">+'Historical Data'!N28/'Historical Data'!N27-1</f>
        <v>-2.5694195911664885E-2</v>
      </c>
      <c r="O24" s="7">
        <f ca="1">+'Historical Data'!O28/'Historical Data'!O27-1</f>
        <v>-2.6167471819645849E-3</v>
      </c>
      <c r="P24" s="7">
        <f ca="1">+'Historical Data'!P28/'Historical Data'!P27-1</f>
        <v>-1.4864084996818461E-2</v>
      </c>
    </row>
    <row r="25" spans="1:16" x14ac:dyDescent="0.25">
      <c r="A25" vm="362">
        <f ca="1"/>
        <v>45378</v>
      </c>
      <c r="B25" s="7">
        <f ca="1">+'Historical Data'!B29/'Historical Data'!B28-1</f>
        <v>1.2157370405808665E-2</v>
      </c>
      <c r="C25" s="7">
        <f ca="1">+'Historical Data'!C29/'Historical Data'!C28-1</f>
        <v>8.5810431856421232E-3</v>
      </c>
      <c r="D25" s="7">
        <f ca="1">+'Historical Data'!D29/'Historical Data'!D28-1</f>
        <v>-5.21759753349893E-4</v>
      </c>
      <c r="E25" s="7">
        <f ca="1">+'Historical Data'!E29/'Historical Data'!E28-1</f>
        <v>1.4298245614035032E-2</v>
      </c>
      <c r="F25" s="7">
        <f ca="1">+'Historical Data'!F29/'Historical Data'!F28-1</f>
        <v>1.2830893802553645E-2</v>
      </c>
      <c r="G25" s="7">
        <f ca="1">+'Historical Data'!G29/'Historical Data'!G28-1</f>
        <v>1.9363408777397506E-2</v>
      </c>
      <c r="H25" s="7">
        <f ca="1">+'Historical Data'!H29/'Historical Data'!H28-1</f>
        <v>1.6046799780626841E-3</v>
      </c>
      <c r="I25" s="7">
        <f ca="1">+'Historical Data'!I29/'Historical Data'!I28-1</f>
        <v>1.0369979787327566E-2</v>
      </c>
      <c r="J25" s="7">
        <f ca="1">+'Historical Data'!J29/'Historical Data'!J28-1</f>
        <v>-2.0756457564576891E-3</v>
      </c>
      <c r="K25" s="7">
        <f ca="1">+'Historical Data'!K29/'Historical Data'!K28-1</f>
        <v>1.1514229850097868E-2</v>
      </c>
      <c r="L25" s="7">
        <f ca="1">+'Historical Data'!L29/'Historical Data'!L28-1</f>
        <v>6.8865530989490331E-3</v>
      </c>
      <c r="M25" s="7">
        <f ca="1">+'Historical Data'!M29/'Historical Data'!M28-1</f>
        <v>-5.6788244247995001E-3</v>
      </c>
      <c r="N25" s="7">
        <f ca="1">+'Historical Data'!N29/'Historical Data'!N28-1</f>
        <v>-2.4967318849191455E-2</v>
      </c>
      <c r="O25" s="7">
        <f ca="1">+'Historical Data'!O29/'Historical Data'!O28-1</f>
        <v>4.439959636730606E-3</v>
      </c>
      <c r="P25" s="7">
        <f ca="1">+'Historical Data'!P29/'Historical Data'!P28-1</f>
        <v>-9.5832488415235062E-3</v>
      </c>
    </row>
    <row r="26" spans="1:16" x14ac:dyDescent="0.25">
      <c r="A26" vm="377">
        <f ca="1"/>
        <v>45379</v>
      </c>
      <c r="B26" s="7">
        <f ca="1">+'Historical Data'!B30/'Historical Data'!B29-1</f>
        <v>-2.2465662014124588E-2</v>
      </c>
      <c r="C26" s="7">
        <f ca="1">+'Historical Data'!C30/'Historical Data'!C29-1</f>
        <v>3.0584440860812467E-3</v>
      </c>
      <c r="D26" s="7">
        <f ca="1">+'Historical Data'!D30/'Historical Data'!D29-1</f>
        <v>-1.6847400517285838E-3</v>
      </c>
      <c r="E26" s="7">
        <f ca="1">+'Historical Data'!E30/'Historical Data'!E29-1</f>
        <v>1.2684136181497774E-3</v>
      </c>
      <c r="F26" s="7">
        <f ca="1">+'Historical Data'!F30/'Historical Data'!F29-1</f>
        <v>-2.2138859848718218E-3</v>
      </c>
      <c r="G26" s="7">
        <f ca="1">+'Historical Data'!G30/'Historical Data'!G29-1</f>
        <v>3.9093825180434028E-3</v>
      </c>
      <c r="H26" s="7">
        <f ca="1">+'Historical Data'!H30/'Historical Data'!H29-1</f>
        <v>3.2447779355100348E-3</v>
      </c>
      <c r="I26" s="7">
        <f ca="1">+'Historical Data'!I30/'Historical Data'!I29-1</f>
        <v>1.1046359919979043E-2</v>
      </c>
      <c r="J26" s="7">
        <f ca="1">+'Historical Data'!J30/'Historical Data'!J29-1</f>
        <v>-9.2442801016870968E-3</v>
      </c>
      <c r="K26" s="7">
        <f ca="1">+'Historical Data'!K30/'Historical Data'!K29-1</f>
        <v>-8.5910652920963004E-3</v>
      </c>
      <c r="L26" s="7">
        <f ca="1">+'Historical Data'!L30/'Historical Data'!L29-1</f>
        <v>-1.0799136069115089E-3</v>
      </c>
      <c r="M26" s="7">
        <f ca="1">+'Historical Data'!M30/'Historical Data'!M29-1</f>
        <v>1.8664625529910328E-2</v>
      </c>
      <c r="N26" s="7">
        <f ca="1">+'Historical Data'!N30/'Historical Data'!N29-1</f>
        <v>1.1745152354569743E-3</v>
      </c>
      <c r="O26" s="7">
        <f ca="1">+'Historical Data'!O30/'Historical Data'!O29-1</f>
        <v>2.8129395218001729E-3</v>
      </c>
      <c r="P26" s="7">
        <f ca="1">+'Historical Data'!P30/'Historical Data'!P29-1</f>
        <v>5.0654796660423163E-3</v>
      </c>
    </row>
    <row r="27" spans="1:16" x14ac:dyDescent="0.25">
      <c r="A27" vm="393">
        <f ca="1"/>
        <v>45383</v>
      </c>
      <c r="B27" s="7">
        <f ca="1">+'Historical Data'!B31/'Historical Data'!B30-1</f>
        <v>-3.2425052619602379E-3</v>
      </c>
      <c r="C27" s="7">
        <f ca="1">+'Historical Data'!C31/'Historical Data'!C30-1</f>
        <v>3.2708726022840917E-3</v>
      </c>
      <c r="D27" s="7">
        <f ca="1">+'Historical Data'!D31/'Historical Data'!D30-1</f>
        <v>9.1509792736261808E-3</v>
      </c>
      <c r="E27" s="7">
        <f ca="1">+'Historical Data'!E31/'Historical Data'!E30-1</f>
        <v>-2.6401405003886658E-2</v>
      </c>
      <c r="F27" s="7">
        <f ca="1">+'Historical Data'!F31/'Historical Data'!F30-1</f>
        <v>-1.0292758089368137E-2</v>
      </c>
      <c r="G27" s="7">
        <f ca="1">+'Historical Data'!G31/'Historical Data'!G30-1</f>
        <v>-6.7898152770844433E-3</v>
      </c>
      <c r="H27" s="7">
        <f ca="1">+'Historical Data'!H31/'Historical Data'!H30-1</f>
        <v>-1.0107135637760223E-2</v>
      </c>
      <c r="I27" s="7">
        <f ca="1">+'Historical Data'!I31/'Historical Data'!I30-1</f>
        <v>6.4521679284239575E-3</v>
      </c>
      <c r="J27" s="7">
        <f ca="1">+'Historical Data'!J31/'Historical Data'!J30-1</f>
        <v>5.0151621180314354E-3</v>
      </c>
      <c r="K27" s="7">
        <f ca="1">+'Historical Data'!K31/'Historical Data'!K30-1</f>
        <v>-5.1993067590986319E-3</v>
      </c>
      <c r="L27" s="7">
        <f ca="1">+'Historical Data'!L31/'Historical Data'!L30-1</f>
        <v>-1.08108108108107E-3</v>
      </c>
      <c r="M27" s="7">
        <f ca="1">+'Historical Data'!M31/'Historical Data'!M30-1</f>
        <v>-2.5432055950522781E-3</v>
      </c>
      <c r="N27" s="7">
        <f ca="1">+'Historical Data'!N31/'Historical Data'!N30-1</f>
        <v>7.7471335605983072E-5</v>
      </c>
      <c r="O27" s="7">
        <f ca="1">+'Historical Data'!O31/'Historical Data'!O30-1</f>
        <v>2.6046884391905945E-3</v>
      </c>
      <c r="P27" s="7">
        <f ca="1">+'Historical Data'!P31/'Historical Data'!P30-1</f>
        <v>1.8748915429942503E-2</v>
      </c>
    </row>
    <row r="28" spans="1:16" x14ac:dyDescent="0.25">
      <c r="A28" vm="408">
        <f ca="1"/>
        <v>45384</v>
      </c>
      <c r="B28" s="7">
        <f ca="1">+'Historical Data'!B32/'Historical Data'!B31-1</f>
        <v>-4.9024084008674862E-2</v>
      </c>
      <c r="C28" s="7">
        <f ca="1">+'Historical Data'!C32/'Historical Data'!C31-1</f>
        <v>-1.5472177709012769E-3</v>
      </c>
      <c r="D28" s="7">
        <f ca="1">+'Historical Data'!D32/'Historical Data'!D31-1</f>
        <v>-7.3721647784817934E-3</v>
      </c>
      <c r="E28" s="7">
        <f ca="1">+'Historical Data'!E32/'Historical Data'!E31-1</f>
        <v>-1.2420156139105853E-2</v>
      </c>
      <c r="F28" s="7">
        <f ca="1">+'Historical Data'!F32/'Historical Data'!F31-1</f>
        <v>-6.2274255822725166E-5</v>
      </c>
      <c r="G28" s="7">
        <f ca="1">+'Historical Data'!G32/'Historical Data'!G31-1</f>
        <v>-4.0213129586796903E-4</v>
      </c>
      <c r="H28" s="7">
        <f ca="1">+'Historical Data'!H32/'Historical Data'!H31-1</f>
        <v>-6.4447620992444388E-2</v>
      </c>
      <c r="I28" s="7">
        <f ca="1">+'Historical Data'!I32/'Historical Data'!I31-1</f>
        <v>1.9574322591674465E-2</v>
      </c>
      <c r="J28" s="7">
        <f ca="1">+'Historical Data'!J32/'Historical Data'!J31-1</f>
        <v>-9.7481722177092944E-3</v>
      </c>
      <c r="K28" s="7">
        <f ca="1">+'Historical Data'!K32/'Historical Data'!K31-1</f>
        <v>-1.851045296167253E-2</v>
      </c>
      <c r="L28" s="7">
        <f ca="1">+'Historical Data'!L32/'Historical Data'!L31-1</f>
        <v>-6.1327561327561009E-3</v>
      </c>
      <c r="M28" s="7">
        <f ca="1">+'Historical Data'!M32/'Historical Data'!M31-1</f>
        <v>-1.7384249869623059E-4</v>
      </c>
      <c r="N28" s="7">
        <f ca="1">+'Historical Data'!N32/'Historical Data'!N31-1</f>
        <v>-1.0081559930502526E-2</v>
      </c>
      <c r="O28" s="7">
        <f ca="1">+'Historical Data'!O32/'Historical Data'!O31-1</f>
        <v>-1.3589128697042319E-2</v>
      </c>
      <c r="P28" s="7">
        <f ca="1">+'Historical Data'!P32/'Historical Data'!P31-1</f>
        <v>-8.5168782308593372E-3</v>
      </c>
    </row>
    <row r="29" spans="1:16" x14ac:dyDescent="0.25">
      <c r="A29" vm="424">
        <f ca="1"/>
        <v>45385</v>
      </c>
      <c r="B29" s="7">
        <f ca="1">+'Historical Data'!B33/'Historical Data'!B32-1</f>
        <v>1.0502310508311741E-2</v>
      </c>
      <c r="C29" s="7">
        <f ca="1">+'Historical Data'!C33/'Historical Data'!C32-1</f>
        <v>9.5190658033095232E-3</v>
      </c>
      <c r="D29" s="7">
        <f ca="1">+'Historical Data'!D33/'Historical Data'!D32-1</f>
        <v>-2.3490888382687869E-3</v>
      </c>
      <c r="E29" s="7">
        <f ca="1">+'Historical Data'!E33/'Historical Data'!E32-1</f>
        <v>9.8814229249022389E-4</v>
      </c>
      <c r="F29" s="7">
        <f ca="1">+'Historical Data'!F33/'Historical Data'!F32-1</f>
        <v>-2.7526935293018528E-2</v>
      </c>
      <c r="G29" s="7">
        <f ca="1">+'Historical Data'!G33/'Historical Data'!G32-1</f>
        <v>-2.8160514935130498E-3</v>
      </c>
      <c r="H29" s="7">
        <f ca="1">+'Historical Data'!H33/'Historical Data'!H32-1</f>
        <v>3.4923822412362693E-3</v>
      </c>
      <c r="I29" s="7">
        <f ca="1">+'Historical Data'!I33/'Historical Data'!I32-1</f>
        <v>1.6767270288386982E-4</v>
      </c>
      <c r="J29" s="7">
        <f ca="1">+'Historical Data'!J33/'Historical Data'!J32-1</f>
        <v>5.1564514238837678E-3</v>
      </c>
      <c r="K29" s="7">
        <f ca="1">+'Historical Data'!K33/'Historical Data'!K32-1</f>
        <v>7.9875748835145366E-3</v>
      </c>
      <c r="L29" s="7">
        <f ca="1">+'Historical Data'!L33/'Historical Data'!L32-1</f>
        <v>-1.1978221415608004E-2</v>
      </c>
      <c r="M29" s="7">
        <f ca="1">+'Historical Data'!M33/'Historical Data'!M32-1</f>
        <v>5.1002666048451939E-3</v>
      </c>
      <c r="N29" s="7">
        <f ca="1">+'Historical Data'!N33/'Historical Data'!N32-1</f>
        <v>-5.4554397889370332E-3</v>
      </c>
      <c r="O29" s="7">
        <f ca="1">+'Historical Data'!O33/'Historical Data'!O32-1</f>
        <v>-1.2560777957860592E-2</v>
      </c>
      <c r="P29" s="7">
        <f ca="1">+'Historical Data'!P33/'Historical Data'!P32-1</f>
        <v>1.8263168902566518E-2</v>
      </c>
    </row>
    <row r="30" spans="1:16" x14ac:dyDescent="0.25">
      <c r="A30" vm="439">
        <f ca="1"/>
        <v>45386</v>
      </c>
      <c r="B30" s="7">
        <f ca="1">+'Historical Data'!B34/'Historical Data'!B33-1</f>
        <v>1.6213326998455901E-2</v>
      </c>
      <c r="C30" s="7">
        <f ca="1">+'Historical Data'!C34/'Historical Data'!C33-1</f>
        <v>-1.3211994956416895E-2</v>
      </c>
      <c r="D30" s="7">
        <f ca="1">+'Historical Data'!D34/'Historical Data'!D33-1</f>
        <v>-6.1124985134973775E-3</v>
      </c>
      <c r="E30" s="7">
        <f ca="1">+'Historical Data'!E34/'Historical Data'!E33-1</f>
        <v>-1.3251966855125863E-2</v>
      </c>
      <c r="F30" s="7">
        <f ca="1">+'Historical Data'!F34/'Historical Data'!F33-1</f>
        <v>-4.4828690361832235E-3</v>
      </c>
      <c r="G30" s="7">
        <f ca="1">+'Historical Data'!G34/'Historical Data'!G33-1</f>
        <v>-1.3363590519415047E-2</v>
      </c>
      <c r="H30" s="7">
        <f ca="1">+'Historical Data'!H34/'Historical Data'!H33-1</f>
        <v>-9.4836211771871515E-3</v>
      </c>
      <c r="I30" s="7">
        <f ca="1">+'Historical Data'!I34/'Historical Data'!I33-1</f>
        <v>3.5205364626991198E-3</v>
      </c>
      <c r="J30" s="7">
        <f ca="1">+'Historical Data'!J34/'Historical Data'!J33-1</f>
        <v>-1.4224087676343644E-2</v>
      </c>
      <c r="K30" s="7">
        <f ca="1">+'Historical Data'!K34/'Historical Data'!K33-1</f>
        <v>-1.0125467752586381E-2</v>
      </c>
      <c r="L30" s="7">
        <f ca="1">+'Historical Data'!L34/'Historical Data'!L33-1</f>
        <v>-2.0940484937545967E-2</v>
      </c>
      <c r="M30" s="7">
        <f ca="1">+'Historical Data'!M34/'Historical Data'!M33-1</f>
        <v>-1.2628301233998385E-2</v>
      </c>
      <c r="N30" s="7">
        <f ca="1">+'Historical Data'!N34/'Historical Data'!N33-1</f>
        <v>-3.4384694932781734E-2</v>
      </c>
      <c r="O30" s="7">
        <f ca="1">+'Historical Data'!O34/'Historical Data'!O33-1</f>
        <v>-1.2925728354534316E-2</v>
      </c>
      <c r="P30" s="7">
        <f ca="1">+'Historical Data'!P34/'Historical Data'!P33-1</f>
        <v>-3.3531150739797955E-2</v>
      </c>
    </row>
    <row r="31" spans="1:16" x14ac:dyDescent="0.25">
      <c r="A31" vm="455">
        <f ca="1"/>
        <v>45387</v>
      </c>
      <c r="B31" s="7">
        <f ca="1">+'Historical Data'!B35/'Historical Data'!B34-1</f>
        <v>-3.6292443457425105E-2</v>
      </c>
      <c r="C31" s="7">
        <f ca="1">+'Historical Data'!C35/'Historical Data'!C34-1</f>
        <v>2.8166666666666673E-2</v>
      </c>
      <c r="D31" s="7">
        <f ca="1">+'Historical Data'!D35/'Historical Data'!D34-1</f>
        <v>1.8282760601129544E-2</v>
      </c>
      <c r="E31" s="7">
        <f ca="1">+'Historical Data'!E35/'Historical Data'!E34-1</f>
        <v>6.0328624264840425E-3</v>
      </c>
      <c r="F31" s="7">
        <f ca="1">+'Historical Data'!F35/'Historical Data'!F34-1</f>
        <v>4.181408813123122E-3</v>
      </c>
      <c r="G31" s="7">
        <f ca="1">+'Historical Data'!G35/'Historical Data'!G34-1</f>
        <v>9.2001022233578755E-3</v>
      </c>
      <c r="H31" s="7">
        <f ca="1">+'Historical Data'!H35/'Historical Data'!H34-1</f>
        <v>7.9054855285698444E-4</v>
      </c>
      <c r="I31" s="7">
        <f ca="1">+'Historical Data'!I35/'Historical Data'!I34-1</f>
        <v>1.3782158369529007E-2</v>
      </c>
      <c r="J31" s="7">
        <f ca="1">+'Historical Data'!J35/'Historical Data'!J34-1</f>
        <v>3.193376700177275E-3</v>
      </c>
      <c r="K31" s="7">
        <f ca="1">+'Historical Data'!K35/'Historical Data'!K34-1</f>
        <v>1.2897487213697989E-2</v>
      </c>
      <c r="L31" s="7">
        <f ca="1">+'Historical Data'!L35/'Historical Data'!L34-1</f>
        <v>3.7523452157595116E-4</v>
      </c>
      <c r="M31" s="7">
        <f ca="1">+'Historical Data'!M35/'Historical Data'!M34-1</f>
        <v>9.2857560007009177E-3</v>
      </c>
      <c r="N31" s="7">
        <f ca="1">+'Historical Data'!N35/'Historical Data'!N34-1</f>
        <v>2.4480530818927759E-2</v>
      </c>
      <c r="O31" s="7">
        <f ca="1">+'Historical Data'!O35/'Historical Data'!O34-1</f>
        <v>9.1457077530658903E-3</v>
      </c>
      <c r="P31" s="7">
        <f ca="1">+'Historical Data'!P35/'Historical Data'!P34-1</f>
        <v>1.6645161290322674E-2</v>
      </c>
    </row>
    <row r="32" spans="1:16" x14ac:dyDescent="0.25">
      <c r="A32" vm="470">
        <f ca="1"/>
        <v>45390</v>
      </c>
      <c r="B32" s="7">
        <f ca="1">+'Historical Data'!B36/'Historical Data'!B35-1</f>
        <v>4.899939357186156E-2</v>
      </c>
      <c r="C32" s="7">
        <f ca="1">+'Historical Data'!C36/'Historical Data'!C35-1</f>
        <v>6.4840330685678182E-4</v>
      </c>
      <c r="D32" s="7">
        <f ca="1">+'Historical Data'!D36/'Historical Data'!D35-1</f>
        <v>-2.185561195713448E-3</v>
      </c>
      <c r="E32" s="7">
        <f ca="1">+'Historical Data'!E36/'Historical Data'!E35-1</f>
        <v>1.356034352870239E-3</v>
      </c>
      <c r="F32" s="7">
        <f ca="1">+'Historical Data'!F36/'Historical Data'!F35-1</f>
        <v>-3.8436899423444082E-4</v>
      </c>
      <c r="G32" s="7">
        <f ca="1">+'Historical Data'!G36/'Historical Data'!G35-1</f>
        <v>5.2165105089896358E-3</v>
      </c>
      <c r="H32" s="7">
        <f ca="1">+'Historical Data'!H36/'Historical Data'!H35-1</f>
        <v>5.705007240970339E-4</v>
      </c>
      <c r="I32" s="7">
        <f ca="1">+'Historical Data'!I36/'Historical Data'!I35-1</f>
        <v>-6.7562000494356678E-3</v>
      </c>
      <c r="J32" s="7">
        <f ca="1">+'Historical Data'!J36/'Historical Data'!J35-1</f>
        <v>-5.8948361235556801E-3</v>
      </c>
      <c r="K32" s="7">
        <f ca="1">+'Historical Data'!K36/'Historical Data'!K35-1</f>
        <v>1.0757409440175669E-2</v>
      </c>
      <c r="L32" s="7">
        <f ca="1">+'Historical Data'!L36/'Historical Data'!L35-1</f>
        <v>-3.0007501875469744E-3</v>
      </c>
      <c r="M32" s="7">
        <f ca="1">+'Historical Data'!M36/'Historical Data'!M35-1</f>
        <v>-2.6617289665546995E-3</v>
      </c>
      <c r="N32" s="7">
        <f ca="1">+'Historical Data'!N36/'Historical Data'!N35-1</f>
        <v>-9.9422779747295742E-3</v>
      </c>
      <c r="O32" s="7">
        <f ca="1">+'Historical Data'!O36/'Historical Data'!O35-1</f>
        <v>-6.3851699279092733E-3</v>
      </c>
      <c r="P32" s="7">
        <f ca="1">+'Historical Data'!P36/'Historical Data'!P35-1</f>
        <v>-2.4861321606951536E-3</v>
      </c>
    </row>
    <row r="33" spans="1:16" x14ac:dyDescent="0.25">
      <c r="A33" vm="486">
        <f ca="1"/>
        <v>45391</v>
      </c>
      <c r="B33" s="7">
        <f ca="1">+'Historical Data'!B37/'Historical Data'!B36-1</f>
        <v>2.2545959070412902E-2</v>
      </c>
      <c r="C33" s="7">
        <f ca="1">+'Historical Data'!C37/'Historical Data'!C36-1</f>
        <v>2.5919326097521012E-3</v>
      </c>
      <c r="D33" s="7">
        <f ca="1">+'Historical Data'!D37/'Historical Data'!D36-1</f>
        <v>3.9803104171083348E-3</v>
      </c>
      <c r="E33" s="7">
        <f ca="1">+'Historical Data'!E37/'Historical Data'!E36-1</f>
        <v>6.7709900692145553E-3</v>
      </c>
      <c r="F33" s="7">
        <f ca="1">+'Historical Data'!F37/'Historical Data'!F36-1</f>
        <v>3.9733401691874892E-3</v>
      </c>
      <c r="G33" s="7">
        <f ca="1">+'Historical Data'!G37/'Historical Data'!G36-1</f>
        <v>-6.7009270455460346E-3</v>
      </c>
      <c r="H33" s="7">
        <f ca="1">+'Historical Data'!H37/'Historical Data'!H36-1</f>
        <v>8.1578947368421417E-3</v>
      </c>
      <c r="I33" s="7">
        <f ca="1">+'Historical Data'!I37/'Historical Data'!I36-1</f>
        <v>5.226047283285018E-3</v>
      </c>
      <c r="J33" s="7">
        <f ca="1">+'Historical Data'!J37/'Historical Data'!J36-1</f>
        <v>3.7950664136623402E-3</v>
      </c>
      <c r="K33" s="7">
        <f ca="1">+'Historical Data'!K37/'Historical Data'!K36-1</f>
        <v>-3.0191138140747142E-2</v>
      </c>
      <c r="L33" s="7">
        <f ca="1">+'Historical Data'!L37/'Historical Data'!L36-1</f>
        <v>7.5244544770505239E-3</v>
      </c>
      <c r="M33" s="7">
        <f ca="1">+'Historical Data'!M37/'Historical Data'!M36-1</f>
        <v>-2.3381294964028743E-2</v>
      </c>
      <c r="N33" s="7">
        <f ca="1">+'Historical Data'!N37/'Historical Data'!N36-1</f>
        <v>-2.0417063569485694E-2</v>
      </c>
      <c r="O33" s="7">
        <f ca="1">+'Historical Data'!O37/'Historical Data'!O36-1</f>
        <v>3.66915422885572E-2</v>
      </c>
      <c r="P33" s="7">
        <f ca="1">+'Historical Data'!P37/'Historical Data'!P36-1</f>
        <v>-1.5118628845148807E-3</v>
      </c>
    </row>
    <row r="34" spans="1:16" x14ac:dyDescent="0.25">
      <c r="A34" vm="502">
        <f ca="1"/>
        <v>45392</v>
      </c>
      <c r="B34" s="7">
        <f ca="1">+'Historical Data'!B38/'Historical Data'!B37-1</f>
        <v>-2.8946178199909522E-2</v>
      </c>
      <c r="C34" s="7">
        <f ca="1">+'Historical Data'!C38/'Historical Data'!C37-1</f>
        <v>1.5080519200731946E-3</v>
      </c>
      <c r="D34" s="7">
        <f ca="1">+'Historical Data'!D38/'Historical Data'!D37-1</f>
        <v>-7.0845453692408578E-3</v>
      </c>
      <c r="E34" s="7">
        <f ca="1">+'Historical Data'!E38/'Historical Data'!E37-1</f>
        <v>-4.0023912718577193E-2</v>
      </c>
      <c r="F34" s="7">
        <f ca="1">+'Historical Data'!F38/'Historical Data'!F37-1</f>
        <v>3.7022852036256992E-3</v>
      </c>
      <c r="G34" s="7">
        <f ca="1">+'Historical Data'!G38/'Historical Data'!G37-1</f>
        <v>-8.5214303829571625E-3</v>
      </c>
      <c r="H34" s="7">
        <f ca="1">+'Historical Data'!H38/'Historical Data'!H37-1</f>
        <v>-2.1034542765161479E-2</v>
      </c>
      <c r="I34" s="7">
        <f ca="1">+'Historical Data'!I38/'Historical Data'!I37-1</f>
        <v>8.417230566099887E-3</v>
      </c>
      <c r="J34" s="7">
        <f ca="1">+'Historical Data'!J38/'Historical Data'!J37-1</f>
        <v>-6.0255198487713102E-3</v>
      </c>
      <c r="K34" s="7">
        <f ca="1">+'Historical Data'!K38/'Historical Data'!K37-1</f>
        <v>-1.2989921612541977E-2</v>
      </c>
      <c r="L34" s="7">
        <f ca="1">+'Historical Data'!L38/'Historical Data'!L37-1</f>
        <v>-1.7176997759522084E-2</v>
      </c>
      <c r="M34" s="7">
        <f ca="1">+'Historical Data'!M38/'Historical Data'!M37-1</f>
        <v>8.4358106101110053E-3</v>
      </c>
      <c r="N34" s="7">
        <f ca="1">+'Historical Data'!N38/'Historical Data'!N37-1</f>
        <v>1.9741312650842335E-2</v>
      </c>
      <c r="O34" s="7">
        <f ca="1">+'Historical Data'!O38/'Historical Data'!O37-1</f>
        <v>-1.5996800639871966E-2</v>
      </c>
      <c r="P34" s="7">
        <f ca="1">+'Historical Data'!P38/'Historical Data'!P37-1</f>
        <v>-8.7775845526504304E-3</v>
      </c>
    </row>
    <row r="35" spans="1:16" x14ac:dyDescent="0.25">
      <c r="A35" vm="518">
        <f ca="1"/>
        <v>45393</v>
      </c>
      <c r="B35" s="7">
        <f ca="1">+'Historical Data'!B39/'Historical Data'!B38-1</f>
        <v>1.6534699580810441E-2</v>
      </c>
      <c r="C35" s="7">
        <f ca="1">+'Historical Data'!C39/'Historical Data'!C38-1</f>
        <v>1.6671148158107219E-2</v>
      </c>
      <c r="D35" s="7">
        <f ca="1">+'Historical Data'!D39/'Historical Data'!D38-1</f>
        <v>1.1033407361905168E-2</v>
      </c>
      <c r="E35" s="7">
        <f ca="1">+'Historical Data'!E39/'Historical Data'!E38-1</f>
        <v>-3.8610038610038533E-3</v>
      </c>
      <c r="F35" s="7">
        <f ca="1">+'Historical Data'!F39/'Historical Data'!F38-1</f>
        <v>-8.9035868735690693E-3</v>
      </c>
      <c r="G35" s="7">
        <f ca="1">+'Historical Data'!G39/'Historical Data'!G38-1</f>
        <v>-2.0463498235023803E-4</v>
      </c>
      <c r="H35" s="7">
        <f ca="1">+'Historical Data'!H39/'Historical Data'!H38-1</f>
        <v>-1.8509054549494475E-2</v>
      </c>
      <c r="I35" s="7">
        <f ca="1">+'Historical Data'!I39/'Historical Data'!I38-1</f>
        <v>-3.3551554828150643E-3</v>
      </c>
      <c r="J35" s="7">
        <f ca="1">+'Historical Data'!J39/'Historical Data'!J38-1</f>
        <v>-8.3204564364669498E-4</v>
      </c>
      <c r="K35" s="7">
        <f ca="1">+'Historical Data'!K39/'Historical Data'!K38-1</f>
        <v>-9.9841161788063459E-3</v>
      </c>
      <c r="L35" s="7">
        <f ca="1">+'Historical Data'!L39/'Historical Data'!L38-1</f>
        <v>7.5987841945290846E-4</v>
      </c>
      <c r="M35" s="7">
        <f ca="1">+'Historical Data'!M39/'Historical Data'!M38-1</f>
        <v>-2.4388807069219309E-2</v>
      </c>
      <c r="N35" s="7">
        <f ca="1">+'Historical Data'!N39/'Historical Data'!N38-1</f>
        <v>4.1096519950826638E-2</v>
      </c>
      <c r="O35" s="7">
        <f ca="1">+'Historical Data'!O39/'Historical Data'!O38-1</f>
        <v>6.5027433448485716E-3</v>
      </c>
      <c r="P35" s="7">
        <f ca="1">+'Historical Data'!P39/'Historical Data'!P38-1</f>
        <v>4.5441139771773553E-2</v>
      </c>
    </row>
    <row r="36" spans="1:16" x14ac:dyDescent="0.25">
      <c r="A36" vm="534">
        <f ca="1"/>
        <v>45394</v>
      </c>
      <c r="B36" s="7">
        <f ca="1">+'Historical Data'!B40/'Historical Data'!B39-1</f>
        <v>-2.0332187857960982E-2</v>
      </c>
      <c r="C36" s="7">
        <f ca="1">+'Historical Data'!C40/'Historical Data'!C39-1</f>
        <v>-1.5445649299127284E-2</v>
      </c>
      <c r="D36" s="7">
        <f ca="1">+'Historical Data'!D40/'Historical Data'!D39-1</f>
        <v>-1.4091089664197476E-2</v>
      </c>
      <c r="E36" s="7">
        <f ca="1">+'Historical Data'!E40/'Historical Data'!E39-1</f>
        <v>-5.2200550137534441E-3</v>
      </c>
      <c r="F36" s="7">
        <f ca="1">+'Historical Data'!F40/'Historical Data'!F39-1</f>
        <v>-3.2725872689938207E-3</v>
      </c>
      <c r="G36" s="7">
        <f ca="1">+'Historical Data'!G40/'Historical Data'!G39-1</f>
        <v>-6.4677889781507569E-2</v>
      </c>
      <c r="H36" s="7">
        <f ca="1">+'Historical Data'!H40/'Historical Data'!H39-1</f>
        <v>-5.7049714751427061E-3</v>
      </c>
      <c r="I36" s="7">
        <f ca="1">+'Historical Data'!I40/'Historical Data'!I39-1</f>
        <v>-1.1659413744970815E-2</v>
      </c>
      <c r="J36" s="7">
        <f ca="1">+'Historical Data'!J40/'Historical Data'!J39-1</f>
        <v>-8.3273852010490312E-4</v>
      </c>
      <c r="K36" s="7">
        <f ca="1">+'Historical Data'!K40/'Historical Data'!K39-1</f>
        <v>-1.4439605775842357E-2</v>
      </c>
      <c r="L36" s="7">
        <f ca="1">+'Historical Data'!L40/'Historical Data'!L39-1</f>
        <v>-1.8223234624145768E-2</v>
      </c>
      <c r="M36" s="7">
        <f ca="1">+'Historical Data'!M40/'Historical Data'!M39-1</f>
        <v>7.2459392548758217E-3</v>
      </c>
      <c r="N36" s="7">
        <f ca="1">+'Historical Data'!N40/'Historical Data'!N39-1</f>
        <v>-2.6816456254965981E-2</v>
      </c>
      <c r="O36" s="7">
        <f ca="1">+'Historical Data'!O40/'Historical Data'!O39-1</f>
        <v>-2.0997375328083989E-2</v>
      </c>
      <c r="P36" s="7">
        <f ca="1">+'Historical Data'!P40/'Historical Data'!P39-1</f>
        <v>-2.7769338715044167E-2</v>
      </c>
    </row>
    <row r="37" spans="1:16" x14ac:dyDescent="0.25">
      <c r="A37" vm="550">
        <f ca="1"/>
        <v>45397</v>
      </c>
      <c r="B37" s="7">
        <f ca="1">+'Historical Data'!B41/'Historical Data'!B40-1</f>
        <v>-5.5948553054662509E-2</v>
      </c>
      <c r="C37" s="7">
        <f ca="1">+'Historical Data'!C41/'Historical Data'!C40-1</f>
        <v>-1.3485198517165342E-2</v>
      </c>
      <c r="D37" s="7">
        <f ca="1">+'Historical Data'!D41/'Historical Data'!D40-1</f>
        <v>-1.9578099075610367E-2</v>
      </c>
      <c r="E37" s="7">
        <f ca="1">+'Historical Data'!E41/'Historical Data'!E40-1</f>
        <v>-1.3448546739984191E-2</v>
      </c>
      <c r="F37" s="7">
        <f ca="1">+'Historical Data'!F41/'Historical Data'!F40-1</f>
        <v>7.7254876714083487E-4</v>
      </c>
      <c r="G37" s="7">
        <f ca="1">+'Historical Data'!G41/'Historical Data'!G40-1</f>
        <v>5.4707587942437463E-4</v>
      </c>
      <c r="H37" s="7">
        <f ca="1">+'Historical Data'!H41/'Historical Data'!H40-1</f>
        <v>1.4640255009107594E-2</v>
      </c>
      <c r="I37" s="7">
        <f ca="1">+'Historical Data'!I41/'Historical Data'!I40-1</f>
        <v>-5.7323253302317134E-3</v>
      </c>
      <c r="J37" s="7">
        <f ca="1">+'Historical Data'!J41/'Historical Data'!J40-1</f>
        <v>-2.0121443028931818E-2</v>
      </c>
      <c r="K37" s="7">
        <f ca="1">+'Historical Data'!K41/'Historical Data'!K40-1</f>
        <v>3.0232558139535737E-3</v>
      </c>
      <c r="L37" s="7">
        <f ca="1">+'Historical Data'!L41/'Historical Data'!L40-1</f>
        <v>1.9334880123742515E-3</v>
      </c>
      <c r="M37" s="7">
        <f ca="1">+'Historical Data'!M41/'Historical Data'!M40-1</f>
        <v>-6.2945866554763308E-3</v>
      </c>
      <c r="N37" s="7">
        <f ca="1">+'Historical Data'!N41/'Historical Data'!N40-1</f>
        <v>-2.4777175515387939E-2</v>
      </c>
      <c r="O37" s="7">
        <f ca="1">+'Historical Data'!O41/'Historical Data'!O40-1</f>
        <v>-5.1557022066405223E-3</v>
      </c>
      <c r="P37" s="7">
        <f ca="1">+'Historical Data'!P41/'Historical Data'!P40-1</f>
        <v>-2.4835016033391333E-2</v>
      </c>
    </row>
    <row r="38" spans="1:16" x14ac:dyDescent="0.25">
      <c r="A38" vm="563">
        <f ca="1"/>
        <v>45398</v>
      </c>
      <c r="B38" s="7">
        <f ca="1">+'Historical Data'!B42/'Historical Data'!B41-1</f>
        <v>-2.7062174882338197E-2</v>
      </c>
      <c r="C38" s="7">
        <f ca="1">+'Historical Data'!C42/'Historical Data'!C41-1</f>
        <v>-1.6338089532731415E-3</v>
      </c>
      <c r="D38" s="7">
        <f ca="1">+'Historical Data'!D42/'Historical Data'!D41-1</f>
        <v>2.2725074944396351E-3</v>
      </c>
      <c r="E38" s="7">
        <f ca="1">+'Historical Data'!E42/'Historical Data'!E41-1</f>
        <v>-1.7804248813581003E-2</v>
      </c>
      <c r="F38" s="7">
        <f ca="1">+'Historical Data'!F42/'Historical Data'!F41-1</f>
        <v>3.2164683177871023E-3</v>
      </c>
      <c r="G38" s="7">
        <f ca="1">+'Historical Data'!G42/'Historical Data'!G41-1</f>
        <v>-1.1427634096998096E-2</v>
      </c>
      <c r="H38" s="7">
        <f ca="1">+'Historical Data'!H42/'Historical Data'!H41-1</f>
        <v>5.2195767789421588E-2</v>
      </c>
      <c r="I38" s="7">
        <f ca="1">+'Historical Data'!I42/'Historical Data'!I41-1</f>
        <v>-8.2720588235294379E-3</v>
      </c>
      <c r="J38" s="7">
        <f ca="1">+'Historical Data'!J42/'Historical Data'!J41-1</f>
        <v>8.1409477521263707E-3</v>
      </c>
      <c r="K38" s="7">
        <f ca="1">+'Historical Data'!K42/'Historical Data'!K41-1</f>
        <v>-2.0867145838163847E-2</v>
      </c>
      <c r="L38" s="7">
        <f ca="1">+'Historical Data'!L42/'Historical Data'!L41-1</f>
        <v>-8.4909301428020001E-3</v>
      </c>
      <c r="M38" s="7">
        <f ca="1">+'Historical Data'!M42/'Historical Data'!M41-1</f>
        <v>-9.3508687258686551E-3</v>
      </c>
      <c r="N38" s="7">
        <f ca="1">+'Historical Data'!N42/'Historical Data'!N41-1</f>
        <v>1.6441669282915239E-2</v>
      </c>
      <c r="O38" s="7">
        <f ca="1">+'Historical Data'!O42/'Historical Data'!O41-1</f>
        <v>-6.6334991708125735E-3</v>
      </c>
      <c r="P38" s="7">
        <f ca="1">+'Historical Data'!P42/'Historical Data'!P41-1</f>
        <v>1.4015518543667893E-2</v>
      </c>
    </row>
    <row r="39" spans="1:16" x14ac:dyDescent="0.25">
      <c r="A39" vm="579">
        <f ca="1"/>
        <v>45399</v>
      </c>
      <c r="B39" s="7">
        <f ca="1">+'Historical Data'!B43/'Historical Data'!B42-1</f>
        <v>-1.056584558589535E-2</v>
      </c>
      <c r="C39" s="7">
        <f ca="1">+'Historical Data'!C43/'Historical Data'!C42-1</f>
        <v>-1.112808204233029E-2</v>
      </c>
      <c r="D39" s="7">
        <f ca="1">+'Historical Data'!D43/'Historical Data'!D42-1</f>
        <v>-6.6090983646099888E-3</v>
      </c>
      <c r="E39" s="7">
        <f ca="1">+'Historical Data'!E43/'Historical Data'!E42-1</f>
        <v>5.772099357935101E-3</v>
      </c>
      <c r="F39" s="7">
        <f ca="1">+'Historical Data'!F43/'Historical Data'!F42-1</f>
        <v>6.4764347547292545E-3</v>
      </c>
      <c r="G39" s="7">
        <f ca="1">+'Historical Data'!G43/'Historical Data'!G42-1</f>
        <v>-3.9823008849557695E-3</v>
      </c>
      <c r="H39" s="7">
        <f ca="1">+'Historical Data'!H43/'Historical Data'!H42-1</f>
        <v>2.1540233316982738E-2</v>
      </c>
      <c r="I39" s="7">
        <f ca="1">+'Historical Data'!I43/'Historical Data'!I42-1</f>
        <v>-5.055185778077842E-4</v>
      </c>
      <c r="J39" s="7">
        <f ca="1">+'Historical Data'!J43/'Historical Data'!J42-1</f>
        <v>-1.6753043268651457E-2</v>
      </c>
      <c r="K39" s="7">
        <f ca="1">+'Historical Data'!K43/'Historical Data'!K42-1</f>
        <v>9.7087378640776656E-3</v>
      </c>
      <c r="L39" s="7">
        <f ca="1">+'Historical Data'!L43/'Historical Data'!L42-1</f>
        <v>-1.0509926041261219E-2</v>
      </c>
      <c r="M39" s="7">
        <f ca="1">+'Historical Data'!M43/'Historical Data'!M42-1</f>
        <v>-7.8557944095976051E-3</v>
      </c>
      <c r="N39" s="7">
        <f ca="1">+'Historical Data'!N43/'Historical Data'!N42-1</f>
        <v>-3.8666132814734411E-2</v>
      </c>
      <c r="O39" s="7">
        <f ca="1">+'Historical Data'!O43/'Historical Data'!O42-1</f>
        <v>-2.7128547579299278E-3</v>
      </c>
      <c r="P39" s="7">
        <f ca="1">+'Historical Data'!P43/'Historical Data'!P42-1</f>
        <v>-3.4934464960197475E-2</v>
      </c>
    </row>
    <row r="40" spans="1:16" x14ac:dyDescent="0.25">
      <c r="A40" vm="594">
        <f ca="1"/>
        <v>45400</v>
      </c>
      <c r="B40" s="7">
        <f ca="1">+'Historical Data'!B44/'Historical Data'!B43-1</f>
        <v>-3.5509810228369187E-2</v>
      </c>
      <c r="C40" s="7">
        <f ca="1">+'Historical Data'!C44/'Historical Data'!C43-1</f>
        <v>-1.1363636363636354E-2</v>
      </c>
      <c r="D40" s="7">
        <f ca="1">+'Historical Data'!D44/'Historical Data'!D43-1</f>
        <v>-1.8380924630924667E-2</v>
      </c>
      <c r="E40" s="7">
        <f ca="1">+'Historical Data'!E44/'Historical Data'!E43-1</f>
        <v>-2.514831054939437E-3</v>
      </c>
      <c r="F40" s="7">
        <f ca="1">+'Historical Data'!F44/'Historical Data'!F43-1</f>
        <v>2.1024464831802536E-3</v>
      </c>
      <c r="G40" s="7">
        <f ca="1">+'Historical Data'!G44/'Historical Data'!G43-1</f>
        <v>6.4971123944912446E-3</v>
      </c>
      <c r="H40" s="7">
        <f ca="1">+'Historical Data'!H44/'Historical Data'!H43-1</f>
        <v>2.9624835591557153E-2</v>
      </c>
      <c r="I40" s="7">
        <f ca="1">+'Historical Data'!I44/'Historical Data'!I43-1</f>
        <v>-9.2725280283234568E-4</v>
      </c>
      <c r="J40" s="7">
        <f ca="1">+'Historical Data'!J44/'Historical Data'!J43-1</f>
        <v>3.6773719048788234E-3</v>
      </c>
      <c r="K40" s="7">
        <f ca="1">+'Historical Data'!K44/'Historical Data'!K43-1</f>
        <v>-2.8142589118198558E-3</v>
      </c>
      <c r="L40" s="7">
        <f ca="1">+'Historical Data'!L44/'Historical Data'!L43-1</f>
        <v>-1.180173092053538E-3</v>
      </c>
      <c r="M40" s="7">
        <f ca="1">+'Historical Data'!M44/'Historical Data'!M43-1</f>
        <v>3.7994107537441923E-2</v>
      </c>
      <c r="N40" s="7">
        <f ca="1">+'Historical Data'!N44/'Historical Data'!N43-1</f>
        <v>7.5682751234604773E-3</v>
      </c>
      <c r="O40" s="7">
        <f ca="1">+'Historical Data'!O44/'Historical Data'!O43-1</f>
        <v>6.6959614982213811E-3</v>
      </c>
      <c r="P40" s="7">
        <f ca="1">+'Historical Data'!P44/'Historical Data'!P43-1</f>
        <v>-1.8430880300632335E-2</v>
      </c>
    </row>
    <row r="41" spans="1:16" x14ac:dyDescent="0.25">
      <c r="A41" vm="609">
        <f ca="1"/>
        <v>45401</v>
      </c>
      <c r="B41" s="7">
        <f ca="1">+'Historical Data'!B45/'Historical Data'!B44-1</f>
        <v>-1.9208964183285548E-2</v>
      </c>
      <c r="C41" s="7">
        <f ca="1">+'Historical Data'!C45/'Historical Data'!C44-1</f>
        <v>-2.5610980917308401E-2</v>
      </c>
      <c r="D41" s="7">
        <f ca="1">+'Historical Data'!D45/'Historical Data'!D44-1</f>
        <v>-1.2739011056966842E-2</v>
      </c>
      <c r="E41" s="7">
        <f ca="1">+'Historical Data'!E45/'Historical Data'!E44-1</f>
        <v>-1.1054366798112447E-2</v>
      </c>
      <c r="F41" s="7">
        <f ca="1">+'Historical Data'!F45/'Historical Data'!F44-1</f>
        <v>5.4040307711868962E-3</v>
      </c>
      <c r="G41" s="7">
        <f ca="1">+'Historical Data'!G45/'Historical Data'!G44-1</f>
        <v>2.5103448275862084E-2</v>
      </c>
      <c r="H41" s="7">
        <f ca="1">+'Historical Data'!H45/'Historical Data'!H44-1</f>
        <v>1.6119875096313629E-2</v>
      </c>
      <c r="I41" s="7">
        <f ca="1">+'Historical Data'!I45/'Historical Data'!I44-1</f>
        <v>1.1474856564293034E-2</v>
      </c>
      <c r="J41" s="7">
        <f ca="1">+'Historical Data'!J45/'Historical Data'!J44-1</f>
        <v>-7.0835368832437018E-3</v>
      </c>
      <c r="K41" s="7">
        <f ca="1">+'Historical Data'!K45/'Historical Data'!K44-1</f>
        <v>0</v>
      </c>
      <c r="L41" s="7">
        <f ca="1">+'Historical Data'!L45/'Historical Data'!L44-1</f>
        <v>2.4025206774320518E-2</v>
      </c>
      <c r="M41" s="7">
        <f ca="1">+'Historical Data'!M45/'Historical Data'!M44-1</f>
        <v>2.2766246821595448E-2</v>
      </c>
      <c r="N41" s="7">
        <f ca="1">+'Historical Data'!N45/'Historical Data'!N44-1</f>
        <v>-0.10004606063469201</v>
      </c>
      <c r="O41" s="7">
        <f ca="1">+'Historical Data'!O45/'Historical Data'!O44-1</f>
        <v>4.3649968821450891E-3</v>
      </c>
      <c r="P41" s="7">
        <f ca="1">+'Historical Data'!P45/'Historical Data'!P44-1</f>
        <v>-4.3113924653889191E-2</v>
      </c>
    </row>
    <row r="42" spans="1:16" x14ac:dyDescent="0.25">
      <c r="A42" vm="624">
        <f ca="1"/>
        <v>45404</v>
      </c>
      <c r="B42" s="7">
        <f ca="1">+'Historical Data'!B46/'Historical Data'!B45-1</f>
        <v>-3.4002040122407373E-2</v>
      </c>
      <c r="C42" s="7">
        <f ca="1">+'Historical Data'!C46/'Historical Data'!C45-1</f>
        <v>1.488862165721816E-2</v>
      </c>
      <c r="D42" s="7">
        <f ca="1">+'Historical Data'!D46/'Historical Data'!D45-1</f>
        <v>4.6101423130886499E-3</v>
      </c>
      <c r="E42" s="7">
        <f ca="1">+'Historical Data'!E46/'Historical Data'!E45-1</f>
        <v>1.0785723624003207E-2</v>
      </c>
      <c r="F42" s="7">
        <f ca="1">+'Historical Data'!F46/'Historical Data'!F45-1</f>
        <v>1.5176425951688444E-2</v>
      </c>
      <c r="G42" s="7">
        <f ca="1">+'Historical Data'!G46/'Historical Data'!G45-1</f>
        <v>1.9429494079655552E-2</v>
      </c>
      <c r="H42" s="7">
        <f ca="1">+'Historical Data'!H46/'Historical Data'!H45-1</f>
        <v>-1.9755352902440459E-2</v>
      </c>
      <c r="I42" s="7">
        <f ca="1">+'Historical Data'!I46/'Historical Data'!I45-1</f>
        <v>5.6723390056723222E-3</v>
      </c>
      <c r="J42" s="7">
        <f ca="1">+'Historical Data'!J46/'Historical Data'!J45-1</f>
        <v>3.1980319803197599E-3</v>
      </c>
      <c r="K42" s="7">
        <f ca="1">+'Historical Data'!K46/'Historical Data'!K45-1</f>
        <v>1.1523988711194644E-2</v>
      </c>
      <c r="L42" s="7">
        <f ca="1">+'Historical Data'!L46/'Historical Data'!L45-1</f>
        <v>1.0000000000000009E-2</v>
      </c>
      <c r="M42" s="7">
        <f ca="1">+'Historical Data'!M46/'Historical Data'!M45-1</f>
        <v>1.4165124884366165E-2</v>
      </c>
      <c r="N42" s="7">
        <f ca="1">+'Historical Data'!N46/'Historical Data'!N45-1</f>
        <v>4.3543307086614247E-2</v>
      </c>
      <c r="O42" s="7">
        <f ca="1">+'Historical Data'!O46/'Historical Data'!O45-1</f>
        <v>-3.7251655629139124E-3</v>
      </c>
      <c r="P42" s="7">
        <f ca="1">+'Historical Data'!P46/'Historical Data'!P45-1</f>
        <v>1.6393986934615024E-2</v>
      </c>
    </row>
    <row r="43" spans="1:16" x14ac:dyDescent="0.25">
      <c r="A43" vm="640">
        <f ca="1"/>
        <v>45405</v>
      </c>
      <c r="B43" s="7">
        <f ca="1">+'Historical Data'!B47/'Historical Data'!B46-1</f>
        <v>1.8514607532558847E-2</v>
      </c>
      <c r="C43" s="7">
        <f ca="1">+'Historical Data'!C47/'Historical Data'!C46-1</f>
        <v>1.3033910737459742E-2</v>
      </c>
      <c r="D43" s="7">
        <f ca="1">+'Historical Data'!D47/'Historical Data'!D46-1</f>
        <v>1.6485434956105438E-2</v>
      </c>
      <c r="E43" s="7">
        <f ca="1">+'Historical Data'!E47/'Historical Data'!E46-1</f>
        <v>-2.2311323805212391E-2</v>
      </c>
      <c r="F43" s="7">
        <f ca="1">+'Historical Data'!F47/'Historical Data'!F46-1</f>
        <v>5.9798181138657203E-3</v>
      </c>
      <c r="G43" s="7">
        <f ca="1">+'Historical Data'!G47/'Historical Data'!G46-1</f>
        <v>1.4413177762525597E-2</v>
      </c>
      <c r="H43" s="7">
        <f ca="1">+'Historical Data'!H47/'Historical Data'!H46-1</f>
        <v>-1.0280316755898466E-2</v>
      </c>
      <c r="I43" s="7">
        <f ca="1">+'Historical Data'!I47/'Historical Data'!I46-1</f>
        <v>3.8984737889846688E-3</v>
      </c>
      <c r="J43" s="7">
        <f ca="1">+'Historical Data'!J47/'Historical Data'!J46-1</f>
        <v>3.0652280529670506E-3</v>
      </c>
      <c r="K43" s="7">
        <f ca="1">+'Historical Data'!K47/'Historical Data'!K46-1</f>
        <v>1.3252731922808625E-2</v>
      </c>
      <c r="L43" s="7">
        <f ca="1">+'Historical Data'!L47/'Historical Data'!L46-1</f>
        <v>2.2848438690021844E-3</v>
      </c>
      <c r="M43" s="7">
        <f ca="1">+'Historical Data'!M47/'Historical Data'!M46-1</f>
        <v>-7.4112080269084224E-4</v>
      </c>
      <c r="N43" s="7">
        <f ca="1">+'Historical Data'!N47/'Historical Data'!N46-1</f>
        <v>3.6532608969038538E-2</v>
      </c>
      <c r="O43" s="7">
        <f ca="1">+'Historical Data'!O47/'Historical Data'!O46-1</f>
        <v>3.7390943082675765E-3</v>
      </c>
      <c r="P43" s="7">
        <f ca="1">+'Historical Data'!P47/'Historical Data'!P46-1</f>
        <v>2.0196658118680988E-2</v>
      </c>
    </row>
    <row r="44" spans="1:16" x14ac:dyDescent="0.25">
      <c r="A44" vm="653">
        <f ca="1"/>
        <v>45406</v>
      </c>
      <c r="B44" s="7">
        <f ca="1">+'Historical Data'!B48/'Historical Data'!B47-1</f>
        <v>0.12061100359413879</v>
      </c>
      <c r="C44" s="7">
        <f ca="1">+'Historical Data'!C48/'Historical Data'!C47-1</f>
        <v>-1.6430878912777058E-2</v>
      </c>
      <c r="D44" s="7">
        <f ca="1">+'Historical Data'!D48/'Historical Data'!D47-1</f>
        <v>3.6558137252495904E-3</v>
      </c>
      <c r="E44" s="7">
        <f ca="1">+'Historical Data'!E48/'Historical Data'!E47-1</f>
        <v>4.5310226220398597E-3</v>
      </c>
      <c r="F44" s="7">
        <f ca="1">+'Historical Data'!F48/'Historical Data'!F47-1</f>
        <v>6.8111455108359475E-3</v>
      </c>
      <c r="G44" s="7">
        <f ca="1">+'Historical Data'!G48/'Historical Data'!G47-1</f>
        <v>4.8922660560009046E-3</v>
      </c>
      <c r="H44" s="7">
        <f ca="1">+'Historical Data'!H48/'Historical Data'!H47-1</f>
        <v>2.3036735365502548E-3</v>
      </c>
      <c r="I44" s="7">
        <f ca="1">+'Historical Data'!I48/'Historical Data'!I47-1</f>
        <v>1.6524828554898008E-4</v>
      </c>
      <c r="J44" s="7">
        <f ca="1">+'Historical Data'!J48/'Historical Data'!J47-1</f>
        <v>1.1001100110011208E-2</v>
      </c>
      <c r="K44" s="7">
        <f ca="1">+'Historical Data'!K48/'Historical Data'!K47-1</f>
        <v>-6.6544286369893957E-3</v>
      </c>
      <c r="L44" s="7">
        <f ca="1">+'Historical Data'!L48/'Historical Data'!L47-1</f>
        <v>-1.8996960486322712E-3</v>
      </c>
      <c r="M44" s="7">
        <f ca="1">+'Historical Data'!M48/'Historical Data'!M47-1</f>
        <v>-1.7172523961661246E-2</v>
      </c>
      <c r="N44" s="7">
        <f ca="1">+'Historical Data'!N48/'Historical Data'!N47-1</f>
        <v>-3.3315943365322731E-2</v>
      </c>
      <c r="O44" s="7">
        <f ca="1">+'Historical Data'!O48/'Historical Data'!O47-1</f>
        <v>6.2086092715230023E-4</v>
      </c>
      <c r="P44" s="7">
        <f ca="1">+'Historical Data'!P48/'Historical Data'!P47-1</f>
        <v>6.1079579567560049E-3</v>
      </c>
    </row>
    <row r="45" spans="1:16" x14ac:dyDescent="0.25">
      <c r="A45" vm="669">
        <f ca="1"/>
        <v>45407</v>
      </c>
      <c r="B45" s="7">
        <f ca="1">+'Historical Data'!B49/'Historical Data'!B48-1</f>
        <v>4.9651514216986437E-2</v>
      </c>
      <c r="C45" s="7">
        <f ca="1">+'Historical Data'!C49/'Historical Data'!C48-1</f>
        <v>-1.653547766011676E-2</v>
      </c>
      <c r="D45" s="7">
        <f ca="1">+'Historical Data'!D49/'Historical Data'!D48-1</f>
        <v>-2.4495184080574939E-2</v>
      </c>
      <c r="E45" s="7">
        <f ca="1">+'Historical Data'!E49/'Historical Data'!E48-1</f>
        <v>3.5557896816251766E-3</v>
      </c>
      <c r="F45" s="7">
        <f ca="1">+'Historical Data'!F49/'Historical Data'!F48-1</f>
        <v>-3.0750307503069063E-4</v>
      </c>
      <c r="G45" s="7">
        <f ca="1">+'Historical Data'!G49/'Historical Data'!G48-1</f>
        <v>1.5019680961259052E-3</v>
      </c>
      <c r="H45" s="7">
        <f ca="1">+'Historical Data'!H49/'Historical Data'!H48-1</f>
        <v>1.3461933100759271E-2</v>
      </c>
      <c r="I45" s="7">
        <f ca="1">+'Historical Data'!I49/'Historical Data'!I48-1</f>
        <v>2.3130937629078918E-3</v>
      </c>
      <c r="J45" s="7">
        <f ca="1">+'Historical Data'!J49/'Historical Data'!J48-1</f>
        <v>-3.2644178454843686E-3</v>
      </c>
      <c r="K45" s="7">
        <f ca="1">+'Historical Data'!K49/'Historical Data'!K48-1</f>
        <v>-4.019404019404027E-2</v>
      </c>
      <c r="L45" s="7">
        <f ca="1">+'Historical Data'!L49/'Historical Data'!L48-1</f>
        <v>-3.8446897601827068E-2</v>
      </c>
      <c r="M45" s="7">
        <f ca="1">+'Historical Data'!M49/'Historical Data'!M48-1</f>
        <v>4.0633888663133E-4</v>
      </c>
      <c r="N45" s="7">
        <f ca="1">+'Historical Data'!N49/'Historical Data'!N48-1</f>
        <v>3.7087239730411614E-2</v>
      </c>
      <c r="O45" s="7">
        <f ca="1">+'Historical Data'!O49/'Historical Data'!O48-1</f>
        <v>-5.170630816959676E-3</v>
      </c>
      <c r="P45" s="7">
        <f ca="1">+'Historical Data'!P49/'Historical Data'!P48-1</f>
        <v>2.9916774080616104E-2</v>
      </c>
    </row>
    <row r="46" spans="1:16" x14ac:dyDescent="0.25">
      <c r="A46" vm="685">
        <f ca="1"/>
        <v>45408</v>
      </c>
      <c r="B46" s="7">
        <f ca="1">+'Historical Data'!B50/'Historical Data'!B49-1</f>
        <v>-1.1105887883417598E-2</v>
      </c>
      <c r="C46" s="7">
        <f ca="1">+'Historical Data'!C50/'Historical Data'!C49-1</f>
        <v>3.4260378879484188E-2</v>
      </c>
      <c r="D46" s="7">
        <f ca="1">+'Historical Data'!D50/'Historical Data'!D49-1</f>
        <v>1.8243785084202102E-2</v>
      </c>
      <c r="E46" s="7">
        <f ca="1">+'Historical Data'!E50/'Historical Data'!E49-1</f>
        <v>5.3804009054820856E-3</v>
      </c>
      <c r="F46" s="7">
        <f ca="1">+'Historical Data'!F50/'Historical Data'!F49-1</f>
        <v>-7.7514610888957947E-3</v>
      </c>
      <c r="G46" s="7">
        <f ca="1">+'Historical Data'!G50/'Historical Data'!G49-1</f>
        <v>6.2057196049036811E-4</v>
      </c>
      <c r="H46" s="7">
        <f ca="1">+'Historical Data'!H50/'Historical Data'!H49-1</f>
        <v>3.0170493662171616E-3</v>
      </c>
      <c r="I46" s="7">
        <f ca="1">+'Historical Data'!I50/'Historical Data'!I49-1</f>
        <v>-2.7775488337591692E-2</v>
      </c>
      <c r="J46" s="7">
        <f ca="1">+'Historical Data'!J50/'Historical Data'!J49-1</f>
        <v>-1.3343037360503684E-3</v>
      </c>
      <c r="K46" s="7">
        <f ca="1">+'Historical Data'!K50/'Historical Data'!K49-1</f>
        <v>8.9049338146811596E-3</v>
      </c>
      <c r="L46" s="7">
        <f ca="1">+'Historical Data'!L50/'Historical Data'!L49-1</f>
        <v>5.542359461599311E-3</v>
      </c>
      <c r="M46" s="7">
        <f ca="1">+'Historical Data'!M50/'Historical Data'!M49-1</f>
        <v>-1.3171637460833274E-2</v>
      </c>
      <c r="N46" s="7">
        <f ca="1">+'Historical Data'!N50/'Historical Data'!N49-1</f>
        <v>6.1755736276502882E-2</v>
      </c>
      <c r="O46" s="7">
        <f ca="1">+'Historical Data'!O50/'Historical Data'!O49-1</f>
        <v>-4.9896049896049899E-3</v>
      </c>
      <c r="P46" s="7">
        <f ca="1">+'Historical Data'!P50/'Historical Data'!P49-1</f>
        <v>3.8356947513171979E-2</v>
      </c>
    </row>
    <row r="47" spans="1:16" x14ac:dyDescent="0.25">
      <c r="A47" vm="700">
        <f ca="1"/>
        <v>45411</v>
      </c>
      <c r="B47" s="7">
        <f ca="1">+'Historical Data'!B51/'Historical Data'!B50-1</f>
        <v>0.15306910689880571</v>
      </c>
      <c r="C47" s="7">
        <f ca="1">+'Historical Data'!C51/'Historical Data'!C50-1</f>
        <v>7.4601937423450781E-3</v>
      </c>
      <c r="D47" s="7">
        <f ca="1">+'Historical Data'!D51/'Historical Data'!D50-1</f>
        <v>-1.001673557786964E-2</v>
      </c>
      <c r="E47" s="7">
        <f ca="1">+'Historical Data'!E51/'Historical Data'!E50-1</f>
        <v>-1.1747430249633428E-3</v>
      </c>
      <c r="F47" s="7">
        <f ca="1">+'Historical Data'!F51/'Historical Data'!F50-1</f>
        <v>2.294004588009102E-3</v>
      </c>
      <c r="G47" s="7">
        <f ca="1">+'Historical Data'!G51/'Historical Data'!G50-1</f>
        <v>-1.0853274071012109E-3</v>
      </c>
      <c r="H47" s="7">
        <f ca="1">+'Historical Data'!H51/'Historical Data'!H50-1</f>
        <v>-1.2758655496113991E-2</v>
      </c>
      <c r="I47" s="7">
        <f ca="1">+'Historical Data'!I51/'Historical Data'!I50-1</f>
        <v>1.4242115971515812E-2</v>
      </c>
      <c r="J47" s="7">
        <f ca="1">+'Historical Data'!J51/'Historical Data'!J50-1</f>
        <v>8.0165188874041782E-3</v>
      </c>
      <c r="K47" s="7">
        <f ca="1">+'Historical Data'!K51/'Historical Data'!K50-1</f>
        <v>-6.9179389312976625E-3</v>
      </c>
      <c r="L47" s="7">
        <f ca="1">+'Historical Data'!L51/'Historical Data'!L50-1</f>
        <v>9.4488188976378229E-3</v>
      </c>
      <c r="M47" s="7">
        <f ca="1">+'Historical Data'!M51/'Historical Data'!M50-1</f>
        <v>-2.8811665784675977E-3</v>
      </c>
      <c r="N47" s="7">
        <f ca="1">+'Historical Data'!N51/'Historical Data'!N50-1</f>
        <v>2.5075511483452217E-4</v>
      </c>
      <c r="O47" s="7">
        <f ca="1">+'Historical Data'!O51/'Historical Data'!O50-1</f>
        <v>-1.6715419974926427E-3</v>
      </c>
      <c r="P47" s="7">
        <f ca="1">+'Historical Data'!P51/'Historical Data'!P50-1</f>
        <v>-4.0548483337922159E-3</v>
      </c>
    </row>
    <row r="48" spans="1:16" x14ac:dyDescent="0.25">
      <c r="A48" vm="714">
        <f ca="1"/>
        <v>45412</v>
      </c>
      <c r="B48" s="7">
        <f ca="1">+'Historical Data'!B52/'Historical Data'!B51-1</f>
        <v>-5.5501159494975583E-2</v>
      </c>
      <c r="C48" s="7">
        <f ca="1">+'Historical Data'!C52/'Historical Data'!C51-1</f>
        <v>-3.2935455349248466E-2</v>
      </c>
      <c r="D48" s="7">
        <f ca="1">+'Historical Data'!D52/'Historical Data'!D51-1</f>
        <v>-3.2119328775637057E-2</v>
      </c>
      <c r="E48" s="7">
        <f ca="1">+'Historical Data'!E52/'Historical Data'!E51-1</f>
        <v>-2.1170244045868758E-2</v>
      </c>
      <c r="F48" s="7">
        <f ca="1">+'Historical Data'!F52/'Historical Data'!F51-1</f>
        <v>9.5261660274650328E-3</v>
      </c>
      <c r="G48" s="7">
        <f ca="1">+'Historical Data'!G52/'Historical Data'!G51-1</f>
        <v>-7.9677152317880751E-3</v>
      </c>
      <c r="H48" s="7">
        <f ca="1">+'Historical Data'!H52/'Historical Data'!H51-1</f>
        <v>-1.0899126842933926E-2</v>
      </c>
      <c r="I48" s="7">
        <f ca="1">+'Historical Data'!I52/'Historical Data'!I51-1</f>
        <v>-1.145101972584428E-2</v>
      </c>
      <c r="J48" s="7">
        <f ca="1">+'Historical Data'!J52/'Historical Data'!J51-1</f>
        <v>-5.0608507049041407E-3</v>
      </c>
      <c r="K48" s="7">
        <f ca="1">+'Historical Data'!K52/'Historical Data'!K51-1</f>
        <v>-1.4172471775162232E-2</v>
      </c>
      <c r="L48" s="7">
        <f ca="1">+'Historical Data'!L52/'Historical Data'!L51-1</f>
        <v>-7.800312012480326E-4</v>
      </c>
      <c r="M48" s="7">
        <f ca="1">+'Historical Data'!M52/'Historical Data'!M51-1</f>
        <v>2.8305224672720009E-3</v>
      </c>
      <c r="N48" s="7">
        <f ca="1">+'Historical Data'!N52/'Historical Data'!N51-1</f>
        <v>-1.5440363731668127E-2</v>
      </c>
      <c r="O48" s="7">
        <f ca="1">+'Historical Data'!O52/'Historical Data'!O51-1</f>
        <v>-1.6743407283382306E-2</v>
      </c>
      <c r="P48" s="7">
        <f ca="1">+'Historical Data'!P52/'Historical Data'!P51-1</f>
        <v>-2.8648907083414277E-2</v>
      </c>
    </row>
    <row r="49" spans="1:16" x14ac:dyDescent="0.25">
      <c r="A49" vm="730">
        <f ca="1"/>
        <v>45413</v>
      </c>
      <c r="B49" s="7">
        <f ca="1">+'Historical Data'!B53/'Historical Data'!B52-1</f>
        <v>-1.7950676560453904E-2</v>
      </c>
      <c r="C49" s="7">
        <f ca="1">+'Historical Data'!C53/'Historical Data'!C52-1</f>
        <v>2.2857142857142909E-2</v>
      </c>
      <c r="D49" s="7">
        <f ca="1">+'Historical Data'!D53/'Historical Data'!D52-1</f>
        <v>1.4409369943235939E-2</v>
      </c>
      <c r="E49" s="7">
        <f ca="1">+'Historical Data'!E53/'Historical Data'!E52-1</f>
        <v>1.2449517706351498E-2</v>
      </c>
      <c r="F49" s="7">
        <f ca="1">+'Historical Data'!F53/'Historical Data'!F52-1</f>
        <v>1.225490196078427E-3</v>
      </c>
      <c r="G49" s="7">
        <f ca="1">+'Historical Data'!G53/'Historical Data'!G52-1</f>
        <v>6.2584750182548277E-4</v>
      </c>
      <c r="H49" s="7">
        <f ca="1">+'Historical Data'!H53/'Historical Data'!H52-1</f>
        <v>8.476328302666758E-4</v>
      </c>
      <c r="I49" s="7">
        <f ca="1">+'Historical Data'!I53/'Historical Data'!I52-1</f>
        <v>-1.893971421324081E-2</v>
      </c>
      <c r="J49" s="7">
        <f ca="1">+'Historical Data'!J53/'Historical Data'!J52-1</f>
        <v>3.875499576117214E-3</v>
      </c>
      <c r="K49" s="7">
        <f ca="1">+'Historical Data'!K53/'Historical Data'!K52-1</f>
        <v>3.8986354775829568E-3</v>
      </c>
      <c r="L49" s="7">
        <f ca="1">+'Historical Data'!L53/'Historical Data'!L52-1</f>
        <v>6.0889929742388604E-2</v>
      </c>
      <c r="M49" s="7">
        <f ca="1">+'Historical Data'!M53/'Historical Data'!M52-1</f>
        <v>8.8204163236504929E-3</v>
      </c>
      <c r="N49" s="7">
        <f ca="1">+'Historical Data'!N53/'Historical Data'!N52-1</f>
        <v>-3.8899562510127161E-2</v>
      </c>
      <c r="O49" s="7">
        <f ca="1">+'Historical Data'!O53/'Historical Data'!O52-1</f>
        <v>-2.9799914857384646E-3</v>
      </c>
      <c r="P49" s="7">
        <f ca="1">+'Historical Data'!P53/'Historical Data'!P52-1</f>
        <v>-4.4152368354264726E-2</v>
      </c>
    </row>
    <row r="50" spans="1:16" x14ac:dyDescent="0.25">
      <c r="A50" vm="746">
        <f ca="1"/>
        <v>45414</v>
      </c>
      <c r="B50" s="7">
        <f ca="1">+'Historical Data'!B54/'Historical Data'!B53-1</f>
        <v>1.1111728429336054E-4</v>
      </c>
      <c r="C50" s="7">
        <f ca="1">+'Historical Data'!C54/'Historical Data'!C53-1</f>
        <v>3.1955307262569788E-2</v>
      </c>
      <c r="D50" s="7">
        <f ca="1">+'Historical Data'!D54/'Historical Data'!D53-1</f>
        <v>7.3428875272192329E-3</v>
      </c>
      <c r="E50" s="7">
        <f ca="1">+'Historical Data'!E54/'Historical Data'!E53-1</f>
        <v>3.6922265444716551E-3</v>
      </c>
      <c r="F50" s="7">
        <f ca="1">+'Historical Data'!F54/'Historical Data'!F53-1</f>
        <v>2.6927784577723823E-3</v>
      </c>
      <c r="G50" s="7">
        <f ca="1">+'Historical Data'!G54/'Historical Data'!G53-1</f>
        <v>-1.0424267695194889E-3</v>
      </c>
      <c r="H50" s="7">
        <f ca="1">+'Historical Data'!H54/'Historical Data'!H53-1</f>
        <v>1.8301625663588839E-2</v>
      </c>
      <c r="I50" s="7">
        <f ca="1">+'Historical Data'!I54/'Historical Data'!I53-1</f>
        <v>1.8098767560112972E-3</v>
      </c>
      <c r="J50" s="7">
        <f ca="1">+'Historical Data'!J54/'Historical Data'!J53-1</f>
        <v>1.4356375919893916E-2</v>
      </c>
      <c r="K50" s="7">
        <f ca="1">+'Historical Data'!K54/'Historical Data'!K53-1</f>
        <v>-2.4271844660194164E-3</v>
      </c>
      <c r="L50" s="7">
        <f ca="1">+'Historical Data'!L54/'Historical Data'!L53-1</f>
        <v>1.9131714495952856E-2</v>
      </c>
      <c r="M50" s="7">
        <f ca="1">+'Historical Data'!M54/'Historical Data'!M53-1</f>
        <v>-1.3872697598507733E-2</v>
      </c>
      <c r="N50" s="7">
        <f ca="1">+'Historical Data'!N54/'Historical Data'!N53-1</f>
        <v>3.3429269878734624E-2</v>
      </c>
      <c r="O50" s="7">
        <f ca="1">+'Historical Data'!O54/'Historical Data'!O53-1</f>
        <v>-1.0674637062341175E-3</v>
      </c>
      <c r="P50" s="7">
        <f ca="1">+'Historical Data'!P54/'Historical Data'!P53-1</f>
        <v>-3.4517162029512605E-3</v>
      </c>
    </row>
    <row r="51" spans="1:16" x14ac:dyDescent="0.25">
      <c r="A51" vm="760">
        <f ca="1"/>
        <v>45415</v>
      </c>
      <c r="B51" s="7">
        <f ca="1">+'Historical Data'!B55/'Historical Data'!B54-1</f>
        <v>6.555191378256886E-3</v>
      </c>
      <c r="C51" s="7">
        <f ca="1">+'Historical Data'!C55/'Historical Data'!C54-1</f>
        <v>8.0662624512777281E-3</v>
      </c>
      <c r="D51" s="7">
        <f ca="1">+'Historical Data'!D55/'Historical Data'!D54-1</f>
        <v>2.2169716468932288E-2</v>
      </c>
      <c r="E51" s="7">
        <f ca="1">+'Historical Data'!E55/'Historical Data'!E54-1</f>
        <v>2.2466005386586163E-2</v>
      </c>
      <c r="F51" s="7">
        <f ca="1">+'Historical Data'!F55/'Historical Data'!F54-1</f>
        <v>3.7841796875E-3</v>
      </c>
      <c r="G51" s="7">
        <f ca="1">+'Historical Data'!G55/'Historical Data'!G54-1</f>
        <v>-6.0002087029114026E-3</v>
      </c>
      <c r="H51" s="7">
        <f ca="1">+'Historical Data'!H55/'Historical Data'!H54-1</f>
        <v>-1.0548309227742525E-3</v>
      </c>
      <c r="I51" s="7">
        <f ca="1">+'Historical Data'!I55/'Historical Data'!I54-1</f>
        <v>-2.0646937370956131E-3</v>
      </c>
      <c r="J51" s="7">
        <f ca="1">+'Historical Data'!J55/'Historical Data'!J54-1</f>
        <v>5.4709800190295699E-3</v>
      </c>
      <c r="K51" s="7">
        <f ca="1">+'Historical Data'!K55/'Historical Data'!K54-1</f>
        <v>1.1922141119221408E-2</v>
      </c>
      <c r="L51" s="7">
        <f ca="1">+'Historical Data'!L55/'Historical Data'!L54-1</f>
        <v>3.9711191335740637E-3</v>
      </c>
      <c r="M51" s="7">
        <f ca="1">+'Historical Data'!M55/'Historical Data'!M54-1</f>
        <v>-5.910864168341412E-3</v>
      </c>
      <c r="N51" s="7">
        <f ca="1">+'Historical Data'!N55/'Historical Data'!N54-1</f>
        <v>3.4631832853630584E-2</v>
      </c>
      <c r="O51" s="7">
        <f ca="1">+'Historical Data'!O55/'Historical Data'!O54-1</f>
        <v>7.0527890574909602E-3</v>
      </c>
      <c r="P51" s="7">
        <f ca="1">+'Historical Data'!P55/'Historical Data'!P54-1</f>
        <v>3.1923912253647435E-2</v>
      </c>
    </row>
    <row r="52" spans="1:16" x14ac:dyDescent="0.25">
      <c r="A52" vm="776">
        <f ca="1"/>
        <v>45418</v>
      </c>
      <c r="B52" s="7">
        <f ca="1">+'Historical Data'!B56/'Historical Data'!B55-1</f>
        <v>1.9703074121088404E-2</v>
      </c>
      <c r="C52" s="7">
        <f ca="1">+'Historical Data'!C56/'Historical Data'!C55-1</f>
        <v>1.33719993555661E-2</v>
      </c>
      <c r="D52" s="7">
        <f ca="1">+'Historical Data'!D56/'Historical Data'!D55-1</f>
        <v>1.6918310136231796E-2</v>
      </c>
      <c r="E52" s="7">
        <f ca="1">+'Historical Data'!E56/'Historical Data'!E55-1</f>
        <v>1.1853517507227851E-2</v>
      </c>
      <c r="F52" s="7">
        <f ca="1">+'Historical Data'!F56/'Historical Data'!F55-1</f>
        <v>-1.2161011796185672E-4</v>
      </c>
      <c r="G52" s="7">
        <f ca="1">+'Historical Data'!G56/'Historical Data'!G55-1</f>
        <v>7.8211117526638674E-3</v>
      </c>
      <c r="H52" s="7">
        <f ca="1">+'Historical Data'!H56/'Historical Data'!H55-1</f>
        <v>3.9191796121433864E-3</v>
      </c>
      <c r="I52" s="7">
        <f ca="1">+'Historical Data'!I56/'Historical Data'!I55-1</f>
        <v>6.4655172413792261E-3</v>
      </c>
      <c r="J52" s="7">
        <f ca="1">+'Historical Data'!J56/'Historical Data'!J55-1</f>
        <v>3.5486160397444344E-3</v>
      </c>
      <c r="K52" s="7">
        <f ca="1">+'Historical Data'!K56/'Historical Data'!K55-1</f>
        <v>1.6830968982928463E-2</v>
      </c>
      <c r="L52" s="7">
        <f ca="1">+'Historical Data'!L56/'Historical Data'!L55-1</f>
        <v>1.2585400934915558E-2</v>
      </c>
      <c r="M52" s="7">
        <f ca="1">+'Historical Data'!M56/'Historical Data'!M55-1</f>
        <v>1.1297419431561373E-2</v>
      </c>
      <c r="N52" s="7">
        <f ca="1">+'Historical Data'!N56/'Historical Data'!N55-1</f>
        <v>3.7741161630382214E-2</v>
      </c>
      <c r="O52" s="7">
        <f ca="1">+'Historical Data'!O56/'Historical Data'!O55-1</f>
        <v>-2.1222410865873176E-4</v>
      </c>
      <c r="P52" s="7">
        <f ca="1">+'Historical Data'!P56/'Historical Data'!P55-1</f>
        <v>2.5193449703077242E-2</v>
      </c>
    </row>
    <row r="53" spans="1:16" x14ac:dyDescent="0.25">
      <c r="A53" vm="792">
        <f ca="1"/>
        <v>45419</v>
      </c>
      <c r="B53" s="7">
        <f ca="1">+'Historical Data'!B57/'Historical Data'!B56-1</f>
        <v>-3.7616367179043042E-2</v>
      </c>
      <c r="C53" s="7">
        <f ca="1">+'Historical Data'!C57/'Historical Data'!C56-1</f>
        <v>3.1796502384739966E-4</v>
      </c>
      <c r="D53" s="7">
        <f ca="1">+'Historical Data'!D57/'Historical Data'!D56-1</f>
        <v>-1.015621221647256E-2</v>
      </c>
      <c r="E53" s="7">
        <f ca="1">+'Historical Data'!E57/'Historical Data'!E56-1</f>
        <v>1.1936886885297815E-2</v>
      </c>
      <c r="F53" s="7">
        <f ca="1">+'Historical Data'!F57/'Historical Data'!F56-1</f>
        <v>8.0272439795670003E-3</v>
      </c>
      <c r="G53" s="7">
        <f ca="1">+'Historical Data'!G57/'Historical Data'!G56-1</f>
        <v>-1.3020833333333703E-3</v>
      </c>
      <c r="H53" s="7">
        <f ca="1">+'Historical Data'!H57/'Historical Data'!H56-1</f>
        <v>1.3309599902908698E-2</v>
      </c>
      <c r="I53" s="7">
        <f ca="1">+'Historical Data'!I57/'Historical Data'!I56-1</f>
        <v>-4.9678800856530758E-3</v>
      </c>
      <c r="J53" s="7">
        <f ca="1">+'Historical Data'!J57/'Historical Data'!J56-1</f>
        <v>-3.7600188590287686E-2</v>
      </c>
      <c r="K53" s="7">
        <f ca="1">+'Historical Data'!K57/'Historical Data'!K56-1</f>
        <v>9.9314258689997548E-3</v>
      </c>
      <c r="L53" s="7">
        <f ca="1">+'Historical Data'!L57/'Historical Data'!L56-1</f>
        <v>-1.3849431818181879E-2</v>
      </c>
      <c r="M53" s="7">
        <f ca="1">+'Historical Data'!M57/'Historical Data'!M56-1</f>
        <v>-1.1112417685794962E-2</v>
      </c>
      <c r="N53" s="7">
        <f ca="1">+'Historical Data'!N57/'Historical Data'!N56-1</f>
        <v>-1.7212936835250714E-2</v>
      </c>
      <c r="O53" s="7">
        <f ca="1">+'Historical Data'!O57/'Historical Data'!O56-1</f>
        <v>3.6085756739545616E-3</v>
      </c>
      <c r="P53" s="7">
        <f ca="1">+'Historical Data'!P57/'Historical Data'!P56-1</f>
        <v>-5.4948828903084168E-3</v>
      </c>
    </row>
    <row r="54" spans="1:16" x14ac:dyDescent="0.25">
      <c r="A54" vm="807">
        <f ca="1"/>
        <v>45420</v>
      </c>
      <c r="B54" s="7">
        <f ca="1">+'Historical Data'!B58/'Historical Data'!B57-1</f>
        <v>-1.737810021933528E-2</v>
      </c>
      <c r="C54" s="7">
        <f ca="1">+'Historical Data'!C58/'Historical Data'!C57-1</f>
        <v>-4.0262767535493849E-3</v>
      </c>
      <c r="D54" s="7">
        <f ca="1">+'Historical Data'!D58/'Historical Data'!D57-1</f>
        <v>2.9315483461183067E-3</v>
      </c>
      <c r="E54" s="7">
        <f ca="1">+'Historical Data'!E58/'Historical Data'!E57-1</f>
        <v>7.8431372549014888E-4</v>
      </c>
      <c r="F54" s="7">
        <f ca="1">+'Historical Data'!F58/'Historical Data'!F57-1</f>
        <v>-4.1626447876447203E-3</v>
      </c>
      <c r="G54" s="7">
        <f ca="1">+'Historical Data'!G58/'Historical Data'!G57-1</f>
        <v>2.0338983050847581E-2</v>
      </c>
      <c r="H54" s="7">
        <f ca="1">+'Historical Data'!H58/'Historical Data'!H57-1</f>
        <v>4.4913765570104847E-3</v>
      </c>
      <c r="I54" s="7">
        <f ca="1">+'Historical Data'!I58/'Historical Data'!I57-1</f>
        <v>-1.7216148747523086E-4</v>
      </c>
      <c r="J54" s="7">
        <f ca="1">+'Historical Data'!J58/'Historical Data'!J57-1</f>
        <v>-4.0416411512553485E-2</v>
      </c>
      <c r="K54" s="7">
        <f ca="1">+'Historical Data'!K58/'Historical Data'!K57-1</f>
        <v>1.4750643877312175E-2</v>
      </c>
      <c r="L54" s="7">
        <f ca="1">+'Historical Data'!L58/'Historical Data'!L57-1</f>
        <v>1.8005041411595313E-2</v>
      </c>
      <c r="M54" s="7">
        <f ca="1">+'Historical Data'!M58/'Historical Data'!M57-1</f>
        <v>1.2426422498365008E-2</v>
      </c>
      <c r="N54" s="7">
        <f ca="1">+'Historical Data'!N58/'Historical Data'!N57-1</f>
        <v>-1.5681250966274041E-3</v>
      </c>
      <c r="O54" s="7">
        <f ca="1">+'Historical Data'!O58/'Historical Data'!O57-1</f>
        <v>1.5228426395939021E-2</v>
      </c>
      <c r="P54" s="7">
        <f ca="1">+'Historical Data'!P58/'Historical Data'!P57-1</f>
        <v>1.7082211018256244E-2</v>
      </c>
    </row>
    <row r="55" spans="1:16" x14ac:dyDescent="0.25">
      <c r="A55" vm="822">
        <f ca="1"/>
        <v>45421</v>
      </c>
      <c r="B55" s="7">
        <f ca="1">+'Historical Data'!B59/'Historical Data'!B58-1</f>
        <v>-1.5739468864468864E-2</v>
      </c>
      <c r="C55" s="7">
        <f ca="1">+'Historical Data'!C59/'Historical Data'!C58-1</f>
        <v>7.9787234042554278E-3</v>
      </c>
      <c r="D55" s="7">
        <f ca="1">+'Historical Data'!D59/'Historical Data'!D58-1</f>
        <v>4.3357529108003501E-3</v>
      </c>
      <c r="E55" s="7">
        <f ca="1">+'Historical Data'!E59/'Historical Data'!E58-1</f>
        <v>4.5454545454544082E-3</v>
      </c>
      <c r="F55" s="7">
        <f ca="1">+'Historical Data'!F59/'Historical Data'!F58-1</f>
        <v>5.8762949051918145E-3</v>
      </c>
      <c r="G55" s="7">
        <f ca="1">+'Historical Data'!G59/'Historical Data'!G58-1</f>
        <v>9.455660618451267E-3</v>
      </c>
      <c r="H55" s="7">
        <f ca="1">+'Historical Data'!H59/'Historical Data'!H58-1</f>
        <v>7.5912640845769985E-3</v>
      </c>
      <c r="I55" s="7">
        <f ca="1">+'Historical Data'!I59/'Historical Data'!I58-1</f>
        <v>1.9715884631941405E-2</v>
      </c>
      <c r="J55" s="7">
        <f ca="1">+'Historical Data'!J59/'Historical Data'!J58-1</f>
        <v>-1.1231652839821304E-2</v>
      </c>
      <c r="K55" s="7">
        <f ca="1">+'Historical Data'!K59/'Historical Data'!K58-1</f>
        <v>1.2921089063220981E-2</v>
      </c>
      <c r="L55" s="7">
        <f ca="1">+'Historical Data'!L59/'Historical Data'!L58-1</f>
        <v>-3.1835868411743684E-3</v>
      </c>
      <c r="M55" s="7">
        <f ca="1">+'Historical Data'!M59/'Historical Data'!M58-1</f>
        <v>6.9297627437163722E-3</v>
      </c>
      <c r="N55" s="7">
        <f ca="1">+'Historical Data'!N59/'Historical Data'!N58-1</f>
        <v>-1.8415697031367584E-2</v>
      </c>
      <c r="O55" s="7">
        <f ca="1">+'Historical Data'!O59/'Historical Data'!O58-1</f>
        <v>-4.3750000000000178E-3</v>
      </c>
      <c r="P55" s="7">
        <f ca="1">+'Historical Data'!P59/'Historical Data'!P58-1</f>
        <v>-1.4863773889555398E-2</v>
      </c>
    </row>
    <row r="56" spans="1:16" x14ac:dyDescent="0.25">
      <c r="A56" vm="837">
        <f ca="1"/>
        <v>45422</v>
      </c>
      <c r="B56" s="7">
        <f ca="1">+'Historical Data'!B60/'Historical Data'!B59-1</f>
        <v>-2.0352387044251907E-2</v>
      </c>
      <c r="C56" s="7">
        <f ca="1">+'Historical Data'!C60/'Historical Data'!C59-1</f>
        <v>-1.065963060686026E-2</v>
      </c>
      <c r="D56" s="7">
        <f ca="1">+'Historical Data'!D60/'Historical Data'!D59-1</f>
        <v>5.8692277842453677E-3</v>
      </c>
      <c r="E56" s="7">
        <f ca="1">+'Historical Data'!E60/'Historical Data'!E59-1</f>
        <v>1.2794507723514759E-3</v>
      </c>
      <c r="F56" s="7">
        <f ca="1">+'Historical Data'!F60/'Historical Data'!F59-1</f>
        <v>4.8783425680558601E-3</v>
      </c>
      <c r="G56" s="7">
        <f ca="1">+'Historical Data'!G60/'Historical Data'!G59-1</f>
        <v>6.4303797468354684E-3</v>
      </c>
      <c r="H56" s="7">
        <f ca="1">+'Historical Data'!H60/'Historical Data'!H59-1</f>
        <v>1.13997199376763E-2</v>
      </c>
      <c r="I56" s="7">
        <f ca="1">+'Historical Data'!I60/'Historical Data'!I59-1</f>
        <v>-4.0526849037487711E-3</v>
      </c>
      <c r="J56" s="7">
        <f ca="1">+'Historical Data'!J60/'Historical Data'!J59-1</f>
        <v>-2.7107267329288698E-2</v>
      </c>
      <c r="K56" s="7">
        <f ca="1">+'Historical Data'!K60/'Historical Data'!K59-1</f>
        <v>-2.0501138952163989E-2</v>
      </c>
      <c r="L56" s="7">
        <f ca="1">+'Historical Data'!L60/'Historical Data'!L59-1</f>
        <v>-6.0326472675655829E-3</v>
      </c>
      <c r="M56" s="7">
        <f ca="1">+'Historical Data'!M60/'Historical Data'!M59-1</f>
        <v>7.2903301061471026E-3</v>
      </c>
      <c r="N56" s="7">
        <f ca="1">+'Historical Data'!N60/'Historical Data'!N59-1</f>
        <v>1.2744092758065095E-2</v>
      </c>
      <c r="O56" s="7">
        <f ca="1">+'Historical Data'!O60/'Historical Data'!O59-1</f>
        <v>5.6497175141243527E-3</v>
      </c>
      <c r="P56" s="7">
        <f ca="1">+'Historical Data'!P60/'Historical Data'!P59-1</f>
        <v>2.0778604088322439E-2</v>
      </c>
    </row>
    <row r="57" spans="1:16" x14ac:dyDescent="0.25">
      <c r="A57" vm="849">
        <f ca="1"/>
        <v>45425</v>
      </c>
      <c r="B57" s="7">
        <f ca="1">+'Historical Data'!B61/'Historical Data'!B60-1</f>
        <v>2.0300350210719964E-2</v>
      </c>
      <c r="C57" s="7">
        <f ca="1">+'Historical Data'!C61/'Historical Data'!C60-1</f>
        <v>-4.8538510774482901E-3</v>
      </c>
      <c r="D57" s="7">
        <f ca="1">+'Historical Data'!D61/'Historical Data'!D60-1</f>
        <v>-2.459372136760285E-3</v>
      </c>
      <c r="E57" s="7">
        <f ca="1">+'Historical Data'!E61/'Historical Data'!E60-1</f>
        <v>-1.5551954123293688E-2</v>
      </c>
      <c r="F57" s="7">
        <f ca="1">+'Historical Data'!F61/'Historical Data'!F60-1</f>
        <v>-5.8735391069822951E-3</v>
      </c>
      <c r="G57" s="7">
        <f ca="1">+'Historical Data'!G61/'Historical Data'!G60-1</f>
        <v>-2.012376113096348E-4</v>
      </c>
      <c r="H57" s="7">
        <f ca="1">+'Historical Data'!H61/'Historical Data'!H60-1</f>
        <v>-2.0865427741267872E-3</v>
      </c>
      <c r="I57" s="7">
        <f ca="1">+'Historical Data'!I61/'Historical Data'!I60-1</f>
        <v>-4.2387249915221137E-4</v>
      </c>
      <c r="J57" s="7">
        <f ca="1">+'Historical Data'!J61/'Historical Data'!J60-1</f>
        <v>1.034894520366203E-2</v>
      </c>
      <c r="K57" s="7">
        <f ca="1">+'Historical Data'!K61/'Historical Data'!K60-1</f>
        <v>-1.0290697674418703E-2</v>
      </c>
      <c r="L57" s="7">
        <f ca="1">+'Historical Data'!L61/'Historical Data'!L60-1</f>
        <v>1.5351660121385224E-2</v>
      </c>
      <c r="M57" s="7">
        <f ca="1">+'Historical Data'!M61/'Historical Data'!M60-1</f>
        <v>-1.638584911122698E-2</v>
      </c>
      <c r="N57" s="7">
        <f ca="1">+'Historical Data'!N61/'Historical Data'!N60-1</f>
        <v>5.7967467010837659E-3</v>
      </c>
      <c r="O57" s="7">
        <f ca="1">+'Historical Data'!O61/'Historical Data'!O60-1</f>
        <v>1.2900540990428588E-2</v>
      </c>
      <c r="P57" s="7">
        <f ca="1">+'Historical Data'!P61/'Historical Data'!P60-1</f>
        <v>3.5339135654262055E-3</v>
      </c>
    </row>
    <row r="58" spans="1:16" x14ac:dyDescent="0.25">
      <c r="A58" vm="865">
        <f ca="1"/>
        <v>45426</v>
      </c>
      <c r="B58" s="7">
        <f ca="1">+'Historical Data'!B62/'Historical Data'!B61-1</f>
        <v>3.2928035371458719E-2</v>
      </c>
      <c r="C58" s="7">
        <f ca="1">+'Historical Data'!C62/'Historical Data'!C61-1</f>
        <v>2.6799592646191694E-3</v>
      </c>
      <c r="D58" s="7">
        <f ca="1">+'Historical Data'!D62/'Historical Data'!D61-1</f>
        <v>6.8645460698055771E-3</v>
      </c>
      <c r="E58" s="7">
        <f ca="1">+'Historical Data'!E62/'Historical Data'!E61-1</f>
        <v>-5.7618640579985003E-3</v>
      </c>
      <c r="F58" s="7">
        <f ca="1">+'Historical Data'!F62/'Historical Data'!F61-1</f>
        <v>-6.6316995237236664E-4</v>
      </c>
      <c r="G58" s="7">
        <f ca="1">+'Historical Data'!G62/'Historical Data'!G61-1</f>
        <v>1.3988829064560004E-2</v>
      </c>
      <c r="H58" s="7">
        <f ca="1">+'Historical Data'!H62/'Historical Data'!H61-1</f>
        <v>4.1818110759370697E-3</v>
      </c>
      <c r="I58" s="7">
        <f ca="1">+'Historical Data'!I62/'Historical Data'!I61-1</f>
        <v>-2.0354507675345301E-3</v>
      </c>
      <c r="J58" s="7">
        <f ca="1">+'Historical Data'!J62/'Historical Data'!J61-1</f>
        <v>6.6710439921207954E-2</v>
      </c>
      <c r="K58" s="7">
        <f ca="1">+'Historical Data'!K62/'Historical Data'!K61-1</f>
        <v>9.2228161898608718E-3</v>
      </c>
      <c r="L58" s="7">
        <f ca="1">+'Historical Data'!L62/'Historical Data'!L61-1</f>
        <v>-2.1097046413502962E-3</v>
      </c>
      <c r="M58" s="7">
        <f ca="1">+'Historical Data'!M62/'Historical Data'!M61-1</f>
        <v>-4.7092064987048765E-3</v>
      </c>
      <c r="N58" s="7">
        <f ca="1">+'Historical Data'!N62/'Historical Data'!N61-1</f>
        <v>1.0586400292038611E-2</v>
      </c>
      <c r="O58" s="7">
        <f ca="1">+'Historical Data'!O62/'Historical Data'!O61-1</f>
        <v>5.546425636811847E-3</v>
      </c>
      <c r="P58" s="7">
        <f ca="1">+'Historical Data'!P62/'Historical Data'!P61-1</f>
        <v>3.1790416520250275E-2</v>
      </c>
    </row>
    <row r="59" spans="1:16" x14ac:dyDescent="0.25">
      <c r="A59" vm="879">
        <f ca="1"/>
        <v>45427</v>
      </c>
      <c r="B59" s="7">
        <f ca="1">+'Historical Data'!B63/'Historical Data'!B62-1</f>
        <v>-2.0050689946493949E-2</v>
      </c>
      <c r="C59" s="7">
        <f ca="1">+'Historical Data'!C63/'Historical Data'!C62-1</f>
        <v>-5.7732399636498677E-3</v>
      </c>
      <c r="D59" s="7">
        <f ca="1">+'Historical Data'!D63/'Historical Data'!D62-1</f>
        <v>1.5652006913769778E-2</v>
      </c>
      <c r="E59" s="7">
        <f ca="1">+'Historical Data'!E63/'Historical Data'!E62-1</f>
        <v>7.3873587008437269E-3</v>
      </c>
      <c r="F59" s="7">
        <f ca="1">+'Historical Data'!F63/'Historical Data'!F62-1</f>
        <v>4.5246138996140051E-3</v>
      </c>
      <c r="G59" s="7">
        <f ca="1">+'Historical Data'!G63/'Historical Data'!G62-1</f>
        <v>2.9775197260681896E-3</v>
      </c>
      <c r="H59" s="7">
        <f ca="1">+'Historical Data'!H63/'Historical Data'!H62-1</f>
        <v>7.1417451545106037E-3</v>
      </c>
      <c r="I59" s="7">
        <f ca="1">+'Historical Data'!I63/'Historical Data'!I62-1</f>
        <v>7.7334919690659198E-3</v>
      </c>
      <c r="J59" s="7">
        <f ca="1">+'Historical Data'!J63/'Historical Data'!J62-1</f>
        <v>2.7699125938692726E-2</v>
      </c>
      <c r="K59" s="7">
        <f ca="1">+'Historical Data'!K63/'Historical Data'!K62-1</f>
        <v>1.2107101280558696E-2</v>
      </c>
      <c r="L59" s="7">
        <f ca="1">+'Historical Data'!L63/'Historical Data'!L62-1</f>
        <v>1.5503875968992276E-2</v>
      </c>
      <c r="M59" s="7">
        <f ca="1">+'Historical Data'!M63/'Historical Data'!M62-1</f>
        <v>-1.6619351786136716E-2</v>
      </c>
      <c r="N59" s="7">
        <f ca="1">+'Historical Data'!N63/'Historical Data'!N62-1</f>
        <v>3.5837821270633619E-2</v>
      </c>
      <c r="O59" s="7">
        <f ca="1">+'Historical Data'!O63/'Historical Data'!O62-1</f>
        <v>1.4708886618999051E-2</v>
      </c>
      <c r="P59" s="7">
        <f ca="1">+'Historical Data'!P63/'Historical Data'!P62-1</f>
        <v>4.0680275066484084E-2</v>
      </c>
    </row>
    <row r="60" spans="1:16" x14ac:dyDescent="0.25">
      <c r="A60" vm="895">
        <f ca="1"/>
        <v>45428</v>
      </c>
      <c r="B60" s="7">
        <f ca="1">+'Historical Data'!B64/'Historical Data'!B63-1</f>
        <v>4.8853382378297727E-3</v>
      </c>
      <c r="C60" s="7">
        <f ca="1">+'Historical Data'!C64/'Historical Data'!C63-1</f>
        <v>-1.26888542394753E-2</v>
      </c>
      <c r="D60" s="7">
        <f ca="1">+'Historical Data'!D64/'Historical Data'!D63-1</f>
        <v>-4.9399640729884675E-3</v>
      </c>
      <c r="E60" s="7">
        <f ca="1">+'Historical Data'!E64/'Historical Data'!E63-1</f>
        <v>-7.4280115055157525E-3</v>
      </c>
      <c r="F60" s="7">
        <f ca="1">+'Historical Data'!F64/'Historical Data'!F63-1</f>
        <v>8.1076211638941853E-3</v>
      </c>
      <c r="G60" s="7">
        <f ca="1">+'Historical Data'!G64/'Historical Data'!G63-1</f>
        <v>1.7812082529315987E-3</v>
      </c>
      <c r="H60" s="7">
        <f ca="1">+'Historical Data'!H64/'Historical Data'!H63-1</f>
        <v>7.1877113322385E-3</v>
      </c>
      <c r="I60" s="7">
        <f ca="1">+'Historical Data'!I64/'Historical Data'!I63-1</f>
        <v>-5.9875189745318691E-3</v>
      </c>
      <c r="J60" s="7">
        <f ca="1">+'Historical Data'!J64/'Historical Data'!J63-1</f>
        <v>-1.0781025395304455E-3</v>
      </c>
      <c r="K60" s="7">
        <f ca="1">+'Historical Data'!K64/'Historical Data'!K63-1</f>
        <v>-1.1502185415228849E-2</v>
      </c>
      <c r="L60" s="7">
        <f ca="1">+'Historical Data'!L64/'Historical Data'!L63-1</f>
        <v>3.4698126301180299E-3</v>
      </c>
      <c r="M60" s="7">
        <f ca="1">+'Historical Data'!M64/'Historical Data'!M63-1</f>
        <v>1.6900222529620423E-2</v>
      </c>
      <c r="N60" s="7">
        <f ca="1">+'Historical Data'!N64/'Historical Data'!N63-1</f>
        <v>-2.8637852689421539E-3</v>
      </c>
      <c r="O60" s="7">
        <f ca="1">+'Historical Data'!O64/'Historical Data'!O63-1</f>
        <v>-2.67767263942017E-2</v>
      </c>
      <c r="P60" s="7">
        <f ca="1">+'Historical Data'!P64/'Historical Data'!P63-1</f>
        <v>-1.6738965442809617E-2</v>
      </c>
    </row>
    <row r="61" spans="1:16" x14ac:dyDescent="0.25">
      <c r="A61" vm="910">
        <f ca="1"/>
        <v>45429</v>
      </c>
      <c r="B61" s="7">
        <f ca="1">+'Historical Data'!B65/'Historical Data'!B64-1</f>
        <v>1.4985129261038788E-2</v>
      </c>
      <c r="C61" s="7">
        <f ca="1">+'Historical Data'!C65/'Historical Data'!C64-1</f>
        <v>5.8269345967434383E-3</v>
      </c>
      <c r="D61" s="7">
        <f ca="1">+'Historical Data'!D65/'Historical Data'!D64-1</f>
        <v>-1.8527756003706708E-3</v>
      </c>
      <c r="E61" s="7">
        <f ca="1">+'Historical Data'!E65/'Historical Data'!E64-1</f>
        <v>-5.1589070759824329E-3</v>
      </c>
      <c r="F61" s="7">
        <f ca="1">+'Historical Data'!F65/'Historical Data'!F64-1</f>
        <v>-1.310615989515207E-3</v>
      </c>
      <c r="G61" s="7">
        <f ca="1">+'Historical Data'!G65/'Historical Data'!G64-1</f>
        <v>1.1458487677186602E-2</v>
      </c>
      <c r="H61" s="7">
        <f ca="1">+'Historical Data'!H65/'Historical Data'!H64-1</f>
        <v>6.4457958447636798E-3</v>
      </c>
      <c r="I61" s="7">
        <f ca="1">+'Historical Data'!I65/'Historical Data'!I64-1</f>
        <v>1.5016543649783554E-2</v>
      </c>
      <c r="J61" s="7">
        <f ca="1">+'Historical Data'!J65/'Historical Data'!J64-1</f>
        <v>4.3170643962104904E-3</v>
      </c>
      <c r="K61" s="7">
        <f ca="1">+'Historical Data'!K65/'Historical Data'!K64-1</f>
        <v>5.8180125669071714E-3</v>
      </c>
      <c r="L61" s="7">
        <f ca="1">+'Historical Data'!L65/'Historical Data'!L64-1</f>
        <v>-9.6818810511757336E-3</v>
      </c>
      <c r="M61" s="7">
        <f ca="1">+'Historical Data'!M65/'Historical Data'!M64-1</f>
        <v>2.5431748284834299E-3</v>
      </c>
      <c r="N61" s="7">
        <f ca="1">+'Historical Data'!N65/'Historical Data'!N64-1</f>
        <v>-1.9923907629372906E-2</v>
      </c>
      <c r="O61" s="7">
        <f ca="1">+'Historical Data'!O65/'Historical Data'!O64-1</f>
        <v>-3.5167563094745669E-3</v>
      </c>
      <c r="P61" s="7">
        <f ca="1">+'Historical Data'!P65/'Historical Data'!P64-1</f>
        <v>-1.1925247675497297E-2</v>
      </c>
    </row>
    <row r="62" spans="1:16" x14ac:dyDescent="0.25">
      <c r="A62" vm="925">
        <f ca="1"/>
        <v>45432</v>
      </c>
      <c r="B62" s="7">
        <f ca="1">+'Historical Data'!B66/'Historical Data'!B65-1</f>
        <v>-1.4144032458018763E-2</v>
      </c>
      <c r="C62" s="7">
        <f ca="1">+'Historical Data'!C66/'Historical Data'!C65-1</f>
        <v>-6.2804547915538134E-3</v>
      </c>
      <c r="D62" s="7">
        <f ca="1">+'Historical Data'!D66/'Historical Data'!D65-1</f>
        <v>1.2208181623474035E-2</v>
      </c>
      <c r="E62" s="7">
        <f ca="1">+'Historical Data'!E66/'Historical Data'!E65-1</f>
        <v>-9.5390524967988721E-3</v>
      </c>
      <c r="F62" s="7">
        <f ca="1">+'Historical Data'!F66/'Historical Data'!F65-1</f>
        <v>-1.9685039370077595E-3</v>
      </c>
      <c r="G62" s="7">
        <f ca="1">+'Historical Data'!G66/'Historical Data'!G65-1</f>
        <v>-4.4972899067337146E-2</v>
      </c>
      <c r="H62" s="7">
        <f ca="1">+'Historical Data'!H66/'Historical Data'!H65-1</f>
        <v>-1.4105178887978131E-2</v>
      </c>
      <c r="I62" s="7">
        <f ca="1">+'Historical Data'!I66/'Historical Data'!I65-1</f>
        <v>-8.1076563022400849E-3</v>
      </c>
      <c r="J62" s="7">
        <f ca="1">+'Historical Data'!J66/'Historical Data'!J65-1</f>
        <v>-1.9104477611939785E-3</v>
      </c>
      <c r="K62" s="7">
        <f ca="1">+'Historical Data'!K66/'Historical Data'!K65-1</f>
        <v>1.0411846367422539E-2</v>
      </c>
      <c r="L62" s="7">
        <f ca="1">+'Historical Data'!L66/'Historical Data'!L65-1</f>
        <v>-3.840782122905062E-3</v>
      </c>
      <c r="M62" s="7">
        <f ca="1">+'Historical Data'!M66/'Historical Data'!M65-1</f>
        <v>-9.7339390006487836E-3</v>
      </c>
      <c r="N62" s="7">
        <f ca="1">+'Historical Data'!N66/'Historical Data'!N65-1</f>
        <v>2.4881324408784655E-2</v>
      </c>
      <c r="O62" s="7">
        <f ca="1">+'Historical Data'!O66/'Historical Data'!O65-1</f>
        <v>-2.1590201370147333E-2</v>
      </c>
      <c r="P62" s="7">
        <f ca="1">+'Historical Data'!P66/'Historical Data'!P65-1</f>
        <v>1.3430899669602647E-2</v>
      </c>
    </row>
    <row r="63" spans="1:16" x14ac:dyDescent="0.25">
      <c r="A63" vm="940">
        <f ca="1"/>
        <v>45433</v>
      </c>
      <c r="B63" s="7">
        <f ca="1">+'Historical Data'!B67/'Historical Data'!B66-1</f>
        <v>6.659045441554734E-2</v>
      </c>
      <c r="C63" s="7">
        <f ca="1">+'Historical Data'!C67/'Historical Data'!C66-1</f>
        <v>-2.1248774109184909E-3</v>
      </c>
      <c r="D63" s="7">
        <f ca="1">+'Historical Data'!D67/'Historical Data'!D66-1</f>
        <v>8.6989232143697137E-3</v>
      </c>
      <c r="E63" s="7">
        <f ca="1">+'Historical Data'!E67/'Historical Data'!E66-1</f>
        <v>1.7452006980802626E-3</v>
      </c>
      <c r="F63" s="7">
        <f ca="1">+'Historical Data'!F67/'Historical Data'!F66-1</f>
        <v>6.2160062160061536E-3</v>
      </c>
      <c r="G63" s="7">
        <f ca="1">+'Historical Data'!G67/'Historical Data'!G66-1</f>
        <v>2.0145209121587015E-2</v>
      </c>
      <c r="H63" s="7">
        <f ca="1">+'Historical Data'!H67/'Historical Data'!H66-1</f>
        <v>1.2218935483247151E-2</v>
      </c>
      <c r="I63" s="7">
        <f ca="1">+'Historical Data'!I67/'Historical Data'!I66-1</f>
        <v>-6.9099182607230691E-3</v>
      </c>
      <c r="J63" s="7">
        <f ca="1">+'Historical Data'!J67/'Historical Data'!J66-1</f>
        <v>-1.9021414044742224E-2</v>
      </c>
      <c r="K63" s="7">
        <f ca="1">+'Historical Data'!K67/'Historical Data'!K66-1</f>
        <v>5.0377833753147971E-3</v>
      </c>
      <c r="L63" s="7">
        <f ca="1">+'Historical Data'!L67/'Historical Data'!L66-1</f>
        <v>1.051524710830698E-3</v>
      </c>
      <c r="M63" s="7">
        <f ca="1">+'Historical Data'!M67/'Historical Data'!M66-1</f>
        <v>1.9659239842724219E-3</v>
      </c>
      <c r="N63" s="7">
        <f ca="1">+'Historical Data'!N67/'Historical Data'!N66-1</f>
        <v>6.3937539565308565E-3</v>
      </c>
      <c r="O63" s="7">
        <f ca="1">+'Historical Data'!O67/'Historical Data'!O66-1</f>
        <v>-4.031402503713255E-3</v>
      </c>
      <c r="P63" s="7">
        <f ca="1">+'Historical Data'!P67/'Historical Data'!P66-1</f>
        <v>-1.0487754856686293E-2</v>
      </c>
    </row>
    <row r="64" spans="1:16" x14ac:dyDescent="0.25">
      <c r="A64" vm="954">
        <f ca="1"/>
        <v>45434</v>
      </c>
      <c r="B64" s="7">
        <f ca="1">+'Historical Data'!B68/'Historical Data'!B67-1</f>
        <v>-3.478027867095379E-2</v>
      </c>
      <c r="C64" s="7">
        <f ca="1">+'Historical Data'!C68/'Historical Data'!C67-1</f>
        <v>-1.0920010920012491E-4</v>
      </c>
      <c r="D64" s="7">
        <f ca="1">+'Historical Data'!D68/'Historical Data'!D67-1</f>
        <v>3.4495618124184002E-3</v>
      </c>
      <c r="E64" s="7">
        <f ca="1">+'Historical Data'!E68/'Historical Data'!E67-1</f>
        <v>-8.8398503032647291E-3</v>
      </c>
      <c r="F64" s="7">
        <f ca="1">+'Historical Data'!F68/'Historical Data'!F67-1</f>
        <v>-3.2076032076031602E-3</v>
      </c>
      <c r="G64" s="7">
        <f ca="1">+'Historical Data'!G68/'Historical Data'!G67-1</f>
        <v>-6.0645549318364411E-3</v>
      </c>
      <c r="H64" s="7">
        <f ca="1">+'Historical Data'!H68/'Historical Data'!H67-1</f>
        <v>-4.2020819405976795E-3</v>
      </c>
      <c r="I64" s="7">
        <f ca="1">+'Historical Data'!I68/'Historical Data'!I67-1</f>
        <v>-2.0110309715740238E-2</v>
      </c>
      <c r="J64" s="7">
        <f ca="1">+'Historical Data'!J68/'Historical Data'!J67-1</f>
        <v>-9.024390243902447E-3</v>
      </c>
      <c r="K64" s="7">
        <f ca="1">+'Historical Data'!K68/'Historical Data'!K67-1</f>
        <v>-1.4809751651856828E-2</v>
      </c>
      <c r="L64" s="7">
        <f ca="1">+'Historical Data'!L68/'Historical Data'!L67-1</f>
        <v>3.6414565826330625E-2</v>
      </c>
      <c r="M64" s="7">
        <f ca="1">+'Historical Data'!M68/'Historical Data'!M67-1</f>
        <v>-1.2010226529520218E-2</v>
      </c>
      <c r="N64" s="7">
        <f ca="1">+'Historical Data'!N68/'Historical Data'!N67-1</f>
        <v>-4.5709013901410467E-3</v>
      </c>
      <c r="O64" s="7">
        <f ca="1">+'Historical Data'!O68/'Historical Data'!O67-1</f>
        <v>1.043885811674472E-2</v>
      </c>
      <c r="P64" s="7">
        <f ca="1">+'Historical Data'!P68/'Historical Data'!P67-1</f>
        <v>-4.9742710120068701E-3</v>
      </c>
    </row>
    <row r="65" spans="1:16" x14ac:dyDescent="0.25">
      <c r="A65" vm="970">
        <f ca="1"/>
        <v>45435</v>
      </c>
      <c r="B65" s="7">
        <f ca="1">+'Historical Data'!B69/'Historical Data'!B68-1</f>
        <v>-3.5367275553828237E-2</v>
      </c>
      <c r="C65" s="7">
        <f ca="1">+'Historical Data'!C69/'Historical Data'!C68-1</f>
        <v>-1.1358051657292534E-2</v>
      </c>
      <c r="D65" s="7">
        <f ca="1">+'Historical Data'!D69/'Historical Data'!D68-1</f>
        <v>-8.1761590634581438E-3</v>
      </c>
      <c r="E65" s="7">
        <f ca="1">+'Historical Data'!E69/'Historical Data'!E68-1</f>
        <v>-1.3443135212551471E-2</v>
      </c>
      <c r="F65" s="7">
        <f ca="1">+'Historical Data'!F69/'Historical Data'!F68-1</f>
        <v>-1.3825159406471554E-2</v>
      </c>
      <c r="G65" s="7">
        <f ca="1">+'Historical Data'!G69/'Historical Data'!G68-1</f>
        <v>-7.0092279764006893E-3</v>
      </c>
      <c r="H65" s="7">
        <f ca="1">+'Historical Data'!H69/'Historical Data'!H68-1</f>
        <v>-8.6697995588376209E-3</v>
      </c>
      <c r="I65" s="7">
        <f ca="1">+'Historical Data'!I69/'Historical Data'!I68-1</f>
        <v>-1.7059231035677191E-2</v>
      </c>
      <c r="J65" s="7">
        <f ca="1">+'Historical Data'!J69/'Historical Data'!J68-1</f>
        <v>-5.6608417425546564E-3</v>
      </c>
      <c r="K65" s="7">
        <f ca="1">+'Historical Data'!K69/'Historical Data'!K68-1</f>
        <v>2.3126734505085622E-4</v>
      </c>
      <c r="L65" s="7">
        <f ca="1">+'Historical Data'!L69/'Historical Data'!L68-1</f>
        <v>-3.074324324324329E-2</v>
      </c>
      <c r="M65" s="7">
        <f ca="1">+'Historical Data'!M69/'Historical Data'!M68-1</f>
        <v>-1.3058915568393781E-2</v>
      </c>
      <c r="N65" s="7">
        <f ca="1">+'Historical Data'!N69/'Historical Data'!N68-1</f>
        <v>9.3196419167983269E-2</v>
      </c>
      <c r="O65" s="7">
        <f ca="1">+'Historical Data'!O69/'Historical Data'!O68-1</f>
        <v>-1.749947290744247E-2</v>
      </c>
      <c r="P65" s="7">
        <f ca="1">+'Historical Data'!P69/'Historical Data'!P68-1</f>
        <v>7.5418031373919447E-4</v>
      </c>
    </row>
    <row r="66" spans="1:16" x14ac:dyDescent="0.25">
      <c r="A66" vm="986">
        <f ca="1"/>
        <v>45436</v>
      </c>
      <c r="B66" s="7">
        <f ca="1">+'Historical Data'!B70/'Historical Data'!B69-1</f>
        <v>3.1656498215724582E-2</v>
      </c>
      <c r="C66" s="7">
        <f ca="1">+'Historical Data'!C70/'Historical Data'!C69-1</f>
        <v>-1.65700082850051E-3</v>
      </c>
      <c r="D66" s="7">
        <f ca="1">+'Historical Data'!D70/'Historical Data'!D69-1</f>
        <v>7.4004683840749319E-3</v>
      </c>
      <c r="E66" s="7">
        <f ca="1">+'Historical Data'!E70/'Historical Data'!E69-1</f>
        <v>5.7738625490777462E-3</v>
      </c>
      <c r="F66" s="7">
        <f ca="1">+'Historical Data'!F70/'Historical Data'!F69-1</f>
        <v>-9.6682579007789649E-4</v>
      </c>
      <c r="G66" s="7">
        <f ca="1">+'Historical Data'!G70/'Historical Data'!G69-1</f>
        <v>1.9246394474913719E-2</v>
      </c>
      <c r="H66" s="7">
        <f ca="1">+'Historical Data'!H70/'Historical Data'!H69-1</f>
        <v>-1.6755993266644786E-2</v>
      </c>
      <c r="I66" s="7">
        <f ca="1">+'Historical Data'!I70/'Historical Data'!I69-1</f>
        <v>-7.9288168443314433E-4</v>
      </c>
      <c r="J66" s="7">
        <f ca="1">+'Historical Data'!J70/'Historical Data'!J69-1</f>
        <v>-6.311881188118873E-3</v>
      </c>
      <c r="K66" s="7">
        <f ca="1">+'Historical Data'!K70/'Historical Data'!K69-1</f>
        <v>-3.4682080924854919E-3</v>
      </c>
      <c r="L66" s="7">
        <f ca="1">+'Historical Data'!L70/'Historical Data'!L69-1</f>
        <v>6.6225165562912025E-3</v>
      </c>
      <c r="M66" s="7">
        <f ca="1">+'Historical Data'!M70/'Historical Data'!M69-1</f>
        <v>5.1219512195121997E-3</v>
      </c>
      <c r="N66" s="7">
        <f ca="1">+'Historical Data'!N70/'Historical Data'!N69-1</f>
        <v>2.572279116369125E-2</v>
      </c>
      <c r="O66" s="7">
        <f ca="1">+'Historical Data'!O70/'Historical Data'!O69-1</f>
        <v>-3.8626609442059534E-3</v>
      </c>
      <c r="P66" s="7">
        <f ca="1">+'Historical Data'!P70/'Historical Data'!P69-1</f>
        <v>1.0442908511508531E-2</v>
      </c>
    </row>
    <row r="67" spans="1:16" x14ac:dyDescent="0.25">
      <c r="A67" vm="1002">
        <f ca="1"/>
        <v>45440</v>
      </c>
      <c r="B67" s="7">
        <f ca="1">+'Historical Data'!B71/'Historical Data'!B70-1</f>
        <v>-1.3891988395447474E-2</v>
      </c>
      <c r="C67" s="7">
        <f ca="1">+'Historical Data'!C71/'Historical Data'!C70-1</f>
        <v>7.7455048409404981E-3</v>
      </c>
      <c r="D67" s="7">
        <f ca="1">+'Historical Data'!D71/'Historical Data'!D70-1</f>
        <v>3.7195462153616354E-4</v>
      </c>
      <c r="E67" s="7">
        <f ca="1">+'Historical Data'!E71/'Historical Data'!E70-1</f>
        <v>-1.0202073218737562E-2</v>
      </c>
      <c r="F67" s="7">
        <f ca="1">+'Historical Data'!F71/'Historical Data'!F70-1</f>
        <v>-1.3427690074396703E-2</v>
      </c>
      <c r="G67" s="7">
        <f ca="1">+'Historical Data'!G71/'Historical Data'!G70-1</f>
        <v>-6.0285984754123723E-3</v>
      </c>
      <c r="H67" s="7">
        <f ca="1">+'Historical Data'!H71/'Historical Data'!H70-1</f>
        <v>-8.8356258732313897E-3</v>
      </c>
      <c r="I67" s="7">
        <f ca="1">+'Historical Data'!I71/'Historical Data'!I70-1</f>
        <v>1.2696173514371356E-2</v>
      </c>
      <c r="J67" s="7">
        <f ca="1">+'Historical Data'!J71/'Historical Data'!J70-1</f>
        <v>-5.2310374891020306E-3</v>
      </c>
      <c r="K67" s="7">
        <f ca="1">+'Historical Data'!K71/'Historical Data'!K70-1</f>
        <v>-5.5684454756380619E-3</v>
      </c>
      <c r="L67" s="7">
        <f ca="1">+'Historical Data'!L71/'Historical Data'!L70-1</f>
        <v>-2.0083102493074767E-2</v>
      </c>
      <c r="M67" s="7">
        <f ca="1">+'Historical Data'!M71/'Historical Data'!M70-1</f>
        <v>-1.0313030817763469E-3</v>
      </c>
      <c r="N67" s="7">
        <f ca="1">+'Historical Data'!N71/'Historical Data'!N70-1</f>
        <v>6.9804356197578743E-2</v>
      </c>
      <c r="O67" s="7">
        <f ca="1">+'Historical Data'!O71/'Historical Data'!O70-1</f>
        <v>-3.0159414045669575E-3</v>
      </c>
      <c r="P67" s="7">
        <f ca="1">+'Historical Data'!P71/'Historical Data'!P70-1</f>
        <v>3.2745198317991608E-3</v>
      </c>
    </row>
    <row r="68" spans="1:16" x14ac:dyDescent="0.25">
      <c r="A68" vm="1018">
        <f ca="1"/>
        <v>45441</v>
      </c>
      <c r="B68" s="7">
        <f ca="1">+'Historical Data'!B72/'Historical Data'!B71-1</f>
        <v>-3.1683168316831711E-3</v>
      </c>
      <c r="C68" s="7">
        <f ca="1">+'Historical Data'!C72/'Historical Data'!C71-1</f>
        <v>-7.1369750205874105E-4</v>
      </c>
      <c r="D68" s="7">
        <f ca="1">+'Historical Data'!D72/'Historical Data'!D71-1</f>
        <v>-2.6724298196689755E-3</v>
      </c>
      <c r="E68" s="7">
        <f ca="1">+'Historical Data'!E72/'Historical Data'!E71-1</f>
        <v>-1.4251151691910047E-2</v>
      </c>
      <c r="F68" s="7">
        <f ca="1">+'Historical Data'!F72/'Historical Data'!F71-1</f>
        <v>-8.9510146526884382E-3</v>
      </c>
      <c r="G68" s="7">
        <f ca="1">+'Historical Data'!G72/'Historical Data'!G71-1</f>
        <v>-6.9674185463658445E-3</v>
      </c>
      <c r="H68" s="7">
        <f ca="1">+'Historical Data'!H72/'Historical Data'!H71-1</f>
        <v>-3.7642947903430701E-2</v>
      </c>
      <c r="I68" s="7">
        <f ca="1">+'Historical Data'!I72/'Historical Data'!I71-1</f>
        <v>-1.0708688838586111E-2</v>
      </c>
      <c r="J68" s="7">
        <f ca="1">+'Historical Data'!J72/'Historical Data'!J71-1</f>
        <v>-1.7778890697383254E-2</v>
      </c>
      <c r="K68" s="7">
        <f ca="1">+'Historical Data'!K72/'Historical Data'!K71-1</f>
        <v>-1.1665888940737279E-2</v>
      </c>
      <c r="L68" s="7">
        <f ca="1">+'Historical Data'!L72/'Historical Data'!L71-1</f>
        <v>-1.6961130742049524E-2</v>
      </c>
      <c r="M68" s="7">
        <f ca="1">+'Historical Data'!M72/'Historical Data'!M71-1</f>
        <v>-7.1051193295681436E-3</v>
      </c>
      <c r="N68" s="7">
        <f ca="1">+'Historical Data'!N72/'Historical Data'!N71-1</f>
        <v>8.1123080569969197E-3</v>
      </c>
      <c r="O68" s="7">
        <f ca="1">+'Historical Data'!O72/'Historical Data'!O71-1</f>
        <v>-4.321521175453813E-3</v>
      </c>
      <c r="P68" s="7">
        <f ca="1">+'Historical Data'!P72/'Historical Data'!P71-1</f>
        <v>-1.5420014867782883E-2</v>
      </c>
    </row>
    <row r="69" spans="1:16" x14ac:dyDescent="0.25">
      <c r="A69" vm="1034">
        <f ca="1"/>
        <v>45442</v>
      </c>
      <c r="B69" s="7">
        <f ca="1">+'Historical Data'!B73/'Historical Data'!B72-1</f>
        <v>1.4756796639990855E-2</v>
      </c>
      <c r="C69" s="7">
        <f ca="1">+'Historical Data'!C73/'Historical Data'!C72-1</f>
        <v>-1.4833534776398261E-2</v>
      </c>
      <c r="D69" s="7">
        <f ca="1">+'Historical Data'!D73/'Historical Data'!D72-1</f>
        <v>-3.3786145350327423E-2</v>
      </c>
      <c r="E69" s="7">
        <f ca="1">+'Historical Data'!E73/'Historical Data'!E72-1</f>
        <v>1.5533066603906853E-2</v>
      </c>
      <c r="F69" s="7">
        <f ca="1">+'Historical Data'!F73/'Historical Data'!F72-1</f>
        <v>5.7531704299411679E-3</v>
      </c>
      <c r="G69" s="7">
        <f ca="1">+'Historical Data'!G73/'Historical Data'!G72-1</f>
        <v>6.1581949422038207E-3</v>
      </c>
      <c r="H69" s="7">
        <f ca="1">+'Historical Data'!H73/'Historical Data'!H72-1</f>
        <v>-6.3335533916488718E-3</v>
      </c>
      <c r="I69" s="7">
        <f ca="1">+'Historical Data'!I73/'Historical Data'!I72-1</f>
        <v>3.1681774179352917E-3</v>
      </c>
      <c r="J69" s="7">
        <f ca="1">+'Historical Data'!J73/'Historical Data'!J72-1</f>
        <v>2.9827915869981014E-2</v>
      </c>
      <c r="K69" s="7">
        <f ca="1">+'Historical Data'!K73/'Historical Data'!K72-1</f>
        <v>1.2983947119924455E-2</v>
      </c>
      <c r="L69" s="7">
        <f ca="1">+'Historical Data'!L73/'Historical Data'!L72-1</f>
        <v>1.3659237958303372E-2</v>
      </c>
      <c r="M69" s="7">
        <f ca="1">+'Historical Data'!M73/'Historical Data'!M72-1</f>
        <v>9.051987767584091E-3</v>
      </c>
      <c r="N69" s="7">
        <f ca="1">+'Historical Data'!N73/'Historical Data'!N72-1</f>
        <v>-3.7666013498802497E-2</v>
      </c>
      <c r="O69" s="7">
        <f ca="1">+'Historical Data'!O73/'Historical Data'!O72-1</f>
        <v>8.6805555555558023E-4</v>
      </c>
      <c r="P69" s="7">
        <f ca="1">+'Historical Data'!P73/'Historical Data'!P72-1</f>
        <v>-1.9120280152732261E-2</v>
      </c>
    </row>
    <row r="70" spans="1:16" x14ac:dyDescent="0.25">
      <c r="A70" vm="1050">
        <f ca="1"/>
        <v>45443</v>
      </c>
      <c r="B70" s="7">
        <f ca="1">+'Historical Data'!B74/'Historical Data'!B73-1</f>
        <v>-3.9711393254655558E-3</v>
      </c>
      <c r="C70" s="7">
        <f ca="1">+'Historical Data'!C74/'Historical Data'!C73-1</f>
        <v>-1.6060673656033919E-2</v>
      </c>
      <c r="D70" s="7">
        <f ca="1">+'Historical Data'!D74/'Historical Data'!D73-1</f>
        <v>1.1093158415125259E-3</v>
      </c>
      <c r="E70" s="7">
        <f ca="1">+'Historical Data'!E74/'Historical Data'!E73-1</f>
        <v>5.7937427578216294E-3</v>
      </c>
      <c r="F70" s="7">
        <f ca="1">+'Historical Data'!F74/'Historical Data'!F73-1</f>
        <v>1.2055603395251469E-2</v>
      </c>
      <c r="G70" s="7">
        <f ca="1">+'Historical Data'!G74/'Historical Data'!G73-1</f>
        <v>1.6555460793658661E-2</v>
      </c>
      <c r="H70" s="7">
        <f ca="1">+'Historical Data'!H74/'Historical Data'!H73-1</f>
        <v>2.8485414720232693E-2</v>
      </c>
      <c r="I70" s="7">
        <f ca="1">+'Historical Data'!I74/'Historical Data'!I73-1</f>
        <v>2.8686726905869042E-2</v>
      </c>
      <c r="J70" s="7">
        <f ca="1">+'Historical Data'!J74/'Historical Data'!J73-1</f>
        <v>1.9185542765193686E-2</v>
      </c>
      <c r="K70" s="7">
        <f ca="1">+'Historical Data'!K74/'Historical Data'!K73-1</f>
        <v>-9.7879282218595876E-3</v>
      </c>
      <c r="L70" s="7">
        <f ca="1">+'Historical Data'!L74/'Historical Data'!L73-1</f>
        <v>1.6312056737588732E-2</v>
      </c>
      <c r="M70" s="7">
        <f ca="1">+'Historical Data'!M74/'Historical Data'!M73-1</f>
        <v>1.5395805552188335E-2</v>
      </c>
      <c r="N70" s="7">
        <f ca="1">+'Historical Data'!N74/'Historical Data'!N73-1</f>
        <v>-7.846153846153836E-3</v>
      </c>
      <c r="O70" s="7">
        <f ca="1">+'Historical Data'!O74/'Historical Data'!O73-1</f>
        <v>8.2393755420642201E-3</v>
      </c>
      <c r="P70" s="7">
        <f ca="1">+'Historical Data'!P74/'Historical Data'!P73-1</f>
        <v>-2.6046859421734792E-2</v>
      </c>
    </row>
    <row r="71" spans="1:16" x14ac:dyDescent="0.25">
      <c r="A71" vm="1066">
        <f ca="1"/>
        <v>45446</v>
      </c>
      <c r="B71" s="7">
        <f ca="1">+'Historical Data'!B75/'Historical Data'!B74-1</f>
        <v>-1.0051662174303755E-2</v>
      </c>
      <c r="C71" s="7">
        <f ca="1">+'Historical Data'!C75/'Historical Data'!C74-1</f>
        <v>1.0768533212423437E-2</v>
      </c>
      <c r="D71" s="7">
        <f ca="1">+'Historical Data'!D75/'Historical Data'!D74-1</f>
        <v>-3.8783031821357783E-3</v>
      </c>
      <c r="E71" s="7">
        <f ca="1">+'Historical Data'!E75/'Historical Data'!E74-1</f>
        <v>-5.8262014483213553E-3</v>
      </c>
      <c r="F71" s="7">
        <f ca="1">+'Historical Data'!F75/'Historical Data'!F74-1</f>
        <v>6.6853044852321908E-4</v>
      </c>
      <c r="G71" s="7">
        <f ca="1">+'Historical Data'!G75/'Historical Data'!G74-1</f>
        <v>-3.9974337462369558E-3</v>
      </c>
      <c r="H71" s="7">
        <f ca="1">+'Historical Data'!H75/'Historical Data'!H74-1</f>
        <v>4.1786947130426633E-3</v>
      </c>
      <c r="I71" s="7">
        <f ca="1">+'Historical Data'!I75/'Historical Data'!I74-1</f>
        <v>-2.3963841037011768E-2</v>
      </c>
      <c r="J71" s="7">
        <f ca="1">+'Historical Data'!J75/'Historical Data'!J74-1</f>
        <v>1.5302404663589897E-2</v>
      </c>
      <c r="K71" s="7">
        <f ca="1">+'Historical Data'!K75/'Historical Data'!K74-1</f>
        <v>-2.1181454459873184E-3</v>
      </c>
      <c r="L71" s="7">
        <f ca="1">+'Historical Data'!L75/'Historical Data'!L74-1</f>
        <v>2.2679692951849129E-2</v>
      </c>
      <c r="M71" s="7">
        <f ca="1">+'Historical Data'!M75/'Historical Data'!M74-1</f>
        <v>-2.0296084049665764E-2</v>
      </c>
      <c r="N71" s="7">
        <f ca="1">+'Historical Data'!N75/'Historical Data'!N74-1</f>
        <v>4.8954238231189606E-2</v>
      </c>
      <c r="O71" s="7">
        <f ca="1">+'Historical Data'!O75/'Historical Data'!O74-1</f>
        <v>3.225806451612856E-3</v>
      </c>
      <c r="P71" s="7">
        <f ca="1">+'Historical Data'!P75/'Historical Data'!P74-1</f>
        <v>-5.0054570772646301E-3</v>
      </c>
    </row>
    <row r="72" spans="1:16" x14ac:dyDescent="0.25">
      <c r="A72" vm="1082">
        <f ca="1"/>
        <v>45447</v>
      </c>
      <c r="B72" s="7">
        <f ca="1">+'Historical Data'!B76/'Historical Data'!B75-1</f>
        <v>-8.6221566736626176E-3</v>
      </c>
      <c r="C72" s="7">
        <f ca="1">+'Historical Data'!C76/'Historical Data'!C75-1</f>
        <v>5.6072670180553619E-3</v>
      </c>
      <c r="D72" s="7">
        <f ca="1">+'Historical Data'!D76/'Historical Data'!D75-1</f>
        <v>6.1665699361579396E-3</v>
      </c>
      <c r="E72" s="7">
        <f ca="1">+'Historical Data'!E76/'Historical Data'!E75-1</f>
        <v>1.2614640929708987E-2</v>
      </c>
      <c r="F72" s="7">
        <f ca="1">+'Historical Data'!F76/'Historical Data'!F75-1</f>
        <v>1.4333434558153613E-2</v>
      </c>
      <c r="G72" s="7">
        <f ca="1">+'Historical Data'!G76/'Historical Data'!G75-1</f>
        <v>-1.3180061440887902E-2</v>
      </c>
      <c r="H72" s="7">
        <f ca="1">+'Historical Data'!H76/'Historical Data'!H75-1</f>
        <v>1.6182856223866171E-2</v>
      </c>
      <c r="I72" s="7">
        <f ca="1">+'Historical Data'!I76/'Historical Data'!I75-1</f>
        <v>-1.5552643075578909E-2</v>
      </c>
      <c r="J72" s="7">
        <f ca="1">+'Historical Data'!J76/'Historical Data'!J75-1</f>
        <v>2.906698564593313E-2</v>
      </c>
      <c r="K72" s="7">
        <f ca="1">+'Historical Data'!K76/'Historical Data'!K75-1</f>
        <v>-1.6745283018867907E-2</v>
      </c>
      <c r="L72" s="7">
        <f ca="1">+'Historical Data'!L76/'Historical Data'!L75-1</f>
        <v>6.1412487205732003E-3</v>
      </c>
      <c r="M72" s="7">
        <f ca="1">+'Historical Data'!M76/'Historical Data'!M75-1</f>
        <v>-4.2651718254936855E-3</v>
      </c>
      <c r="N72" s="7">
        <f ca="1">+'Historical Data'!N76/'Historical Data'!N75-1</f>
        <v>1.2495652173913019E-2</v>
      </c>
      <c r="O72" s="7">
        <f ca="1">+'Historical Data'!O76/'Historical Data'!O75-1</f>
        <v>1.6505894962486778E-2</v>
      </c>
      <c r="P72" s="7">
        <f ca="1">+'Historical Data'!P76/'Historical Data'!P75-1</f>
        <v>6.7478629245782962E-3</v>
      </c>
    </row>
    <row r="73" spans="1:16" x14ac:dyDescent="0.25">
      <c r="A73" vm="1098">
        <f ca="1"/>
        <v>45448</v>
      </c>
      <c r="B73" s="7">
        <f ca="1">+'Historical Data'!B77/'Historical Data'!B76-1</f>
        <v>1.3160153344395908E-3</v>
      </c>
      <c r="C73" s="7">
        <f ca="1">+'Historical Data'!C77/'Historical Data'!C76-1</f>
        <v>1.0817441730790689E-2</v>
      </c>
      <c r="D73" s="7">
        <f ca="1">+'Historical Data'!D77/'Historical Data'!D76-1</f>
        <v>1.908332732472906E-2</v>
      </c>
      <c r="E73" s="7">
        <f ca="1">+'Historical Data'!E77/'Historical Data'!E76-1</f>
        <v>7.8145435521843609E-3</v>
      </c>
      <c r="F73" s="7">
        <f ca="1">+'Historical Data'!F77/'Historical Data'!F76-1</f>
        <v>-5.7481587928864819E-3</v>
      </c>
      <c r="G73" s="7">
        <f ca="1">+'Historical Data'!G77/'Historical Data'!G76-1</f>
        <v>-9.5400682868046482E-3</v>
      </c>
      <c r="H73" s="7">
        <f ca="1">+'Historical Data'!H77/'Historical Data'!H76-1</f>
        <v>-4.6885200498526514E-3</v>
      </c>
      <c r="I73" s="7">
        <f ca="1">+'Historical Data'!I77/'Historical Data'!I76-1</f>
        <v>3.9939646756013136E-3</v>
      </c>
      <c r="J73" s="7">
        <f ca="1">+'Historical Data'!J77/'Historical Data'!J76-1</f>
        <v>7.0905498082063367E-3</v>
      </c>
      <c r="K73" s="7">
        <f ca="1">+'Historical Data'!K77/'Historical Data'!K76-1</f>
        <v>2.3986567522205071E-4</v>
      </c>
      <c r="L73" s="7">
        <f ca="1">+'Historical Data'!L77/'Historical Data'!L76-1</f>
        <v>2.0345879959309254E-3</v>
      </c>
      <c r="M73" s="7">
        <f ca="1">+'Historical Data'!M77/'Historical Data'!M76-1</f>
        <v>-7.3430424672604744E-4</v>
      </c>
      <c r="N73" s="7">
        <f ca="1">+'Historical Data'!N77/'Historical Data'!N76-1</f>
        <v>5.1555776943754905E-2</v>
      </c>
      <c r="O73" s="7">
        <f ca="1">+'Historical Data'!O77/'Historical Data'!O76-1</f>
        <v>-2.9523407844791238E-2</v>
      </c>
      <c r="P73" s="7">
        <f ca="1">+'Historical Data'!P77/'Historical Data'!P76-1</f>
        <v>6.1819028869418924E-2</v>
      </c>
    </row>
    <row r="74" spans="1:16" x14ac:dyDescent="0.25">
      <c r="A74" vm="1112">
        <f ca="1"/>
        <v>45449</v>
      </c>
      <c r="B74" s="7">
        <f ca="1">+'Historical Data'!B78/'Historical Data'!B77-1</f>
        <v>1.6799999999999926E-2</v>
      </c>
      <c r="C74" s="7">
        <f ca="1">+'Historical Data'!C78/'Historical Data'!C77-1</f>
        <v>2.0520741394527864E-2</v>
      </c>
      <c r="D74" s="7">
        <f ca="1">+'Historical Data'!D78/'Historical Data'!D77-1</f>
        <v>1.2028018207117519E-3</v>
      </c>
      <c r="E74" s="7">
        <f ca="1">+'Historical Data'!E78/'Historical Data'!E77-1</f>
        <v>-1.3528858320085657E-2</v>
      </c>
      <c r="F74" s="7">
        <f ca="1">+'Historical Data'!F78/'Historical Data'!F77-1</f>
        <v>1.457392351701281E-2</v>
      </c>
      <c r="G74" s="7">
        <f ca="1">+'Historical Data'!G78/'Historical Data'!G77-1</f>
        <v>-1.7743080198722172E-3</v>
      </c>
      <c r="H74" s="7">
        <f ca="1">+'Historical Data'!H78/'Historical Data'!H77-1</f>
        <v>-2.3851168707266224E-3</v>
      </c>
      <c r="I74" s="7">
        <f ca="1">+'Historical Data'!I78/'Historical Data'!I77-1</f>
        <v>7.5141442715700446E-3</v>
      </c>
      <c r="J74" s="7">
        <f ca="1">+'Historical Data'!J78/'Historical Data'!J77-1</f>
        <v>6.8097876269621604E-3</v>
      </c>
      <c r="K74" s="7">
        <f ca="1">+'Historical Data'!K78/'Historical Data'!K77-1</f>
        <v>9.5923261390895576E-4</v>
      </c>
      <c r="L74" s="7">
        <f ca="1">+'Historical Data'!L78/'Historical Data'!L77-1</f>
        <v>-2.5380710659898442E-2</v>
      </c>
      <c r="M74" s="7">
        <f ca="1">+'Historical Data'!M78/'Historical Data'!M77-1</f>
        <v>-1.1022657685242354E-3</v>
      </c>
      <c r="N74" s="7">
        <f ca="1">+'Historical Data'!N78/'Historical Data'!N77-1</f>
        <v>-1.1777196994446237E-2</v>
      </c>
      <c r="O74" s="7">
        <f ca="1">+'Historical Data'!O78/'Historical Data'!O77-1</f>
        <v>4.5632333767926525E-3</v>
      </c>
      <c r="P74" s="7">
        <f ca="1">+'Historical Data'!P78/'Historical Data'!P77-1</f>
        <v>-8.3646476869837505E-3</v>
      </c>
    </row>
    <row r="75" spans="1:16" x14ac:dyDescent="0.25">
      <c r="A75" vm="1127">
        <f ca="1"/>
        <v>45450</v>
      </c>
      <c r="B75" s="7">
        <f ca="1">+'Historical Data'!B79/'Historical Data'!B78-1</f>
        <v>-2.5851410587839352E-3</v>
      </c>
      <c r="C75" s="7">
        <f ca="1">+'Historical Data'!C79/'Historical Data'!C78-1</f>
        <v>-3.7837837837837451E-3</v>
      </c>
      <c r="D75" s="7">
        <f ca="1">+'Historical Data'!D79/'Historical Data'!D78-1</f>
        <v>-1.5782530858380328E-3</v>
      </c>
      <c r="E75" s="7">
        <f ca="1">+'Historical Data'!E79/'Historical Data'!E78-1</f>
        <v>-3.9827665592317318E-2</v>
      </c>
      <c r="F75" s="7">
        <f ca="1">+'Historical Data'!F79/'Historical Data'!F78-1</f>
        <v>-8.3694426307354686E-3</v>
      </c>
      <c r="G75" s="7">
        <f ca="1">+'Historical Data'!G79/'Historical Data'!G78-1</f>
        <v>1.5438525214565013E-2</v>
      </c>
      <c r="H75" s="7">
        <f ca="1">+'Historical Data'!H79/'Historical Data'!H78-1</f>
        <v>-2.2374083519285937E-2</v>
      </c>
      <c r="I75" s="7">
        <f ca="1">+'Historical Data'!I79/'Historical Data'!I78-1</f>
        <v>-1.0704571378432948E-2</v>
      </c>
      <c r="J75" s="7">
        <f ca="1">+'Historical Data'!J79/'Historical Data'!J78-1</f>
        <v>-2.040582368451227E-2</v>
      </c>
      <c r="K75" s="7">
        <f ca="1">+'Historical Data'!K79/'Historical Data'!K78-1</f>
        <v>-2.9468136080498364E-2</v>
      </c>
      <c r="L75" s="7">
        <f ca="1">+'Historical Data'!L79/'Historical Data'!L78-1</f>
        <v>-7.6388888888889728E-3</v>
      </c>
      <c r="M75" s="7">
        <f ca="1">+'Historical Data'!M79/'Historical Data'!M78-1</f>
        <v>1.1893084845512547E-2</v>
      </c>
      <c r="N75" s="7">
        <f ca="1">+'Historical Data'!N79/'Historical Data'!N78-1</f>
        <v>-9.0910593563531261E-4</v>
      </c>
      <c r="O75" s="7">
        <f ca="1">+'Historical Data'!O79/'Historical Data'!O78-1</f>
        <v>-8.4360804672288792E-3</v>
      </c>
      <c r="P75" s="7">
        <f ca="1">+'Historical Data'!P79/'Historical Data'!P78-1</f>
        <v>3.8322378984776417E-3</v>
      </c>
    </row>
    <row r="76" spans="1:16" x14ac:dyDescent="0.25">
      <c r="A76" vm="1143">
        <f ca="1"/>
        <v>45453</v>
      </c>
      <c r="B76" s="7">
        <f ca="1">+'Historical Data'!B80/'Historical Data'!B79-1</f>
        <v>-2.0791075050709873E-2</v>
      </c>
      <c r="C76" s="7">
        <f ca="1">+'Historical Data'!C80/'Historical Data'!C79-1</f>
        <v>1.49755832881171E-2</v>
      </c>
      <c r="D76" s="7">
        <f ca="1">+'Historical Data'!D80/'Historical Data'!D79-1</f>
        <v>9.4844874365931364E-3</v>
      </c>
      <c r="E76" s="7">
        <f ca="1">+'Historical Data'!E80/'Historical Data'!E79-1</f>
        <v>3.9732830964207544E-3</v>
      </c>
      <c r="F76" s="7">
        <f ca="1">+'Historical Data'!F80/'Historical Data'!F79-1</f>
        <v>1.7359032682868758E-3</v>
      </c>
      <c r="G76" s="7">
        <f ca="1">+'Historical Data'!G80/'Historical Data'!G79-1</f>
        <v>-1.7004251062764375E-3</v>
      </c>
      <c r="H76" s="7">
        <f ca="1">+'Historical Data'!H80/'Historical Data'!H79-1</f>
        <v>8.7835496953270198E-3</v>
      </c>
      <c r="I76" s="7">
        <f ca="1">+'Historical Data'!I80/'Historical Data'!I79-1</f>
        <v>2.9268292682926855E-3</v>
      </c>
      <c r="J76" s="7">
        <f ca="1">+'Historical Data'!J80/'Historical Data'!J79-1</f>
        <v>2.2235225277940085E-3</v>
      </c>
      <c r="K76" s="7">
        <f ca="1">+'Historical Data'!K80/'Historical Data'!K79-1</f>
        <v>-7.6524314983953401E-3</v>
      </c>
      <c r="L76" s="7">
        <f ca="1">+'Historical Data'!L80/'Historical Data'!L79-1</f>
        <v>-1.7844646606018144E-2</v>
      </c>
      <c r="M76" s="7">
        <f ca="1">+'Historical Data'!M80/'Historical Data'!M79-1</f>
        <v>-7.5730037562098396E-3</v>
      </c>
      <c r="N76" s="7">
        <f ca="1">+'Historical Data'!N80/'Historical Data'!N79-1</f>
        <v>7.4614519224405207E-3</v>
      </c>
      <c r="O76" s="7">
        <f ca="1">+'Historical Data'!O80/'Historical Data'!O79-1</f>
        <v>2.1815008726000507E-4</v>
      </c>
      <c r="P76" s="7">
        <f ca="1">+'Historical Data'!P80/'Historical Data'!P79-1</f>
        <v>2.4050218961497061E-2</v>
      </c>
    </row>
    <row r="77" spans="1:16" x14ac:dyDescent="0.25">
      <c r="A77" vm="1158">
        <f ca="1"/>
        <v>45454</v>
      </c>
      <c r="B77" s="7">
        <f ca="1">+'Historical Data'!B81/'Historical Data'!B80-1</f>
        <v>-1.8010242246389252E-2</v>
      </c>
      <c r="C77" s="7">
        <f ca="1">+'Historical Data'!C81/'Historical Data'!C80-1</f>
        <v>9.0879931572751538E-4</v>
      </c>
      <c r="D77" s="7">
        <f ca="1">+'Historical Data'!D81/'Historical Data'!D80-1</f>
        <v>1.1241732301867424E-2</v>
      </c>
      <c r="E77" s="7">
        <f ca="1">+'Historical Data'!E81/'Historical Data'!E80-1</f>
        <v>9.8597796049264552E-3</v>
      </c>
      <c r="F77" s="7">
        <f ca="1">+'Historical Data'!F81/'Historical Data'!F80-1</f>
        <v>7.768150582609934E-4</v>
      </c>
      <c r="G77" s="7">
        <f ca="1">+'Historical Data'!G81/'Historical Data'!G80-1</f>
        <v>-2.6301287510645754E-2</v>
      </c>
      <c r="H77" s="7">
        <f ca="1">+'Historical Data'!H81/'Historical Data'!H80-1</f>
        <v>2.4646464646465027E-3</v>
      </c>
      <c r="I77" s="7">
        <f ca="1">+'Historical Data'!I81/'Historical Data'!I80-1</f>
        <v>-8.0474000707463356E-3</v>
      </c>
      <c r="J77" s="7">
        <f ca="1">+'Historical Data'!J81/'Historical Data'!J80-1</f>
        <v>-7.4731433909388523E-3</v>
      </c>
      <c r="K77" s="7">
        <f ca="1">+'Historical Data'!K81/'Historical Data'!K80-1</f>
        <v>-9.9502487562190822E-3</v>
      </c>
      <c r="L77" s="7">
        <f ca="1">+'Historical Data'!L81/'Historical Data'!L80-1</f>
        <v>-1.4250089063055915E-3</v>
      </c>
      <c r="M77" s="7">
        <f ca="1">+'Historical Data'!M81/'Historical Data'!M80-1</f>
        <v>-1.3491239851046943E-2</v>
      </c>
      <c r="N77" s="7">
        <f ca="1">+'Historical Data'!N81/'Historical Data'!N80-1</f>
        <v>-7.2255521799819977E-3</v>
      </c>
      <c r="O77" s="7">
        <f ca="1">+'Historical Data'!O81/'Historical Data'!O80-1</f>
        <v>-1.7448200654307522E-3</v>
      </c>
      <c r="P77" s="7">
        <f ca="1">+'Historical Data'!P81/'Historical Data'!P80-1</f>
        <v>1.4273119190264305E-2</v>
      </c>
    </row>
    <row r="78" spans="1:16" x14ac:dyDescent="0.25">
      <c r="A78" vm="1174">
        <f ca="1"/>
        <v>45455</v>
      </c>
      <c r="B78" s="7">
        <f ca="1">+'Historical Data'!B82/'Historical Data'!B81-1</f>
        <v>3.8849173795851399E-2</v>
      </c>
      <c r="C78" s="7">
        <f ca="1">+'Historical Data'!C82/'Historical Data'!C81-1</f>
        <v>-1.8159482988837627E-3</v>
      </c>
      <c r="D78" s="7">
        <f ca="1">+'Historical Data'!D82/'Historical Data'!D81-1</f>
        <v>1.9367662013497267E-2</v>
      </c>
      <c r="E78" s="7">
        <f ca="1">+'Historical Data'!E82/'Historical Data'!E81-1</f>
        <v>1.1114864864864904E-2</v>
      </c>
      <c r="F78" s="7">
        <f ca="1">+'Historical Data'!F82/'Historical Data'!F81-1</f>
        <v>-1.3732983042751279E-2</v>
      </c>
      <c r="G78" s="7">
        <f ca="1">+'Historical Data'!G82/'Historical Data'!G81-1</f>
        <v>-1.4560609178843498E-2</v>
      </c>
      <c r="H78" s="7">
        <f ca="1">+'Historical Data'!H82/'Historical Data'!H81-1</f>
        <v>-6.347990810527615E-3</v>
      </c>
      <c r="I78" s="7">
        <f ca="1">+'Historical Data'!I82/'Historical Data'!I81-1</f>
        <v>-1.1054649193188881E-2</v>
      </c>
      <c r="J78" s="7">
        <f ca="1">+'Historical Data'!J82/'Historical Data'!J81-1</f>
        <v>-1.2235294117647011E-2</v>
      </c>
      <c r="K78" s="7">
        <f ca="1">+'Historical Data'!K82/'Historical Data'!K81-1</f>
        <v>9.2964824120604916E-3</v>
      </c>
      <c r="L78" s="7">
        <f ca="1">+'Historical Data'!L82/'Historical Data'!L81-1</f>
        <v>-1.3200142704245521E-2</v>
      </c>
      <c r="M78" s="7">
        <f ca="1">+'Historical Data'!M82/'Historical Data'!M81-1</f>
        <v>-6.0024752475247301E-3</v>
      </c>
      <c r="N78" s="7">
        <f ca="1">+'Historical Data'!N82/'Historical Data'!N81-1</f>
        <v>3.5480936233562188E-2</v>
      </c>
      <c r="O78" s="7">
        <f ca="1">+'Historical Data'!O82/'Historical Data'!O81-1</f>
        <v>-3.2772558444397193E-3</v>
      </c>
      <c r="P78" s="7">
        <f ca="1">+'Historical Data'!P82/'Historical Data'!P81-1</f>
        <v>2.3599789189818088E-2</v>
      </c>
    </row>
    <row r="79" spans="1:16" x14ac:dyDescent="0.25">
      <c r="A79" vm="1189">
        <f ca="1"/>
        <v>45456</v>
      </c>
      <c r="B79" s="7">
        <f ca="1">+'Historical Data'!B83/'Historical Data'!B82-1</f>
        <v>2.9217665971007944E-2</v>
      </c>
      <c r="C79" s="7">
        <f ca="1">+'Historical Data'!C83/'Historical Data'!C82-1</f>
        <v>-1.6373267697575966E-2</v>
      </c>
      <c r="D79" s="7">
        <f ca="1">+'Historical Data'!D83/'Historical Data'!D82-1</f>
        <v>1.1789779168367431E-3</v>
      </c>
      <c r="E79" s="7">
        <f ca="1">+'Historical Data'!E83/'Historical Data'!E82-1</f>
        <v>3.8758394867852708E-3</v>
      </c>
      <c r="F79" s="7">
        <f ca="1">+'Historical Data'!F83/'Historical Data'!F82-1</f>
        <v>7.4464220849981277E-3</v>
      </c>
      <c r="G79" s="7">
        <f ca="1">+'Historical Data'!G83/'Historical Data'!G82-1</f>
        <v>1.1120973215684282E-2</v>
      </c>
      <c r="H79" s="7">
        <f ca="1">+'Historical Data'!H83/'Historical Data'!H82-1</f>
        <v>8.5789036039507494E-3</v>
      </c>
      <c r="I79" s="7">
        <f ca="1">+'Historical Data'!I83/'Historical Data'!I82-1</f>
        <v>-8.0230776165148843E-3</v>
      </c>
      <c r="J79" s="7">
        <f ca="1">+'Historical Data'!J83/'Historical Data'!J82-1</f>
        <v>1.6674606955693339E-3</v>
      </c>
      <c r="K79" s="7">
        <f ca="1">+'Historical Data'!K83/'Historical Data'!K82-1</f>
        <v>-2.3151605675877485E-2</v>
      </c>
      <c r="L79" s="7">
        <f ca="1">+'Historical Data'!L83/'Historical Data'!L82-1</f>
        <v>-3.6153289949392153E-4</v>
      </c>
      <c r="M79" s="7">
        <f ca="1">+'Historical Data'!M83/'Historical Data'!M82-1</f>
        <v>1.2450974288740202E-3</v>
      </c>
      <c r="N79" s="7">
        <f ca="1">+'Historical Data'!N83/'Historical Data'!N82-1</f>
        <v>3.522364217252405E-2</v>
      </c>
      <c r="O79" s="7">
        <f ca="1">+'Historical Data'!O83/'Historical Data'!O82-1</f>
        <v>-2.1920210434018816E-3</v>
      </c>
      <c r="P79" s="7">
        <f ca="1">+'Historical Data'!P83/'Historical Data'!P82-1</f>
        <v>0.12268724381649077</v>
      </c>
    </row>
    <row r="80" spans="1:16" x14ac:dyDescent="0.25">
      <c r="A80" vm="1205">
        <f ca="1"/>
        <v>45457</v>
      </c>
      <c r="B80" s="7">
        <f ca="1">+'Historical Data'!B84/'Historical Data'!B83-1</f>
        <v>-2.4442374088891383E-2</v>
      </c>
      <c r="C80" s="7">
        <f ca="1">+'Historical Data'!C84/'Historical Data'!C83-1</f>
        <v>-9.2476744818592582E-4</v>
      </c>
      <c r="D80" s="7">
        <f ca="1">+'Historical Data'!D84/'Historical Data'!D83-1</f>
        <v>2.2419493636487431E-3</v>
      </c>
      <c r="E80" s="7">
        <f ca="1">+'Historical Data'!E84/'Historical Data'!E83-1</f>
        <v>-1.1516059244466526E-2</v>
      </c>
      <c r="F80" s="7">
        <f ca="1">+'Historical Data'!F84/'Historical Data'!F83-1</f>
        <v>2.2835166155878994E-3</v>
      </c>
      <c r="G80" s="7">
        <f ca="1">+'Historical Data'!G84/'Historical Data'!G83-1</f>
        <v>6.1964267272540674E-4</v>
      </c>
      <c r="H80" s="7">
        <f ca="1">+'Historical Data'!H84/'Historical Data'!H83-1</f>
        <v>-3.6195455459486769E-4</v>
      </c>
      <c r="I80" s="7">
        <f ca="1">+'Historical Data'!I84/'Historical Data'!I83-1</f>
        <v>-8.4514721919303204E-3</v>
      </c>
      <c r="J80" s="7">
        <f ca="1">+'Historical Data'!J84/'Historical Data'!J83-1</f>
        <v>-2.2354340071343737E-2</v>
      </c>
      <c r="K80" s="7">
        <f ca="1">+'Historical Data'!K84/'Historical Data'!K83-1</f>
        <v>-2.1661569826707527E-2</v>
      </c>
      <c r="L80" s="7">
        <f ca="1">+'Historical Data'!L84/'Historical Data'!L83-1</f>
        <v>-4.3399638336346635E-3</v>
      </c>
      <c r="M80" s="7">
        <f ca="1">+'Historical Data'!M84/'Historical Data'!M83-1</f>
        <v>-2.3378722875085578E-2</v>
      </c>
      <c r="N80" s="7">
        <f ca="1">+'Historical Data'!N84/'Historical Data'!N83-1</f>
        <v>1.7514080703649348E-2</v>
      </c>
      <c r="O80" s="7">
        <f ca="1">+'Historical Data'!O84/'Historical Data'!O83-1</f>
        <v>3.5149384885764245E-3</v>
      </c>
      <c r="P80" s="7">
        <f ca="1">+'Historical Data'!P84/'Historical Data'!P83-1</f>
        <v>3.3383164878885374E-2</v>
      </c>
    </row>
    <row r="81" spans="1:16" x14ac:dyDescent="0.25">
      <c r="A81" vm="1221">
        <f ca="1"/>
        <v>45460</v>
      </c>
      <c r="B81" s="7">
        <f ca="1">+'Historical Data'!B85/'Historical Data'!B84-1</f>
        <v>5.2974551991461283E-2</v>
      </c>
      <c r="C81" s="7">
        <f ca="1">+'Historical Data'!C85/'Historical Data'!C84-1</f>
        <v>2.1779374931940598E-3</v>
      </c>
      <c r="D81" s="7">
        <f ca="1">+'Historical Data'!D85/'Historical Data'!D84-1</f>
        <v>1.310527148247731E-2</v>
      </c>
      <c r="E81" s="7">
        <f ca="1">+'Historical Data'!E85/'Historical Data'!E84-1</f>
        <v>1.9731304084312562E-2</v>
      </c>
      <c r="F81" s="7">
        <f ca="1">+'Historical Data'!F85/'Historical Data'!F84-1</f>
        <v>4.2568499310511321E-3</v>
      </c>
      <c r="G81" s="7">
        <f ca="1">+'Historical Data'!G85/'Historical Data'!G84-1</f>
        <v>6.1925895345236182E-3</v>
      </c>
      <c r="H81" s="7">
        <f ca="1">+'Historical Data'!H85/'Historical Data'!H84-1</f>
        <v>-1.5871419375603435E-2</v>
      </c>
      <c r="I81" s="7">
        <f ca="1">+'Historical Data'!I85/'Historical Data'!I84-1</f>
        <v>-6.8737970855100583E-3</v>
      </c>
      <c r="J81" s="7">
        <f ca="1">+'Historical Data'!J85/'Historical Data'!J84-1</f>
        <v>-1.3378739965944964E-2</v>
      </c>
      <c r="K81" s="7">
        <f ca="1">+'Historical Data'!K85/'Historical Data'!K84-1</f>
        <v>2.2141182599635378E-2</v>
      </c>
      <c r="L81" s="7">
        <f ca="1">+'Historical Data'!L85/'Historical Data'!L84-1</f>
        <v>-1.9978205593897624E-2</v>
      </c>
      <c r="M81" s="7">
        <f ca="1">+'Historical Data'!M85/'Historical Data'!M84-1</f>
        <v>1.0632202202839558E-2</v>
      </c>
      <c r="N81" s="7">
        <f ca="1">+'Historical Data'!N85/'Historical Data'!N84-1</f>
        <v>-6.8243858052775552E-3</v>
      </c>
      <c r="O81" s="7">
        <f ca="1">+'Historical Data'!O85/'Historical Data'!O84-1</f>
        <v>2.189141856392407E-4</v>
      </c>
      <c r="P81" s="7">
        <f ca="1">+'Historical Data'!P85/'Historical Data'!P84-1</f>
        <v>5.4079444854297387E-2</v>
      </c>
    </row>
    <row r="82" spans="1:16" x14ac:dyDescent="0.25">
      <c r="A82" vm="1236">
        <f ca="1"/>
        <v>45461</v>
      </c>
      <c r="B82" s="7">
        <f ca="1">+'Historical Data'!B86/'Historical Data'!B85-1</f>
        <v>-1.3764404609474923E-2</v>
      </c>
      <c r="C82" s="7">
        <f ca="1">+'Historical Data'!C86/'Historical Data'!C85-1</f>
        <v>-6.7912637183527025E-3</v>
      </c>
      <c r="D82" s="7">
        <f ca="1">+'Historical Data'!D86/'Historical Data'!D85-1</f>
        <v>-4.5275107612017251E-3</v>
      </c>
      <c r="E82" s="7">
        <f ca="1">+'Historical Data'!E86/'Historical Data'!E85-1</f>
        <v>-8.7832260194816714E-3</v>
      </c>
      <c r="F82" s="7">
        <f ca="1">+'Historical Data'!F86/'Historical Data'!F85-1</f>
        <v>6.3283582089552759E-3</v>
      </c>
      <c r="G82" s="7">
        <f ca="1">+'Historical Data'!G86/'Historical Data'!G85-1</f>
        <v>1.036003692686438E-2</v>
      </c>
      <c r="H82" s="7">
        <f ca="1">+'Historical Data'!H86/'Historical Data'!H85-1</f>
        <v>-1.672015207571087E-2</v>
      </c>
      <c r="I82" s="7">
        <f ca="1">+'Historical Data'!I86/'Historical Data'!I85-1</f>
        <v>9.4130675526022944E-3</v>
      </c>
      <c r="J82" s="7">
        <f ca="1">+'Historical Data'!J86/'Historical Data'!J85-1</f>
        <v>-1.8367850098619298E-2</v>
      </c>
      <c r="K82" s="7">
        <f ca="1">+'Historical Data'!K86/'Historical Data'!K85-1</f>
        <v>1.2232415902140525E-2</v>
      </c>
      <c r="L82" s="7">
        <f ca="1">+'Historical Data'!L86/'Historical Data'!L85-1</f>
        <v>1.5937731653076437E-2</v>
      </c>
      <c r="M82" s="7">
        <f ca="1">+'Historical Data'!M86/'Historical Data'!M85-1</f>
        <v>8.3154844399646599E-3</v>
      </c>
      <c r="N82" s="7">
        <f ca="1">+'Historical Data'!N86/'Historical Data'!N85-1</f>
        <v>3.5119865628340463E-2</v>
      </c>
      <c r="O82" s="7">
        <f ca="1">+'Historical Data'!O86/'Historical Data'!O85-1</f>
        <v>6.1282556358066564E-3</v>
      </c>
      <c r="P82" s="7">
        <f ca="1">+'Historical Data'!P86/'Historical Data'!P85-1</f>
        <v>-1.4407803725797863E-2</v>
      </c>
    </row>
    <row r="83" spans="1:16" x14ac:dyDescent="0.25">
      <c r="A83" vm="1252">
        <f ca="1"/>
        <v>45463</v>
      </c>
      <c r="B83" s="7">
        <f ca="1">+'Historical Data'!B87/'Historical Data'!B86-1</f>
        <v>-1.7797251974467243E-2</v>
      </c>
      <c r="C83" s="7">
        <f ca="1">+'Historical Data'!C87/'Historical Data'!C86-1</f>
        <v>1.7996827307040109E-2</v>
      </c>
      <c r="D83" s="7">
        <f ca="1">+'Historical Data'!D87/'Historical Data'!D86-1</f>
        <v>-1.4338844826813357E-3</v>
      </c>
      <c r="E83" s="7">
        <f ca="1">+'Historical Data'!E87/'Historical Data'!E86-1</f>
        <v>3.8642193277591552E-3</v>
      </c>
      <c r="F83" s="7">
        <f ca="1">+'Historical Data'!F87/'Historical Data'!F86-1</f>
        <v>-5.2800189843380529E-3</v>
      </c>
      <c r="G83" s="7">
        <f ca="1">+'Historical Data'!G87/'Historical Data'!G86-1</f>
        <v>8.4771573604061068E-3</v>
      </c>
      <c r="H83" s="7">
        <f ca="1">+'Historical Data'!H87/'Historical Data'!H86-1</f>
        <v>7.2133873817690208E-3</v>
      </c>
      <c r="I83" s="7">
        <f ca="1">+'Historical Data'!I87/'Historical Data'!I86-1</f>
        <v>2.1576156518559042E-2</v>
      </c>
      <c r="J83" s="7">
        <f ca="1">+'Historical Data'!J87/'Historical Data'!J86-1</f>
        <v>1.5069697350244882E-2</v>
      </c>
      <c r="K83" s="7">
        <f ca="1">+'Historical Data'!K87/'Historical Data'!K86-1</f>
        <v>-2.0140986908357972E-3</v>
      </c>
      <c r="L83" s="7">
        <f ca="1">+'Historical Data'!L87/'Historical Data'!L86-1</f>
        <v>1.2039401678219486E-2</v>
      </c>
      <c r="M83" s="7">
        <f ca="1">+'Historical Data'!M87/'Historical Data'!M86-1</f>
        <v>1.5806572535299379E-2</v>
      </c>
      <c r="N83" s="7">
        <f ca="1">+'Historical Data'!N87/'Historical Data'!N86-1</f>
        <v>-3.5403451836554134E-2</v>
      </c>
      <c r="O83" s="7">
        <f ca="1">+'Historical Data'!O87/'Historical Data'!O86-1</f>
        <v>1.6314988035675437E-2</v>
      </c>
      <c r="P83" s="7">
        <f ca="1">+'Historical Data'!P87/'Historical Data'!P86-1</f>
        <v>-3.7702771675210411E-2</v>
      </c>
    </row>
    <row r="84" spans="1:16" x14ac:dyDescent="0.25">
      <c r="A84" vm="1268">
        <f ca="1"/>
        <v>45464</v>
      </c>
      <c r="B84" s="7">
        <f ca="1">+'Historical Data'!B88/'Historical Data'!B87-1</f>
        <v>7.9308255769123814E-3</v>
      </c>
      <c r="C84" s="7">
        <f ca="1">+'Historical Data'!C88/'Historical Data'!C87-1</f>
        <v>1.6012896292316059E-2</v>
      </c>
      <c r="D84" s="7">
        <f ca="1">+'Historical Data'!D88/'Historical Data'!D87-1</f>
        <v>9.1541395557550587E-3</v>
      </c>
      <c r="E84" s="7">
        <f ca="1">+'Historical Data'!E88/'Historical Data'!E87-1</f>
        <v>-2.9865604778511745E-4</v>
      </c>
      <c r="F84" s="7">
        <f ca="1">+'Historical Data'!F88/'Historical Data'!F87-1</f>
        <v>3.5188167233255463E-3</v>
      </c>
      <c r="G84" s="7">
        <f ca="1">+'Historical Data'!G88/'Historical Data'!G87-1</f>
        <v>-1.1929330044797792E-2</v>
      </c>
      <c r="H84" s="7">
        <f ca="1">+'Historical Data'!H88/'Historical Data'!H87-1</f>
        <v>-3.9833237018079837E-3</v>
      </c>
      <c r="I84" s="7">
        <f ca="1">+'Historical Data'!I88/'Historical Data'!I87-1</f>
        <v>-8.77035976373719E-3</v>
      </c>
      <c r="J84" s="7">
        <f ca="1">+'Historical Data'!J88/'Historical Data'!J87-1</f>
        <v>-3.7114932574537907E-3</v>
      </c>
      <c r="K84" s="7">
        <f ca="1">+'Historical Data'!K88/'Historical Data'!K87-1</f>
        <v>-1.765893037335986E-3</v>
      </c>
      <c r="L84" s="7">
        <f ca="1">+'Historical Data'!L88/'Historical Data'!L87-1</f>
        <v>0</v>
      </c>
      <c r="M84" s="7">
        <f ca="1">+'Historical Data'!M88/'Historical Data'!M87-1</f>
        <v>-1.2792914693400603E-2</v>
      </c>
      <c r="N84" s="7">
        <f ca="1">+'Historical Data'!N88/'Historical Data'!N87-1</f>
        <v>-3.2191466585104855E-2</v>
      </c>
      <c r="O84" s="7">
        <f ca="1">+'Historical Data'!O88/'Historical Data'!O87-1</f>
        <v>1.2200342465753522E-2</v>
      </c>
      <c r="P84" s="7">
        <f ca="1">+'Historical Data'!P88/'Historical Data'!P87-1</f>
        <v>-4.3774790148510268E-2</v>
      </c>
    </row>
    <row r="85" spans="1:16" x14ac:dyDescent="0.25">
      <c r="A85" vm="1283">
        <f ca="1"/>
        <v>45467</v>
      </c>
      <c r="B85" s="7">
        <f ca="1">+'Historical Data'!B89/'Historical Data'!B88-1</f>
        <v>-2.3495983826019584E-3</v>
      </c>
      <c r="C85" s="7">
        <f ca="1">+'Historical Data'!C89/'Historical Data'!C88-1</f>
        <v>-1.8563570975248633E-2</v>
      </c>
      <c r="D85" s="7">
        <f ca="1">+'Historical Data'!D89/'Historical Data'!D88-1</f>
        <v>-4.6911823558183352E-3</v>
      </c>
      <c r="E85" s="7">
        <f ca="1">+'Historical Data'!E89/'Historical Data'!E88-1</f>
        <v>-2.3567682400583712E-3</v>
      </c>
      <c r="F85" s="7">
        <f ca="1">+'Historical Data'!F89/'Historical Data'!F88-1</f>
        <v>1.1292048020918877E-3</v>
      </c>
      <c r="G85" s="7">
        <f ca="1">+'Historical Data'!G89/'Historical Data'!G88-1</f>
        <v>1.3143148242485969E-2</v>
      </c>
      <c r="H85" s="7">
        <f ca="1">+'Historical Data'!H89/'Historical Data'!H88-1</f>
        <v>1.5313205826892551E-2</v>
      </c>
      <c r="I85" s="7">
        <f ca="1">+'Historical Data'!I89/'Historical Data'!I88-1</f>
        <v>2.9703864210906428E-2</v>
      </c>
      <c r="J85" s="7">
        <f ca="1">+'Historical Data'!J89/'Historical Data'!J88-1</f>
        <v>7.3264621880044789E-3</v>
      </c>
      <c r="K85" s="7">
        <f ca="1">+'Historical Data'!K89/'Historical Data'!K88-1</f>
        <v>-6.1410159211523929E-2</v>
      </c>
      <c r="L85" s="7">
        <f ca="1">+'Historical Data'!L89/'Historical Data'!L88-1</f>
        <v>2.2350396539293493E-2</v>
      </c>
      <c r="M85" s="7">
        <f ca="1">+'Historical Data'!M89/'Historical Data'!M88-1</f>
        <v>1.1837268705999771E-2</v>
      </c>
      <c r="N85" s="7">
        <f ca="1">+'Historical Data'!N89/'Historical Data'!N88-1</f>
        <v>-6.6840483526902084E-2</v>
      </c>
      <c r="O85" s="7">
        <f ca="1">+'Historical Data'!O89/'Historical Data'!O88-1</f>
        <v>-2.1146119687032172E-4</v>
      </c>
      <c r="P85" s="7">
        <f ca="1">+'Historical Data'!P89/'Historical Data'!P88-1</f>
        <v>-4.0045097459951884E-2</v>
      </c>
    </row>
    <row r="86" spans="1:16" x14ac:dyDescent="0.25">
      <c r="A86" vm="1297">
        <f ca="1"/>
        <v>45468</v>
      </c>
      <c r="B86" s="7">
        <f ca="1">+'Historical Data'!B90/'Historical Data'!B89-1</f>
        <v>2.6125534012487517E-2</v>
      </c>
      <c r="C86" s="7">
        <f ca="1">+'Historical Data'!C90/'Historical Data'!C89-1</f>
        <v>4.1493775933609811E-3</v>
      </c>
      <c r="D86" s="7">
        <f ca="1">+'Historical Data'!D90/'Historical Data'!D89-1</f>
        <v>7.3268255634730828E-3</v>
      </c>
      <c r="E86" s="7">
        <f ca="1">+'Historical Data'!E90/'Historical Data'!E89-1</f>
        <v>-1.9530860089835289E-2</v>
      </c>
      <c r="F86" s="7">
        <f ca="1">+'Historical Data'!F90/'Historical Data'!F89-1</f>
        <v>-9.4983674680914065E-3</v>
      </c>
      <c r="G86" s="7">
        <f ca="1">+'Historical Data'!G90/'Historical Data'!G89-1</f>
        <v>-4.0728077232502491E-3</v>
      </c>
      <c r="H86" s="7">
        <f ca="1">+'Historical Data'!H90/'Historical Data'!H89-1</f>
        <v>-1.1184129964488365E-2</v>
      </c>
      <c r="I86" s="7">
        <f ca="1">+'Historical Data'!I90/'Historical Data'!I89-1</f>
        <v>2.8057869355546661E-3</v>
      </c>
      <c r="J86" s="7">
        <f ca="1">+'Historical Data'!J90/'Historical Data'!J89-1</f>
        <v>1.1834319526627279E-2</v>
      </c>
      <c r="K86" s="7">
        <f ca="1">+'Historical Data'!K90/'Historical Data'!K89-1</f>
        <v>-1.7501346257404404E-2</v>
      </c>
      <c r="L86" s="7">
        <f ca="1">+'Historical Data'!L90/'Historical Data'!L89-1</f>
        <v>-1.3046544428772955E-2</v>
      </c>
      <c r="M86" s="7">
        <f ca="1">+'Historical Data'!M90/'Historical Data'!M89-1</f>
        <v>-6.5882642694414795E-3</v>
      </c>
      <c r="N86" s="7">
        <f ca="1">+'Historical Data'!N90/'Historical Data'!N89-1</f>
        <v>6.7564135128270308E-2</v>
      </c>
      <c r="O86" s="7">
        <f ca="1">+'Historical Data'!O90/'Historical Data'!O89-1</f>
        <v>2.115059221658333E-3</v>
      </c>
      <c r="P86" s="7">
        <f ca="1">+'Historical Data'!P90/'Historical Data'!P89-1</f>
        <v>-7.1724207233969661E-3</v>
      </c>
    </row>
    <row r="87" spans="1:16" x14ac:dyDescent="0.25">
      <c r="A87" vm="1312">
        <f ca="1"/>
        <v>45469</v>
      </c>
      <c r="B87" s="7">
        <f ca="1">+'Historical Data'!B91/'Historical Data'!B90-1</f>
        <v>4.8145182812917131E-2</v>
      </c>
      <c r="C87" s="7">
        <f ca="1">+'Historical Data'!C91/'Historical Data'!C90-1</f>
        <v>3.901470430396059E-2</v>
      </c>
      <c r="D87" s="7">
        <f ca="1">+'Historical Data'!D91/'Historical Data'!D90-1</f>
        <v>2.683224304246723E-3</v>
      </c>
      <c r="E87" s="7">
        <f ca="1">+'Historical Data'!E91/'Historical Data'!E90-1</f>
        <v>7.3978553006650571E-3</v>
      </c>
      <c r="F87" s="7">
        <f ca="1">+'Historical Data'!F91/'Historical Data'!F90-1</f>
        <v>3.5960443512135232E-3</v>
      </c>
      <c r="G87" s="7">
        <f ca="1">+'Historical Data'!G91/'Historical Data'!G90-1</f>
        <v>-3.2311808956428933E-3</v>
      </c>
      <c r="H87" s="7">
        <f ca="1">+'Historical Data'!H91/'Historical Data'!H90-1</f>
        <v>-9.4943240454070654E-4</v>
      </c>
      <c r="I87" s="7">
        <f ca="1">+'Historical Data'!I91/'Historical Data'!I90-1</f>
        <v>3.4974206522675466E-4</v>
      </c>
      <c r="J87" s="7">
        <f ca="1">+'Historical Data'!J91/'Historical Data'!J90-1</f>
        <v>9.5029239766080131E-3</v>
      </c>
      <c r="K87" s="7">
        <f ca="1">+'Historical Data'!K91/'Historical Data'!K90-1</f>
        <v>-4.0833104960263156E-2</v>
      </c>
      <c r="L87" s="7">
        <f ca="1">+'Historical Data'!L91/'Historical Data'!L90-1</f>
        <v>-2.0364415862808016E-2</v>
      </c>
      <c r="M87" s="7">
        <f ca="1">+'Historical Data'!M91/'Historical Data'!M90-1</f>
        <v>-1.8470311144167528E-2</v>
      </c>
      <c r="N87" s="7">
        <f ca="1">+'Historical Data'!N91/'Historical Data'!N90-1</f>
        <v>2.458561345070942E-3</v>
      </c>
      <c r="O87" s="7">
        <f ca="1">+'Historical Data'!O91/'Historical Data'!O90-1</f>
        <v>-1.0975094976783506E-2</v>
      </c>
      <c r="P87" s="7">
        <f ca="1">+'Historical Data'!P91/'Historical Data'!P90-1</f>
        <v>7.091391013353876E-3</v>
      </c>
    </row>
    <row r="88" spans="1:16" x14ac:dyDescent="0.25">
      <c r="A88" vm="1328">
        <f ca="1"/>
        <v>45470</v>
      </c>
      <c r="B88" s="7">
        <f ca="1">+'Historical Data'!B92/'Historical Data'!B91-1</f>
        <v>5.3470489382287933E-3</v>
      </c>
      <c r="C88" s="7">
        <f ca="1">+'Historical Data'!C92/'Historical Data'!C91-1</f>
        <v>2.1899695263674301E-2</v>
      </c>
      <c r="D88" s="7">
        <f ca="1">+'Historical Data'!D92/'Historical Data'!D91-1</f>
        <v>1.5260084925690087E-3</v>
      </c>
      <c r="E88" s="7">
        <f ca="1">+'Historical Data'!E92/'Historical Data'!E91-1</f>
        <v>4.7160277571922649E-4</v>
      </c>
      <c r="F88" s="7">
        <f ca="1">+'Historical Data'!F92/'Historical Data'!F91-1</f>
        <v>-4.956703493580128E-3</v>
      </c>
      <c r="G88" s="7">
        <f ca="1">+'Historical Data'!G92/'Historical Data'!G91-1</f>
        <v>8.8132502659168388E-3</v>
      </c>
      <c r="H88" s="7">
        <f ca="1">+'Historical Data'!H92/'Historical Data'!H91-1</f>
        <v>4.9582679117428086E-3</v>
      </c>
      <c r="I88" s="7">
        <f ca="1">+'Historical Data'!I92/'Historical Data'!I91-1</f>
        <v>4.2828424088803274E-3</v>
      </c>
      <c r="J88" s="7">
        <f ca="1">+'Historical Data'!J92/'Historical Data'!J91-1</f>
        <v>1.7137340091721187E-2</v>
      </c>
      <c r="K88" s="7">
        <f ca="1">+'Historical Data'!K92/'Historical Data'!K91-1</f>
        <v>-3.1428571428571139E-3</v>
      </c>
      <c r="L88" s="7">
        <f ca="1">+'Historical Data'!L92/'Historical Data'!L91-1</f>
        <v>1.3858497447118756E-2</v>
      </c>
      <c r="M88" s="7">
        <f ca="1">+'Historical Data'!M92/'Historical Data'!M91-1</f>
        <v>1.0419297802475302E-2</v>
      </c>
      <c r="N88" s="7">
        <f ca="1">+'Historical Data'!N92/'Historical Data'!N91-1</f>
        <v>-1.9066455696202578E-2</v>
      </c>
      <c r="O88" s="7">
        <f ca="1">+'Historical Data'!O92/'Historical Data'!O91-1</f>
        <v>1.259069568928739E-2</v>
      </c>
      <c r="P88" s="7">
        <f ca="1">+'Historical Data'!P92/'Historical Data'!P91-1</f>
        <v>-3.3542713567839E-3</v>
      </c>
    </row>
    <row r="89" spans="1:16" x14ac:dyDescent="0.25">
      <c r="A89" vm="1344">
        <f ca="1"/>
        <v>45471</v>
      </c>
      <c r="B89" s="7">
        <f ca="1">+'Historical Data'!B93/'Historical Data'!B92-1</f>
        <v>2.3300577449094639E-3</v>
      </c>
      <c r="C89" s="7">
        <f ca="1">+'Historical Data'!C93/'Historical Data'!C92-1</f>
        <v>-2.324993682082388E-2</v>
      </c>
      <c r="D89" s="7">
        <f ca="1">+'Historical Data'!D93/'Historical Data'!D92-1</f>
        <v>-1.3028596665562664E-2</v>
      </c>
      <c r="E89" s="7">
        <f ca="1">+'Historical Data'!E93/'Historical Data'!E92-1</f>
        <v>4.8148148148148273E-3</v>
      </c>
      <c r="F89" s="7">
        <f ca="1">+'Historical Data'!F93/'Historical Data'!F92-1</f>
        <v>-1.020285679990407E-2</v>
      </c>
      <c r="G89" s="7">
        <f ca="1">+'Historical Data'!G93/'Historical Data'!G92-1</f>
        <v>1.5514384696490469E-2</v>
      </c>
      <c r="H89" s="7">
        <f ca="1">+'Historical Data'!H93/'Historical Data'!H92-1</f>
        <v>4.6912260504892611E-2</v>
      </c>
      <c r="I89" s="7">
        <f ca="1">+'Historical Data'!I93/'Historical Data'!I92-1</f>
        <v>1.9147084421236027E-3</v>
      </c>
      <c r="J89" s="7">
        <f ca="1">+'Historical Data'!J93/'Historical Data'!J92-1</f>
        <v>7.949691504508527E-3</v>
      </c>
      <c r="K89" s="7">
        <f ca="1">+'Historical Data'!K93/'Historical Data'!K92-1</f>
        <v>-1.8629979936944596E-2</v>
      </c>
      <c r="L89" s="7">
        <f ca="1">+'Historical Data'!L93/'Historical Data'!L92-1</f>
        <v>6.4748201438848962E-3</v>
      </c>
      <c r="M89" s="7">
        <f ca="1">+'Historical Data'!M93/'Historical Data'!M92-1</f>
        <v>-2.1873632897942974E-3</v>
      </c>
      <c r="N89" s="7">
        <f ca="1">+'Historical Data'!N93/'Historical Data'!N92-1</f>
        <v>-3.6293249455600085E-3</v>
      </c>
      <c r="O89" s="7">
        <f ca="1">+'Historical Data'!O93/'Historical Data'!O92-1</f>
        <v>1.2644889357216194E-3</v>
      </c>
      <c r="P89" s="7">
        <f ca="1">+'Historical Data'!P93/'Historical Data'!P92-1</f>
        <v>1.1892907113055129E-2</v>
      </c>
    </row>
    <row r="90" spans="1:16" x14ac:dyDescent="0.25">
      <c r="A90" vm="1360">
        <f ca="1"/>
        <v>45474</v>
      </c>
      <c r="B90" s="7">
        <f ca="1">+'Historical Data'!B94/'Historical Data'!B93-1</f>
        <v>6.0541742470183957E-2</v>
      </c>
      <c r="C90" s="7">
        <f ca="1">+'Historical Data'!C94/'Historical Data'!C93-1</f>
        <v>2.0439844760672621E-2</v>
      </c>
      <c r="D90" s="7">
        <f ca="1">+'Historical Data'!D94/'Historical Data'!D93-1</f>
        <v>2.188164224186151E-2</v>
      </c>
      <c r="E90" s="7">
        <f ca="1">+'Historical Data'!E94/'Historical Data'!E93-1</f>
        <v>-8.8462956137117521E-3</v>
      </c>
      <c r="F90" s="7">
        <f ca="1">+'Historical Data'!F94/'Historical Data'!F93-1</f>
        <v>-1.333980111569244E-2</v>
      </c>
      <c r="G90" s="7">
        <f ca="1">+'Historical Data'!G94/'Historical Data'!G93-1</f>
        <v>1.5771778898447497E-2</v>
      </c>
      <c r="H90" s="7">
        <f ca="1">+'Historical Data'!H94/'Historical Data'!H93-1</f>
        <v>-2.8688685543730164E-2</v>
      </c>
      <c r="I90" s="7">
        <f ca="1">+'Historical Data'!I94/'Historical Data'!I93-1</f>
        <v>-1.389854065323215E-3</v>
      </c>
      <c r="J90" s="7">
        <f ca="1">+'Historical Data'!J94/'Historical Data'!J93-1</f>
        <v>4.2377869334904172E-3</v>
      </c>
      <c r="K90" s="7">
        <f ca="1">+'Historical Data'!K94/'Historical Data'!K93-1</f>
        <v>2.9497663551401709E-2</v>
      </c>
      <c r="L90" s="7">
        <f ca="1">+'Historical Data'!L94/'Historical Data'!L93-1</f>
        <v>8.577555396711789E-3</v>
      </c>
      <c r="M90" s="7">
        <f ca="1">+'Historical Data'!M94/'Historical Data'!M93-1</f>
        <v>5.5117123888261954E-3</v>
      </c>
      <c r="N90" s="7">
        <f ca="1">+'Historical Data'!N94/'Historical Data'!N93-1</f>
        <v>6.1518536506393051E-3</v>
      </c>
      <c r="O90" s="7">
        <f ca="1">+'Historical Data'!O94/'Historical Data'!O93-1</f>
        <v>2.1048200378870341E-4</v>
      </c>
      <c r="P90" s="7">
        <f ca="1">+'Historical Data'!P94/'Historical Data'!P93-1</f>
        <v>2.1967823709304835E-2</v>
      </c>
    </row>
    <row r="91" spans="1:16" x14ac:dyDescent="0.25">
      <c r="A91" vm="1374">
        <f ca="1"/>
        <v>45475</v>
      </c>
      <c r="B91" s="7">
        <f ca="1">+'Historical Data'!B95/'Historical Data'!B94-1</f>
        <v>0.10197274373391774</v>
      </c>
      <c r="C91" s="7">
        <f ca="1">+'Historical Data'!C95/'Historical Data'!C94-1</f>
        <v>1.4198782961460488E-2</v>
      </c>
      <c r="D91" s="7">
        <f ca="1">+'Historical Data'!D95/'Historical Data'!D94-1</f>
        <v>5.5831672979658187E-3</v>
      </c>
      <c r="E91" s="7">
        <f ca="1">+'Historical Data'!E95/'Historical Data'!E94-1</f>
        <v>-3.8540856688868974E-3</v>
      </c>
      <c r="F91" s="7">
        <f ca="1">+'Historical Data'!F95/'Historical Data'!F94-1</f>
        <v>7.2517207472959644E-3</v>
      </c>
      <c r="G91" s="7">
        <f ca="1">+'Historical Data'!G95/'Historical Data'!G94-1</f>
        <v>1.6451691409102187E-2</v>
      </c>
      <c r="H91" s="7">
        <f ca="1">+'Historical Data'!H95/'Historical Data'!H94-1</f>
        <v>7.2576569291418203E-3</v>
      </c>
      <c r="I91" s="7">
        <f ca="1">+'Historical Data'!I95/'Historical Data'!I94-1</f>
        <v>-6.7849686847597512E-3</v>
      </c>
      <c r="J91" s="7">
        <f ca="1">+'Historical Data'!J95/'Historical Data'!J94-1</f>
        <v>1.5824639549876895E-2</v>
      </c>
      <c r="K91" s="7">
        <f ca="1">+'Historical Data'!K95/'Historical Data'!K94-1</f>
        <v>4.2553191489360653E-3</v>
      </c>
      <c r="L91" s="7">
        <f ca="1">+'Historical Data'!L95/'Historical Data'!L94-1</f>
        <v>-1.3819985825655579E-2</v>
      </c>
      <c r="M91" s="7">
        <f ca="1">+'Historical Data'!M95/'Historical Data'!M94-1</f>
        <v>-2.2424317926995618E-3</v>
      </c>
      <c r="N91" s="7">
        <f ca="1">+'Historical Data'!N95/'Historical Data'!N94-1</f>
        <v>-1.3113435237328996E-2</v>
      </c>
      <c r="O91" s="7">
        <f ca="1">+'Historical Data'!O95/'Historical Data'!O94-1</f>
        <v>-5.050505050505083E-3</v>
      </c>
      <c r="P91" s="7">
        <f ca="1">+'Historical Data'!P95/'Historical Data'!P94-1</f>
        <v>1.0165772793758965E-2</v>
      </c>
    </row>
    <row r="92" spans="1:16" x14ac:dyDescent="0.25">
      <c r="A92" vm="1389">
        <f ca="1"/>
        <v>45476</v>
      </c>
      <c r="B92" s="7">
        <f ca="1">+'Historical Data'!B96/'Historical Data'!B95-1</f>
        <v>6.5424197872524514E-2</v>
      </c>
      <c r="C92" s="7">
        <f ca="1">+'Historical Data'!C96/'Historical Data'!C95-1</f>
        <v>-1.2050000000000005E-2</v>
      </c>
      <c r="D92" s="7">
        <f ca="1">+'Historical Data'!D96/'Historical Data'!D95-1</f>
        <v>3.2442083260755261E-3</v>
      </c>
      <c r="E92" s="7">
        <f ca="1">+'Historical Data'!E96/'Historical Data'!E95-1</f>
        <v>8.7222127948414219E-3</v>
      </c>
      <c r="F92" s="7">
        <f ca="1">+'Historical Data'!F96/'Historical Data'!F95-1</f>
        <v>-4.270896888346476E-4</v>
      </c>
      <c r="G92" s="7">
        <f ca="1">+'Historical Data'!G96/'Historical Data'!G95-1</f>
        <v>-6.7040176219901326E-4</v>
      </c>
      <c r="H92" s="7">
        <f ca="1">+'Historical Data'!H96/'Historical Data'!H95-1</f>
        <v>-1.6758991650610233E-2</v>
      </c>
      <c r="I92" s="7">
        <f ca="1">+'Historical Data'!I96/'Historical Data'!I95-1</f>
        <v>5.079698721317305E-3</v>
      </c>
      <c r="J92" s="7">
        <f ca="1">+'Historical Data'!J96/'Historical Data'!J95-1</f>
        <v>-1.1654742672513319E-2</v>
      </c>
      <c r="K92" s="7">
        <f ca="1">+'Historical Data'!K96/'Historical Data'!K95-1</f>
        <v>3.5875706214689274E-2</v>
      </c>
      <c r="L92" s="7">
        <f ca="1">+'Historical Data'!L96/'Historical Data'!L95-1</f>
        <v>-4.6712181099533012E-3</v>
      </c>
      <c r="M92" s="7">
        <f ca="1">+'Historical Data'!M96/'Historical Data'!M95-1</f>
        <v>-4.619802721937849E-3</v>
      </c>
      <c r="N92" s="7">
        <f ca="1">+'Historical Data'!N96/'Historical Data'!N95-1</f>
        <v>4.5732452922474964E-2</v>
      </c>
      <c r="O92" s="7">
        <f ca="1">+'Historical Data'!O96/'Historical Data'!O95-1</f>
        <v>-4.0186125211505441E-3</v>
      </c>
      <c r="P92" s="7">
        <f ca="1">+'Historical Data'!P96/'Historical Data'!P95-1</f>
        <v>4.3282573545382119E-2</v>
      </c>
    </row>
    <row r="93" spans="1:16" x14ac:dyDescent="0.25">
      <c r="A93" vm="1404">
        <f ca="1"/>
        <v>45478</v>
      </c>
      <c r="B93" s="7">
        <f ca="1">+'Historical Data'!B97/'Historical Data'!B96-1</f>
        <v>2.0820650188725365E-2</v>
      </c>
      <c r="C93" s="7">
        <f ca="1">+'Historical Data'!C97/'Historical Data'!C96-1</f>
        <v>1.2196973531049204E-2</v>
      </c>
      <c r="D93" s="7">
        <f ca="1">+'Historical Data'!D97/'Historical Data'!D96-1</f>
        <v>1.4736202443735635E-2</v>
      </c>
      <c r="E93" s="7">
        <f ca="1">+'Historical Data'!E97/'Historical Data'!E96-1</f>
        <v>-5.1140569275285319E-3</v>
      </c>
      <c r="F93" s="7">
        <f ca="1">+'Historical Data'!F97/'Historical Data'!F96-1</f>
        <v>8.4233656839405313E-3</v>
      </c>
      <c r="G93" s="7">
        <f ca="1">+'Historical Data'!G97/'Historical Data'!G96-1</f>
        <v>-1.8688006133499524E-2</v>
      </c>
      <c r="H93" s="7">
        <f ca="1">+'Historical Data'!H97/'Historical Data'!H96-1</f>
        <v>-3.8375961950641857E-3</v>
      </c>
      <c r="I93" s="7">
        <f ca="1">+'Historical Data'!I97/'Historical Data'!I96-1</f>
        <v>-1.2112234227954044E-2</v>
      </c>
      <c r="J93" s="7">
        <f ca="1">+'Historical Data'!J97/'Historical Data'!J96-1</f>
        <v>1.3660245183888087E-2</v>
      </c>
      <c r="K93" s="7">
        <f ca="1">+'Historical Data'!K97/'Historical Data'!K96-1</f>
        <v>5.1813471502590858E-3</v>
      </c>
      <c r="L93" s="7">
        <f ca="1">+'Historical Data'!L97/'Historical Data'!L96-1</f>
        <v>1.2635379061371799E-2</v>
      </c>
      <c r="M93" s="7">
        <f ca="1">+'Historical Data'!M97/'Historical Data'!M96-1</f>
        <v>-6.3346713497239859E-3</v>
      </c>
      <c r="N93" s="7">
        <f ca="1">+'Historical Data'!N97/'Historical Data'!N96-1</f>
        <v>-1.9098846273776116E-2</v>
      </c>
      <c r="O93" s="7">
        <f ca="1">+'Historical Data'!O97/'Historical Data'!O96-1</f>
        <v>-9.34380972605664E-3</v>
      </c>
      <c r="P93" s="7">
        <f ca="1">+'Historical Data'!P97/'Historical Data'!P96-1</f>
        <v>-1.4983634239715049E-2</v>
      </c>
    </row>
    <row r="94" spans="1:16" x14ac:dyDescent="0.25">
      <c r="A94" vm="1417">
        <f ca="1"/>
        <v>45481</v>
      </c>
      <c r="B94" s="7">
        <f ca="1">+'Historical Data'!B98/'Historical Data'!B97-1</f>
        <v>5.6456743002544219E-3</v>
      </c>
      <c r="C94" s="7">
        <f ca="1">+'Historical Data'!C98/'Historical Data'!C97-1</f>
        <v>-3.5500000000000531E-3</v>
      </c>
      <c r="D94" s="7">
        <f ca="1">+'Historical Data'!D98/'Historical Data'!D97-1</f>
        <v>-2.8231670801608377E-3</v>
      </c>
      <c r="E94" s="7">
        <f ca="1">+'Historical Data'!E98/'Historical Data'!E97-1</f>
        <v>1.5387216773757206E-2</v>
      </c>
      <c r="F94" s="7">
        <f ca="1">+'Historical Data'!F98/'Historical Data'!F97-1</f>
        <v>7.9293021003570274E-3</v>
      </c>
      <c r="G94" s="7">
        <f ca="1">+'Historical Data'!G98/'Historical Data'!G97-1</f>
        <v>1.8555593534841375E-3</v>
      </c>
      <c r="H94" s="7">
        <f ca="1">+'Historical Data'!H98/'Historical Data'!H97-1</f>
        <v>2.7253539886478162E-3</v>
      </c>
      <c r="I94" s="7">
        <f ca="1">+'Historical Data'!I98/'Historical Data'!I97-1</f>
        <v>-1.0496604039869406E-2</v>
      </c>
      <c r="J94" s="7">
        <f ca="1">+'Historical Data'!J98/'Historical Data'!J97-1</f>
        <v>-2.5339783460032184E-3</v>
      </c>
      <c r="K94" s="7">
        <f ca="1">+'Historical Data'!K98/'Historical Data'!K97-1</f>
        <v>-3.2555615843732344E-3</v>
      </c>
      <c r="L94" s="7">
        <f ca="1">+'Historical Data'!L98/'Historical Data'!L97-1</f>
        <v>-4.2780748663101553E-3</v>
      </c>
      <c r="M94" s="7">
        <f ca="1">+'Historical Data'!M98/'Historical Data'!M97-1</f>
        <v>7.0062488165119063E-3</v>
      </c>
      <c r="N94" s="7">
        <f ca="1">+'Historical Data'!N98/'Historical Data'!N97-1</f>
        <v>1.8834936024795246E-2</v>
      </c>
      <c r="O94" s="7">
        <f ca="1">+'Historical Data'!O98/'Historical Data'!O97-1</f>
        <v>-1.2647374062164984E-2</v>
      </c>
      <c r="P94" s="7">
        <f ca="1">+'Historical Data'!P98/'Historical Data'!P97-1</f>
        <v>2.4980772730742062E-2</v>
      </c>
    </row>
    <row r="95" spans="1:16" x14ac:dyDescent="0.25">
      <c r="A95" vm="1432">
        <f ca="1"/>
        <v>45482</v>
      </c>
      <c r="B95" s="7">
        <f ca="1">+'Historical Data'!B99/'Historical Data'!B98-1</f>
        <v>3.7123428481062648E-2</v>
      </c>
      <c r="C95" s="7">
        <f ca="1">+'Historical Data'!C99/'Historical Data'!C98-1</f>
        <v>2.5089066184968978E-4</v>
      </c>
      <c r="D95" s="7">
        <f ca="1">+'Historical Data'!D99/'Historical Data'!D98-1</f>
        <v>-1.4370281400137297E-2</v>
      </c>
      <c r="E95" s="7">
        <f ca="1">+'Historical Data'!E99/'Historical Data'!E98-1</f>
        <v>-4.462947543713458E-3</v>
      </c>
      <c r="F95" s="7">
        <f ca="1">+'Historical Data'!F99/'Historical Data'!F98-1</f>
        <v>-5.1645447994235205E-3</v>
      </c>
      <c r="G95" s="7">
        <f ca="1">+'Historical Data'!G99/'Historical Data'!G98-1</f>
        <v>1.1990057025881073E-2</v>
      </c>
      <c r="H95" s="7">
        <f ca="1">+'Historical Data'!H99/'Historical Data'!H98-1</f>
        <v>5.6606858217191913E-3</v>
      </c>
      <c r="I95" s="7">
        <f ca="1">+'Historical Data'!I99/'Historical Data'!I98-1</f>
        <v>-1.1053663754680088E-2</v>
      </c>
      <c r="J95" s="7">
        <f ca="1">+'Historical Data'!J99/'Historical Data'!J98-1</f>
        <v>4.4341801385681334E-2</v>
      </c>
      <c r="K95" s="7">
        <f ca="1">+'Historical Data'!K99/'Historical Data'!K98-1</f>
        <v>-2.9395753946652281E-2</v>
      </c>
      <c r="L95" s="7">
        <f ca="1">+'Historical Data'!L99/'Historical Data'!L98-1</f>
        <v>-7.5187969924812581E-3</v>
      </c>
      <c r="M95" s="7">
        <f ca="1">+'Historical Data'!M99/'Historical Data'!M98-1</f>
        <v>-5.1397768584680037E-3</v>
      </c>
      <c r="N95" s="7">
        <f ca="1">+'Historical Data'!N99/'Historical Data'!N98-1</f>
        <v>2.4804992199688014E-2</v>
      </c>
      <c r="O95" s="7">
        <f ca="1">+'Historical Data'!O99/'Historical Data'!O98-1</f>
        <v>-5.6448111159358438E-3</v>
      </c>
      <c r="P95" s="7">
        <f ca="1">+'Historical Data'!P99/'Historical Data'!P98-1</f>
        <v>-7.1884343532702122E-3</v>
      </c>
    </row>
    <row r="96" spans="1:16" x14ac:dyDescent="0.25">
      <c r="A96" vm="1447">
        <f ca="1"/>
        <v>45483</v>
      </c>
      <c r="B96" s="7">
        <f ca="1">+'Historical Data'!B100/'Historical Data'!B99-1</f>
        <v>3.5451530515000496E-3</v>
      </c>
      <c r="C96" s="7">
        <f ca="1">+'Historical Data'!C100/'Historical Data'!C99-1</f>
        <v>2.2574495836258368E-3</v>
      </c>
      <c r="D96" s="7">
        <f ca="1">+'Historical Data'!D100/'Historical Data'!D99-1</f>
        <v>1.4601558079818888E-2</v>
      </c>
      <c r="E96" s="7">
        <f ca="1">+'Historical Data'!E100/'Historical Data'!E99-1</f>
        <v>2.1611856411628771E-2</v>
      </c>
      <c r="F96" s="7">
        <f ca="1">+'Historical Data'!F100/'Historical Data'!F99-1</f>
        <v>6.8815646504889472E-3</v>
      </c>
      <c r="G96" s="7">
        <f ca="1">+'Historical Data'!G100/'Historical Data'!G99-1</f>
        <v>8.1876414776282935E-4</v>
      </c>
      <c r="H96" s="7">
        <f ca="1">+'Historical Data'!H100/'Historical Data'!H99-1</f>
        <v>1.7922822133262795E-2</v>
      </c>
      <c r="I96" s="7">
        <f ca="1">+'Historical Data'!I100/'Historical Data'!I99-1</f>
        <v>8.83360374977471E-3</v>
      </c>
      <c r="J96" s="7">
        <f ca="1">+'Historical Data'!J100/'Historical Data'!J99-1</f>
        <v>2.5320654577620338E-2</v>
      </c>
      <c r="K96" s="7">
        <f ca="1">+'Historical Data'!K100/'Historical Data'!K99-1</f>
        <v>1.3740886146943465E-2</v>
      </c>
      <c r="L96" s="7">
        <f ca="1">+'Historical Data'!L100/'Historical Data'!L99-1</f>
        <v>2.2727272727272929E-2</v>
      </c>
      <c r="M96" s="7">
        <f ca="1">+'Historical Data'!M100/'Historical Data'!M99-1</f>
        <v>7.8755040322580072E-3</v>
      </c>
      <c r="N96" s="7">
        <f ca="1">+'Historical Data'!N100/'Historical Data'!N99-1</f>
        <v>2.6868625361546661E-2</v>
      </c>
      <c r="O96" s="7">
        <f ca="1">+'Historical Data'!O100/'Historical Data'!O99-1</f>
        <v>1.0262008733624484E-2</v>
      </c>
      <c r="P96" s="7">
        <f ca="1">+'Historical Data'!P100/'Historical Data'!P99-1</f>
        <v>6.5654729967519199E-3</v>
      </c>
    </row>
    <row r="97" spans="1:16" x14ac:dyDescent="0.25">
      <c r="A97" vm="1463">
        <f ca="1"/>
        <v>45484</v>
      </c>
      <c r="B97" s="7">
        <f ca="1">+'Historical Data'!B101/'Historical Data'!B100-1</f>
        <v>-8.44412368001215E-2</v>
      </c>
      <c r="C97" s="7">
        <f ca="1">+'Historical Data'!C101/'Historical Data'!C100-1</f>
        <v>-2.372491115671449E-2</v>
      </c>
      <c r="D97" s="7">
        <f ca="1">+'Historical Data'!D101/'Historical Data'!D100-1</f>
        <v>-2.4772117962466478E-2</v>
      </c>
      <c r="E97" s="7">
        <f ca="1">+'Historical Data'!E101/'Historical Data'!E100-1</f>
        <v>2.8162556898189139E-2</v>
      </c>
      <c r="F97" s="7">
        <f ca="1">+'Historical Data'!F101/'Historical Data'!F100-1</f>
        <v>-7.553956834532527E-3</v>
      </c>
      <c r="G97" s="7">
        <f ca="1">+'Historical Data'!G101/'Historical Data'!G100-1</f>
        <v>-1.6843118383061961E-3</v>
      </c>
      <c r="H97" s="7">
        <f ca="1">+'Historical Data'!H101/'Historical Data'!H100-1</f>
        <v>6.8472640887948799E-3</v>
      </c>
      <c r="I97" s="7">
        <f ca="1">+'Historical Data'!I101/'Historical Data'!I100-1</f>
        <v>1.1883488205861381E-2</v>
      </c>
      <c r="J97" s="7">
        <f ca="1">+'Historical Data'!J101/'Historical Data'!J100-1</f>
        <v>3.1273589992451223E-2</v>
      </c>
      <c r="K97" s="7">
        <f ca="1">+'Historical Data'!K101/'Historical Data'!K100-1</f>
        <v>-7.468879668049655E-3</v>
      </c>
      <c r="L97" s="7">
        <f ca="1">+'Historical Data'!L101/'Historical Data'!L100-1</f>
        <v>1.0934744268077612E-2</v>
      </c>
      <c r="M97" s="7">
        <f ca="1">+'Historical Data'!M101/'Historical Data'!M100-1</f>
        <v>1.293992623616913E-2</v>
      </c>
      <c r="N97" s="7">
        <f ca="1">+'Historical Data'!N101/'Historical Data'!N100-1</f>
        <v>-5.5666740790156322E-2</v>
      </c>
      <c r="O97" s="7">
        <f ca="1">+'Historical Data'!O101/'Historical Data'!O100-1</f>
        <v>1.0590015128592922E-2</v>
      </c>
      <c r="P97" s="7">
        <f ca="1">+'Historical Data'!P101/'Historical Data'!P100-1</f>
        <v>-2.2204517708016902E-2</v>
      </c>
    </row>
    <row r="98" spans="1:16" x14ac:dyDescent="0.25">
      <c r="A98" vm="1477">
        <f ca="1"/>
        <v>45485</v>
      </c>
      <c r="B98" s="7">
        <f ca="1">+'Historical Data'!B102/'Historical Data'!B101-1</f>
        <v>2.9871800190847564E-2</v>
      </c>
      <c r="C98" s="7">
        <f ca="1">+'Historical Data'!C102/'Historical Data'!C101-1</f>
        <v>-2.8710587028967227E-3</v>
      </c>
      <c r="D98" s="7">
        <f ca="1">+'Historical Data'!D102/'Historical Data'!D101-1</f>
        <v>-2.529140092368598E-3</v>
      </c>
      <c r="E98" s="7">
        <f ca="1">+'Historical Data'!E102/'Historical Data'!E101-1</f>
        <v>1.4014077778131684E-2</v>
      </c>
      <c r="F98" s="7">
        <f ca="1">+'Historical Data'!F102/'Historical Data'!F101-1</f>
        <v>6.4636945753293595E-3</v>
      </c>
      <c r="G98" s="7">
        <f ca="1">+'Historical Data'!G102/'Historical Data'!G101-1</f>
        <v>-1.2099301036394228E-2</v>
      </c>
      <c r="H98" s="7">
        <f ca="1">+'Historical Data'!H102/'Historical Data'!H101-1</f>
        <v>1.4216036164644175E-2</v>
      </c>
      <c r="I98" s="7">
        <f ca="1">+'Historical Data'!I102/'Historical Data'!I101-1</f>
        <v>1.7660044150114018E-4</v>
      </c>
      <c r="J98" s="7">
        <f ca="1">+'Historical Data'!J102/'Historical Data'!J101-1</f>
        <v>4.6010666108959875E-3</v>
      </c>
      <c r="K98" s="7">
        <f ca="1">+'Historical Data'!K102/'Historical Data'!K101-1</f>
        <v>1.1984392419174927E-2</v>
      </c>
      <c r="L98" s="7">
        <f ca="1">+'Historical Data'!L102/'Historical Data'!L101-1</f>
        <v>9.0718771807396514E-3</v>
      </c>
      <c r="M98" s="7">
        <f ca="1">+'Historical Data'!M102/'Historical Data'!M101-1</f>
        <v>1.018267094544556E-2</v>
      </c>
      <c r="N98" s="7">
        <f ca="1">+'Historical Data'!N102/'Historical Data'!N101-1</f>
        <v>1.4442700156985788E-2</v>
      </c>
      <c r="O98" s="7">
        <f ca="1">+'Historical Data'!O102/'Historical Data'!O101-1</f>
        <v>1.3259195893926545E-2</v>
      </c>
      <c r="P98" s="7">
        <f ca="1">+'Historical Data'!P102/'Historical Data'!P101-1</f>
        <v>-3.0950496790643767E-3</v>
      </c>
    </row>
    <row r="99" spans="1:16" x14ac:dyDescent="0.25">
      <c r="A99" vm="1491">
        <f ca="1"/>
        <v>45488</v>
      </c>
      <c r="B99" s="7">
        <f ca="1">+'Historical Data'!B103/'Historical Data'!B102-1</f>
        <v>1.7765781734681463E-2</v>
      </c>
      <c r="C99" s="7">
        <f ca="1">+'Historical Data'!C103/'Historical Data'!C102-1</f>
        <v>-9.1007249730064022E-3</v>
      </c>
      <c r="D99" s="7">
        <f ca="1">+'Historical Data'!D103/'Historical Data'!D102-1</f>
        <v>9.0397971557698575E-4</v>
      </c>
      <c r="E99" s="7">
        <f ca="1">+'Historical Data'!E103/'Historical Data'!E102-1</f>
        <v>3.1409994660314133E-4</v>
      </c>
      <c r="F99" s="7">
        <f ca="1">+'Historical Data'!F103/'Historical Data'!F102-1</f>
        <v>-1.2184142608486881E-2</v>
      </c>
      <c r="G99" s="7">
        <f ca="1">+'Historical Data'!G103/'Historical Data'!G102-1</f>
        <v>2.4934127061579048E-2</v>
      </c>
      <c r="H99" s="7">
        <f ca="1">+'Historical Data'!H103/'Historical Data'!H102-1</f>
        <v>7.5068910914315445E-3</v>
      </c>
      <c r="I99" s="7">
        <f ca="1">+'Historical Data'!I103/'Historical Data'!I102-1</f>
        <v>1.712721815131979E-2</v>
      </c>
      <c r="J99" s="7">
        <f ca="1">+'Historical Data'!J103/'Historical Data'!J102-1</f>
        <v>-4.5799937545538683E-3</v>
      </c>
      <c r="K99" s="7">
        <f ca="1">+'Historical Data'!K103/'Historical Data'!K102-1</f>
        <v>0</v>
      </c>
      <c r="L99" s="7">
        <f ca="1">+'Historical Data'!L103/'Historical Data'!L102-1</f>
        <v>6.2240663900414717E-3</v>
      </c>
      <c r="M99" s="7">
        <f ca="1">+'Historical Data'!M103/'Historical Data'!M102-1</f>
        <v>1.9671329952959837E-2</v>
      </c>
      <c r="N99" s="7">
        <f ca="1">+'Historical Data'!N103/'Historical Data'!N102-1</f>
        <v>-6.1900340451873648E-3</v>
      </c>
      <c r="O99" s="7">
        <f ca="1">+'Historical Data'!O103/'Historical Data'!O102-1</f>
        <v>4.2211903756861346E-4</v>
      </c>
      <c r="P99" s="7">
        <f ca="1">+'Historical Data'!P103/'Historical Data'!P102-1</f>
        <v>7.9556880523556917E-3</v>
      </c>
    </row>
    <row r="100" spans="1:16" x14ac:dyDescent="0.25">
      <c r="A100" vm="1505">
        <f ca="1"/>
        <v>45489</v>
      </c>
      <c r="B100" s="7">
        <f ca="1">+'Historical Data'!B104/'Historical Data'!B103-1</f>
        <v>1.551614946168467E-2</v>
      </c>
      <c r="C100" s="7">
        <f ca="1">+'Historical Data'!C104/'Historical Data'!C103-1</f>
        <v>1.5566625155667424E-3</v>
      </c>
      <c r="D100" s="7">
        <f ca="1">+'Historical Data'!D104/'Historical Data'!D103-1</f>
        <v>-9.7805974094633541E-3</v>
      </c>
      <c r="E100" s="7">
        <f ca="1">+'Historical Data'!E104/'Historical Data'!E103-1</f>
        <v>2.4900304581279009E-2</v>
      </c>
      <c r="F100" s="7">
        <f ca="1">+'Historical Data'!F104/'Historical Data'!F103-1</f>
        <v>1.4400291651476271E-2</v>
      </c>
      <c r="G100" s="7">
        <f ca="1">+'Historical Data'!G104/'Historical Data'!G103-1</f>
        <v>1.6995953344441705E-2</v>
      </c>
      <c r="H100" s="7">
        <f ca="1">+'Historical Data'!H104/'Historical Data'!H103-1</f>
        <v>6.5001843335855902E-2</v>
      </c>
      <c r="I100" s="7">
        <f ca="1">+'Historical Data'!I104/'Historical Data'!I103-1</f>
        <v>7.2042357434252136E-3</v>
      </c>
      <c r="J100" s="7">
        <f ca="1">+'Historical Data'!J104/'Historical Data'!J103-1</f>
        <v>5.2284847851091776E-3</v>
      </c>
      <c r="K100" s="7">
        <f ca="1">+'Historical Data'!K104/'Historical Data'!K103-1</f>
        <v>3.5802809143485881E-3</v>
      </c>
      <c r="L100" s="7">
        <f ca="1">+'Historical Data'!L104/'Historical Data'!L103-1</f>
        <v>1.3745704467353903E-2</v>
      </c>
      <c r="M100" s="7">
        <f ca="1">+'Historical Data'!M104/'Historical Data'!M103-1</f>
        <v>5.3921274938590891E-3</v>
      </c>
      <c r="N100" s="7">
        <f ca="1">+'Historical Data'!N104/'Historical Data'!N103-1</f>
        <v>-1.619433198380571E-2</v>
      </c>
      <c r="O100" s="7">
        <f ca="1">+'Historical Data'!O104/'Historical Data'!O103-1</f>
        <v>4.2194092827019247E-4</v>
      </c>
      <c r="P100" s="7">
        <f ca="1">+'Historical Data'!P104/'Historical Data'!P103-1</f>
        <v>-1.1929763154824302E-2</v>
      </c>
    </row>
    <row r="101" spans="1:16" x14ac:dyDescent="0.25">
      <c r="A101" vm="1519">
        <f ca="1"/>
        <v>45490</v>
      </c>
      <c r="B101" s="7">
        <f ca="1">+'Historical Data'!B105/'Historical Data'!B104-1</f>
        <v>-3.1415653258497045E-2</v>
      </c>
      <c r="C101" s="7">
        <f ca="1">+'Historical Data'!C105/'Historical Data'!C104-1</f>
        <v>-2.6370324318723437E-2</v>
      </c>
      <c r="D101" s="7">
        <f ca="1">+'Historical Data'!D105/'Historical Data'!D104-1</f>
        <v>-1.3347570742124892E-2</v>
      </c>
      <c r="E101" s="7">
        <f ca="1">+'Historical Data'!E105/'Historical Data'!E104-1</f>
        <v>-1.8382352941175295E-3</v>
      </c>
      <c r="F101" s="7">
        <f ca="1">+'Historical Data'!F105/'Historical Data'!F104-1</f>
        <v>1.4914645103324409E-2</v>
      </c>
      <c r="G101" s="7">
        <f ca="1">+'Historical Data'!G105/'Historical Data'!G104-1</f>
        <v>1.5213931279842718E-2</v>
      </c>
      <c r="H101" s="7">
        <f ca="1">+'Historical Data'!H105/'Historical Data'!H104-1</f>
        <v>4.4473190372948057E-2</v>
      </c>
      <c r="I101" s="7">
        <f ca="1">+'Historical Data'!I105/'Historical Data'!I104-1</f>
        <v>1.3788348845225729E-2</v>
      </c>
      <c r="J101" s="7">
        <f ca="1">+'Historical Data'!J105/'Historical Data'!J104-1</f>
        <v>-1.7684385727659846E-3</v>
      </c>
      <c r="K101" s="7">
        <f ca="1">+'Historical Data'!K105/'Historical Data'!K104-1</f>
        <v>-1.0976948408342402E-2</v>
      </c>
      <c r="L101" s="7">
        <f ca="1">+'Historical Data'!L105/'Historical Data'!L104-1</f>
        <v>1.7966101694915304E-2</v>
      </c>
      <c r="M101" s="7">
        <f ca="1">+'Historical Data'!M105/'Historical Data'!M104-1</f>
        <v>1.7221858053751093E-2</v>
      </c>
      <c r="N101" s="7">
        <f ca="1">+'Historical Data'!N105/'Historical Data'!N104-1</f>
        <v>-6.6239316239316226E-2</v>
      </c>
      <c r="O101" s="7">
        <f ca="1">+'Historical Data'!O105/'Historical Data'!O104-1</f>
        <v>2.3196963306621798E-2</v>
      </c>
      <c r="P101" s="7">
        <f ca="1">+'Historical Data'!P105/'Historical Data'!P104-1</f>
        <v>-7.9084870848708522E-2</v>
      </c>
    </row>
    <row r="102" spans="1:16" x14ac:dyDescent="0.25">
      <c r="A102" vm="1535">
        <f ca="1"/>
        <v>45491</v>
      </c>
      <c r="B102" s="7">
        <f ca="1">+'Historical Data'!B106/'Historical Data'!B105-1</f>
        <v>2.9376257545270512E-3</v>
      </c>
      <c r="C102" s="7">
        <f ca="1">+'Historical Data'!C106/'Historical Data'!C105-1</f>
        <v>-2.2242324269674874E-2</v>
      </c>
      <c r="D102" s="7">
        <f ca="1">+'Historical Data'!D106/'Historical Data'!D105-1</f>
        <v>-7.1022727272727071E-3</v>
      </c>
      <c r="E102" s="7">
        <f ca="1">+'Historical Data'!E106/'Historical Data'!E105-1</f>
        <v>-1.0435850214857156E-3</v>
      </c>
      <c r="F102" s="7">
        <f ca="1">+'Historical Data'!F106/'Historical Data'!F105-1</f>
        <v>-5.9017941454202472E-3</v>
      </c>
      <c r="G102" s="7">
        <f ca="1">+'Historical Data'!G106/'Historical Data'!G105-1</f>
        <v>-3.1770184903398446E-2</v>
      </c>
      <c r="H102" s="7">
        <f ca="1">+'Historical Data'!H106/'Historical Data'!H105-1</f>
        <v>-1.5594473904549155E-2</v>
      </c>
      <c r="I102" s="7">
        <f ca="1">+'Historical Data'!I106/'Historical Data'!I105-1</f>
        <v>9.8605916354981282E-3</v>
      </c>
      <c r="J102" s="7">
        <f ca="1">+'Historical Data'!J106/'Historical Data'!J105-1</f>
        <v>-2.87619841600667E-2</v>
      </c>
      <c r="K102" s="7">
        <f ca="1">+'Historical Data'!K106/'Historical Data'!K105-1</f>
        <v>-3.8845726970033745E-3</v>
      </c>
      <c r="L102" s="7">
        <f ca="1">+'Historical Data'!L106/'Historical Data'!L105-1</f>
        <v>-1.0656010656010628E-2</v>
      </c>
      <c r="M102" s="7">
        <f ca="1">+'Historical Data'!M106/'Historical Data'!M105-1</f>
        <v>3.5090802577621538E-2</v>
      </c>
      <c r="N102" s="7">
        <f ca="1">+'Historical Data'!N106/'Historical Data'!N105-1</f>
        <v>2.6273413001101753E-2</v>
      </c>
      <c r="O102" s="7">
        <f ca="1">+'Historical Data'!O106/'Historical Data'!O105-1</f>
        <v>-9.8928276999176168E-3</v>
      </c>
      <c r="P102" s="7">
        <f ca="1">+'Historical Data'!P106/'Historical Data'!P105-1</f>
        <v>2.9106295678933414E-2</v>
      </c>
    </row>
    <row r="103" spans="1:16" x14ac:dyDescent="0.25">
      <c r="A103" vm="1551">
        <f ca="1"/>
        <v>45492</v>
      </c>
      <c r="B103" s="7">
        <f ca="1">+'Historical Data'!B107/'Historical Data'!B106-1</f>
        <v>-4.0243951370220299E-2</v>
      </c>
      <c r="C103" s="7">
        <f ca="1">+'Historical Data'!C107/'Historical Data'!C106-1</f>
        <v>-3.3741496598639342E-3</v>
      </c>
      <c r="D103" s="7">
        <f ca="1">+'Historical Data'!D107/'Historical Data'!D106-1</f>
        <v>-7.402865771964473E-3</v>
      </c>
      <c r="E103" s="7">
        <f ca="1">+'Historical Data'!E107/'Historical Data'!E106-1</f>
        <v>-1.1091992871627765E-2</v>
      </c>
      <c r="F103" s="7">
        <f ca="1">+'Historical Data'!F107/'Historical Data'!F106-1</f>
        <v>-2.8496794110661749E-3</v>
      </c>
      <c r="G103" s="7">
        <f ca="1">+'Historical Data'!G107/'Historical Data'!G106-1</f>
        <v>-9.5247166396794647E-4</v>
      </c>
      <c r="H103" s="7">
        <f ca="1">+'Historical Data'!H107/'Historical Data'!H106-1</f>
        <v>1.754261615338315E-3</v>
      </c>
      <c r="I103" s="7">
        <f ca="1">+'Historical Data'!I107/'Historical Data'!I106-1</f>
        <v>-2.2979797979797989E-2</v>
      </c>
      <c r="J103" s="7">
        <f ca="1">+'Historical Data'!J107/'Historical Data'!J106-1</f>
        <v>-3.9699570815451279E-3</v>
      </c>
      <c r="K103" s="7">
        <f ca="1">+'Historical Data'!K107/'Historical Data'!K106-1</f>
        <v>-4.4568245125347072E-3</v>
      </c>
      <c r="L103" s="7">
        <f ca="1">+'Historical Data'!L107/'Historical Data'!L106-1</f>
        <v>8.7512622012788643E-3</v>
      </c>
      <c r="M103" s="7">
        <f ca="1">+'Historical Data'!M107/'Historical Data'!M106-1</f>
        <v>-1.3073744977078472E-2</v>
      </c>
      <c r="N103" s="7">
        <f ca="1">+'Historical Data'!N107/'Historical Data'!N106-1</f>
        <v>-2.609629201420427E-2</v>
      </c>
      <c r="O103" s="7">
        <f ca="1">+'Historical Data'!O107/'Historical Data'!O106-1</f>
        <v>-1.4987510407993287E-2</v>
      </c>
      <c r="P103" s="7">
        <f ca="1">+'Historical Data'!P107/'Historical Data'!P106-1</f>
        <v>-1.9748317966608586E-2</v>
      </c>
    </row>
    <row r="104" spans="1:16" x14ac:dyDescent="0.25">
      <c r="A104" vm="1566">
        <f ca="1"/>
        <v>45495</v>
      </c>
      <c r="B104" s="7">
        <f ca="1">+'Historical Data'!B108/'Historical Data'!B107-1</f>
        <v>5.1463210702341167E-2</v>
      </c>
      <c r="C104" s="7">
        <f ca="1">+'Historical Data'!C108/'Historical Data'!C107-1</f>
        <v>-3.1671490198218466E-3</v>
      </c>
      <c r="D104" s="7">
        <f ca="1">+'Historical Data'!D108/'Historical Data'!D107-1</f>
        <v>1.3337603806822029E-2</v>
      </c>
      <c r="E104" s="7">
        <f ca="1">+'Historical Data'!E108/'Historical Data'!E107-1</f>
        <v>1.5535187199005041E-3</v>
      </c>
      <c r="F104" s="7">
        <f ca="1">+'Historical Data'!F108/'Historical Data'!F107-1</f>
        <v>1.7266015718027106E-3</v>
      </c>
      <c r="G104" s="7">
        <f ca="1">+'Historical Data'!G108/'Historical Data'!G107-1</f>
        <v>2.3834493278673818E-3</v>
      </c>
      <c r="H104" s="7">
        <f ca="1">+'Historical Data'!H108/'Historical Data'!H107-1</f>
        <v>-1.202837280880209E-2</v>
      </c>
      <c r="I104" s="7">
        <f ca="1">+'Historical Data'!I108/'Historical Data'!I107-1</f>
        <v>-6.8923925217541093E-3</v>
      </c>
      <c r="J104" s="7">
        <f ca="1">+'Historical Data'!J108/'Historical Data'!J107-1</f>
        <v>-2.1544759237301925E-4</v>
      </c>
      <c r="K104" s="7">
        <f ca="1">+'Historical Data'!K108/'Historical Data'!K107-1</f>
        <v>1.259093452714044E-2</v>
      </c>
      <c r="L104" s="7">
        <f ca="1">+'Historical Data'!L108/'Historical Data'!L107-1</f>
        <v>-1.2345679012345623E-2</v>
      </c>
      <c r="M104" s="7">
        <f ca="1">+'Historical Data'!M108/'Historical Data'!M107-1</f>
        <v>2.5805711664181885E-3</v>
      </c>
      <c r="N104" s="7">
        <f ca="1">+'Historical Data'!N108/'Historical Data'!N107-1</f>
        <v>4.7570592724497596E-2</v>
      </c>
      <c r="O104" s="7">
        <f ca="1">+'Historical Data'!O108/'Historical Data'!O107-1</f>
        <v>-1.0566356720202896E-2</v>
      </c>
      <c r="P104" s="7">
        <f ca="1">+'Historical Data'!P108/'Historical Data'!P107-1</f>
        <v>2.3578010803940286E-2</v>
      </c>
    </row>
    <row r="105" spans="1:16" x14ac:dyDescent="0.25">
      <c r="A105" vm="1580">
        <f ca="1"/>
        <v>45496</v>
      </c>
      <c r="B105" s="7">
        <f ca="1">+'Historical Data'!B109/'Historical Data'!B108-1</f>
        <v>-2.0396803308019518E-2</v>
      </c>
      <c r="C105" s="7">
        <f ca="1">+'Historical Data'!C109/'Historical Data'!C108-1</f>
        <v>2.1144891810462862E-2</v>
      </c>
      <c r="D105" s="7">
        <f ca="1">+'Historical Data'!D109/'Historical Data'!D108-1</f>
        <v>4.3120964464713474E-3</v>
      </c>
      <c r="E105" s="7">
        <f ca="1">+'Historical Data'!E109/'Historical Data'!E108-1</f>
        <v>6.8714130603381385E-2</v>
      </c>
      <c r="F105" s="7">
        <f ca="1">+'Historical Data'!F109/'Historical Data'!F108-1</f>
        <v>-9.6879643387814962E-3</v>
      </c>
      <c r="G105" s="7">
        <f ca="1">+'Historical Data'!G109/'Historical Data'!G108-1</f>
        <v>2.3777820049453169E-4</v>
      </c>
      <c r="H105" s="7">
        <f ca="1">+'Historical Data'!H109/'Historical Data'!H108-1</f>
        <v>-6.8572860902725852E-3</v>
      </c>
      <c r="I105" s="7">
        <f ca="1">+'Historical Data'!I109/'Historical Data'!I108-1</f>
        <v>-1.6136028454931894E-2</v>
      </c>
      <c r="J105" s="7">
        <f ca="1">+'Historical Data'!J109/'Historical Data'!J108-1</f>
        <v>-1.228315914233391E-2</v>
      </c>
      <c r="K105" s="7">
        <f ca="1">+'Historical Data'!K109/'Historical Data'!K108-1</f>
        <v>-1.4368610113290825E-2</v>
      </c>
      <c r="L105" s="7">
        <f ca="1">+'Historical Data'!L109/'Historical Data'!L108-1</f>
        <v>-3.3783783783783994E-3</v>
      </c>
      <c r="M105" s="7">
        <f ca="1">+'Historical Data'!M109/'Historical Data'!M108-1</f>
        <v>-7.0354058227993788E-3</v>
      </c>
      <c r="N105" s="7">
        <f ca="1">+'Historical Data'!N109/'Historical Data'!N108-1</f>
        <v>-7.689817063299409E-3</v>
      </c>
      <c r="O105" s="7">
        <f ca="1">+'Historical Data'!O109/'Historical Data'!O108-1</f>
        <v>-9.8248611704400135E-3</v>
      </c>
      <c r="P105" s="7">
        <f ca="1">+'Historical Data'!P109/'Historical Data'!P108-1</f>
        <v>1.6826027567366175E-2</v>
      </c>
    </row>
    <row r="106" spans="1:16" x14ac:dyDescent="0.25">
      <c r="A106" vm="1594">
        <f ca="1"/>
        <v>45497</v>
      </c>
      <c r="B106" s="7">
        <f ca="1">+'Historical Data'!B110/'Historical Data'!B109-1</f>
        <v>-0.12334605081581296</v>
      </c>
      <c r="C106" s="7">
        <f ca="1">+'Historical Data'!C110/'Historical Data'!C109-1</f>
        <v>-2.9934016415428255E-2</v>
      </c>
      <c r="D106" s="7">
        <f ca="1">+'Historical Data'!D110/'Historical Data'!D109-1</f>
        <v>-3.585478251095886E-2</v>
      </c>
      <c r="E106" s="7">
        <f ca="1">+'Historical Data'!E110/'Historical Data'!E109-1</f>
        <v>-3.6226415094339659E-2</v>
      </c>
      <c r="F106" s="7">
        <f ca="1">+'Historical Data'!F110/'Historical Data'!F109-1</f>
        <v>8.2823190493337417E-3</v>
      </c>
      <c r="G106" s="7">
        <f ca="1">+'Historical Data'!G110/'Historical Data'!G109-1</f>
        <v>-8.2727143060904451E-3</v>
      </c>
      <c r="H106" s="7">
        <f ca="1">+'Historical Data'!H110/'Historical Data'!H109-1</f>
        <v>9.104020191094131E-3</v>
      </c>
      <c r="I106" s="7">
        <f ca="1">+'Historical Data'!I110/'Historical Data'!I109-1</f>
        <v>1.4108103341857081E-2</v>
      </c>
      <c r="J106" s="7">
        <f ca="1">+'Historical Data'!J110/'Historical Data'!J109-1</f>
        <v>-2.7053561688665795E-2</v>
      </c>
      <c r="K106" s="7">
        <f ca="1">+'Historical Data'!K110/'Historical Data'!K109-1</f>
        <v>-1.7101205494813532E-2</v>
      </c>
      <c r="L106" s="7">
        <f ca="1">+'Historical Data'!L110/'Historical Data'!L109-1</f>
        <v>1.6271186440677932E-2</v>
      </c>
      <c r="M106" s="7">
        <f ca="1">+'Historical Data'!M110/'Historical Data'!M109-1</f>
        <v>-7.2580645161289814E-3</v>
      </c>
      <c r="N106" s="7">
        <f ca="1">+'Historical Data'!N110/'Historical Data'!N109-1</f>
        <v>-6.8031650216167749E-2</v>
      </c>
      <c r="O106" s="7">
        <f ca="1">+'Historical Data'!O110/'Historical Data'!O109-1</f>
        <v>1.0569456427955259E-2</v>
      </c>
      <c r="P106" s="7">
        <f ca="1">+'Historical Data'!P110/'Historical Data'!P109-1</f>
        <v>-7.5899126824204743E-2</v>
      </c>
    </row>
    <row r="107" spans="1:16" x14ac:dyDescent="0.25">
      <c r="A107" vm="1609">
        <f ca="1"/>
        <v>45498</v>
      </c>
      <c r="B107" s="7">
        <f ca="1">+'Historical Data'!B111/'Historical Data'!B110-1</f>
        <v>1.9723135330339314E-2</v>
      </c>
      <c r="C107" s="7">
        <f ca="1">+'Historical Data'!C111/'Historical Data'!C110-1</f>
        <v>-5.4194547364929679E-3</v>
      </c>
      <c r="D107" s="7">
        <f ca="1">+'Historical Data'!D111/'Historical Data'!D110-1</f>
        <v>-2.4481231056190267E-2</v>
      </c>
      <c r="E107" s="7">
        <f ca="1">+'Historical Data'!E111/'Historical Data'!E110-1</f>
        <v>3.2287211613758249E-2</v>
      </c>
      <c r="F107" s="7">
        <f ca="1">+'Historical Data'!F111/'Historical Data'!F110-1</f>
        <v>-6.5476190476190244E-3</v>
      </c>
      <c r="G107" s="7">
        <f ca="1">+'Historical Data'!G111/'Historical Data'!G110-1</f>
        <v>3.8352749412706721E-4</v>
      </c>
      <c r="H107" s="7">
        <f ca="1">+'Historical Data'!H111/'Historical Data'!H110-1</f>
        <v>-1.2505582849497987E-4</v>
      </c>
      <c r="I107" s="7">
        <f ca="1">+'Historical Data'!I111/'Historical Data'!I110-1</f>
        <v>2.104164855229973E-2</v>
      </c>
      <c r="J107" s="7">
        <f ca="1">+'Historical Data'!J111/'Historical Data'!J110-1</f>
        <v>-3.5429980939567285E-2</v>
      </c>
      <c r="K107" s="7">
        <f ca="1">+'Historical Data'!K111/'Historical Data'!K110-1</f>
        <v>-3.1374786081004302E-3</v>
      </c>
      <c r="L107" s="7">
        <f ca="1">+'Historical Data'!L111/'Historical Data'!L110-1</f>
        <v>6.6711140760506993E-3</v>
      </c>
      <c r="M107" s="7">
        <f ca="1">+'Historical Data'!M111/'Historical Data'!M110-1</f>
        <v>-4.0269235232679557E-2</v>
      </c>
      <c r="N107" s="7">
        <f ca="1">+'Historical Data'!N111/'Historical Data'!N110-1</f>
        <v>-1.7242888402625778E-2</v>
      </c>
      <c r="O107" s="7">
        <f ca="1">+'Historical Data'!O111/'Historical Data'!O110-1</f>
        <v>8.3244397011739135E-3</v>
      </c>
      <c r="P107" s="7">
        <f ca="1">+'Historical Data'!P111/'Historical Data'!P110-1</f>
        <v>-1.3743887934452359E-2</v>
      </c>
    </row>
    <row r="108" spans="1:16" x14ac:dyDescent="0.25">
      <c r="A108" vm="1624">
        <f ca="1"/>
        <v>45499</v>
      </c>
      <c r="B108" s="7">
        <f ca="1">+'Historical Data'!B112/'Historical Data'!B111-1</f>
        <v>-2.0431328036322194E-3</v>
      </c>
      <c r="C108" s="7">
        <f ca="1">+'Historical Data'!C112/'Historical Data'!C111-1</f>
        <v>1.4734500973033082E-2</v>
      </c>
      <c r="D108" s="7">
        <f ca="1">+'Historical Data'!D112/'Historical Data'!D111-1</f>
        <v>1.6419694072657753E-2</v>
      </c>
      <c r="E108" s="7">
        <f ca="1">+'Historical Data'!E112/'Historical Data'!E111-1</f>
        <v>1.8906459707066725E-2</v>
      </c>
      <c r="F108" s="7">
        <f ca="1">+'Historical Data'!F112/'Historical Data'!F111-1</f>
        <v>1.3241461953265476E-2</v>
      </c>
      <c r="G108" s="7">
        <f ca="1">+'Historical Data'!G112/'Historical Data'!G111-1</f>
        <v>1.7108352901710866E-2</v>
      </c>
      <c r="H108" s="7">
        <f ca="1">+'Historical Data'!H112/'Historical Data'!H111-1</f>
        <v>1.7938822184105252E-2</v>
      </c>
      <c r="I108" s="7">
        <f ca="1">+'Historical Data'!I112/'Historical Data'!I111-1</f>
        <v>-8.5157114876954765E-4</v>
      </c>
      <c r="J108" s="7">
        <f ca="1">+'Historical Data'!J112/'Historical Data'!J111-1</f>
        <v>1.4994769266534869E-2</v>
      </c>
      <c r="K108" s="7">
        <f ca="1">+'Historical Data'!K112/'Historical Data'!K111-1</f>
        <v>1.4592274678111528E-2</v>
      </c>
      <c r="L108" s="7">
        <f ca="1">+'Historical Data'!L112/'Historical Data'!L111-1</f>
        <v>1.9549370444002623E-2</v>
      </c>
      <c r="M108" s="7">
        <f ca="1">+'Historical Data'!M112/'Historical Data'!M111-1</f>
        <v>2.279322853688015E-2</v>
      </c>
      <c r="N108" s="7">
        <f ca="1">+'Historical Data'!N112/'Historical Data'!N111-1</f>
        <v>6.9469184182400223E-3</v>
      </c>
      <c r="O108" s="7">
        <f ca="1">+'Historical Data'!O112/'Historical Data'!O111-1</f>
        <v>1.3547840812870415E-2</v>
      </c>
      <c r="P108" s="7">
        <f ca="1">+'Historical Data'!P112/'Historical Data'!P111-1</f>
        <v>1.5878333110009413E-2</v>
      </c>
    </row>
    <row r="109" spans="1:16" x14ac:dyDescent="0.25">
      <c r="A109" vm="1639">
        <f ca="1"/>
        <v>45502</v>
      </c>
      <c r="B109" s="7">
        <f ca="1">+'Historical Data'!B113/'Historical Data'!B112-1</f>
        <v>5.5959963603275709E-2</v>
      </c>
      <c r="C109" s="7">
        <f ca="1">+'Historical Data'!C113/'Historical Data'!C112-1</f>
        <v>3.8356164383561708E-3</v>
      </c>
      <c r="D109" s="7">
        <f ca="1">+'Historical Data'!D113/'Historical Data'!D112-1</f>
        <v>3.4331130811016131E-3</v>
      </c>
      <c r="E109" s="7">
        <f ca="1">+'Historical Data'!E113/'Historical Data'!E112-1</f>
        <v>9.5355363381248726E-3</v>
      </c>
      <c r="F109" s="7">
        <f ca="1">+'Historical Data'!F113/'Historical Data'!F112-1</f>
        <v>4.8489149074566473E-3</v>
      </c>
      <c r="G109" s="7">
        <f ca="1">+'Historical Data'!G113/'Historical Data'!G112-1</f>
        <v>-6.5491895966830471E-3</v>
      </c>
      <c r="H109" s="7">
        <f ca="1">+'Historical Data'!H113/'Historical Data'!H112-1</f>
        <v>-5.2130871305202664E-3</v>
      </c>
      <c r="I109" s="7">
        <f ca="1">+'Historical Data'!I113/'Historical Data'!I112-1</f>
        <v>-1.0483252365124041E-2</v>
      </c>
      <c r="J109" s="7">
        <f ca="1">+'Historical Data'!J113/'Historical Data'!J112-1</f>
        <v>-1.0535959688501961E-2</v>
      </c>
      <c r="K109" s="7">
        <f ca="1">+'Historical Data'!K113/'Historical Data'!K112-1</f>
        <v>-5.6401579244219624E-3</v>
      </c>
      <c r="L109" s="7">
        <f ca="1">+'Historical Data'!L113/'Historical Data'!L112-1</f>
        <v>-1.6249593760155889E-3</v>
      </c>
      <c r="M109" s="7">
        <f ca="1">+'Historical Data'!M113/'Historical Data'!M112-1</f>
        <v>3.5467281432888242E-4</v>
      </c>
      <c r="N109" s="7">
        <f ca="1">+'Historical Data'!N113/'Historical Data'!N112-1</f>
        <v>-1.3001945869449805E-2</v>
      </c>
      <c r="O109" s="7">
        <f ca="1">+'Historical Data'!O113/'Historical Data'!O112-1</f>
        <v>2.2974101921471313E-3</v>
      </c>
      <c r="P109" s="7">
        <f ca="1">+'Historical Data'!P113/'Historical Data'!P112-1</f>
        <v>-9.2989513948427138E-3</v>
      </c>
    </row>
    <row r="110" spans="1:16" x14ac:dyDescent="0.25">
      <c r="A110" vm="1655">
        <f ca="1"/>
        <v>45503</v>
      </c>
      <c r="B110" s="7">
        <f ca="1">+'Historical Data'!B114/'Historical Data'!B113-1</f>
        <v>-4.0844463593278757E-2</v>
      </c>
      <c r="C110" s="7">
        <f ca="1">+'Historical Data'!C114/'Historical Data'!C113-1</f>
        <v>-8.1331877729257096E-3</v>
      </c>
      <c r="D110" s="7">
        <f ca="1">+'Historical Data'!D114/'Historical Data'!D113-1</f>
        <v>-8.9283621962364945E-3</v>
      </c>
      <c r="E110" s="7">
        <f ca="1">+'Historical Data'!E114/'Historical Data'!E113-1</f>
        <v>-2.0138987377678053E-3</v>
      </c>
      <c r="F110" s="7">
        <f ca="1">+'Historical Data'!F114/'Historical Data'!F113-1</f>
        <v>-4.8431707173542171E-2</v>
      </c>
      <c r="G110" s="7">
        <f ca="1">+'Historical Data'!G114/'Historical Data'!G113-1</f>
        <v>2.0583353094617118E-2</v>
      </c>
      <c r="H110" s="7">
        <f ca="1">+'Historical Data'!H114/'Historical Data'!H113-1</f>
        <v>1.6903396559329487E-2</v>
      </c>
      <c r="I110" s="7">
        <f ca="1">+'Historical Data'!I114/'Historical Data'!I113-1</f>
        <v>1.7829457364341161E-2</v>
      </c>
      <c r="J110" s="7">
        <f ca="1">+'Historical Data'!J114/'Historical Data'!J113-1</f>
        <v>2.2916666666666474E-2</v>
      </c>
      <c r="K110" s="7">
        <f ca="1">+'Historical Data'!K114/'Historical Data'!K113-1</f>
        <v>4.2257515598411954E-2</v>
      </c>
      <c r="L110" s="7">
        <f ca="1">+'Historical Data'!L114/'Historical Data'!L113-1</f>
        <v>2.1809895833333481E-2</v>
      </c>
      <c r="M110" s="7">
        <f ca="1">+'Historical Data'!M114/'Historical Data'!M113-1</f>
        <v>2.5763753471606865E-2</v>
      </c>
      <c r="N110" s="7">
        <f ca="1">+'Historical Data'!N114/'Historical Data'!N113-1</f>
        <v>-7.0436419033963582E-2</v>
      </c>
      <c r="O110" s="7">
        <f ca="1">+'Historical Data'!O114/'Historical Data'!O113-1</f>
        <v>3.1256511773285478E-3</v>
      </c>
      <c r="P110" s="7">
        <f ca="1">+'Historical Data'!P114/'Historical Data'!P113-1</f>
        <v>-4.460125149780314E-2</v>
      </c>
    </row>
    <row r="111" spans="1:16" x14ac:dyDescent="0.25">
      <c r="A111" vm="1670">
        <f ca="1"/>
        <v>45504</v>
      </c>
      <c r="B111" s="7">
        <f ca="1">+'Historical Data'!B115/'Historical Data'!B114-1</f>
        <v>4.2449016260893035E-2</v>
      </c>
      <c r="C111" s="7">
        <f ca="1">+'Historical Data'!C115/'Historical Data'!C114-1</f>
        <v>2.9002256342523625E-2</v>
      </c>
      <c r="D111" s="7">
        <f ca="1">+'Historical Data'!D115/'Historical Data'!D114-1</f>
        <v>-1.0805826160976029E-2</v>
      </c>
      <c r="E111" s="7">
        <f ca="1">+'Historical Data'!E115/'Historical Data'!E114-1</f>
        <v>-2.9558890404728366E-3</v>
      </c>
      <c r="F111" s="7">
        <f ca="1">+'Historical Data'!F115/'Historical Data'!F114-1</f>
        <v>-5.8132343846629686E-3</v>
      </c>
      <c r="G111" s="7">
        <f ca="1">+'Historical Data'!G115/'Historical Data'!G114-1</f>
        <v>-1.1106464055021026E-2</v>
      </c>
      <c r="H111" s="7">
        <f ca="1">+'Historical Data'!H115/'Historical Data'!H114-1</f>
        <v>-2.9496989571964338E-4</v>
      </c>
      <c r="I111" s="7">
        <f ca="1">+'Historical Data'!I115/'Historical Data'!I114-1</f>
        <v>3.554201574003546E-3</v>
      </c>
      <c r="J111" s="7">
        <f ca="1">+'Historical Data'!J115/'Historical Data'!J114-1</f>
        <v>2.3761031907671981E-3</v>
      </c>
      <c r="K111" s="7">
        <f ca="1">+'Historical Data'!K115/'Historical Data'!K114-1</f>
        <v>2.857142857142847E-2</v>
      </c>
      <c r="L111" s="7">
        <f ca="1">+'Historical Data'!L115/'Historical Data'!L114-1</f>
        <v>-2.7078687480089236E-2</v>
      </c>
      <c r="M111" s="7">
        <f ca="1">+'Historical Data'!M115/'Historical Data'!M114-1</f>
        <v>-1.4228930237916937E-2</v>
      </c>
      <c r="N111" s="7">
        <f ca="1">+'Historical Data'!N115/'Historical Data'!N114-1</f>
        <v>0.12812108358237717</v>
      </c>
      <c r="O111" s="7">
        <f ca="1">+'Historical Data'!O115/'Historical Data'!O114-1</f>
        <v>6.4395513086830114E-3</v>
      </c>
      <c r="P111" s="7">
        <f ca="1">+'Historical Data'!P115/'Historical Data'!P114-1</f>
        <v>0.11956521739130421</v>
      </c>
    </row>
    <row r="112" spans="1:16" x14ac:dyDescent="0.25">
      <c r="A112" vm="1686">
        <f ca="1"/>
        <v>45505</v>
      </c>
      <c r="B112" s="7">
        <f ca="1">+'Historical Data'!B116/'Historical Data'!B115-1</f>
        <v>-6.5540569655707204E-2</v>
      </c>
      <c r="C112" s="7">
        <f ca="1">+'Historical Data'!C116/'Historical Data'!C115-1</f>
        <v>-1.5563161835490447E-2</v>
      </c>
      <c r="D112" s="7">
        <f ca="1">+'Historical Data'!D116/'Historical Data'!D115-1</f>
        <v>-2.964025337635956E-3</v>
      </c>
      <c r="E112" s="7">
        <f ca="1">+'Historical Data'!E116/'Historical Data'!E115-1</f>
        <v>-1.1972633979475678E-3</v>
      </c>
      <c r="F112" s="7">
        <f ca="1">+'Historical Data'!F116/'Historical Data'!F115-1</f>
        <v>3.0666832545409362E-2</v>
      </c>
      <c r="G112" s="7">
        <f ca="1">+'Historical Data'!G116/'Historical Data'!G115-1</f>
        <v>-2.2744360902255623E-2</v>
      </c>
      <c r="H112" s="7">
        <f ca="1">+'Historical Data'!H116/'Historical Data'!H115-1</f>
        <v>-5.883782282699257E-3</v>
      </c>
      <c r="I112" s="7">
        <f ca="1">+'Historical Data'!I116/'Historical Data'!I115-1</f>
        <v>-1.3829159288304194E-2</v>
      </c>
      <c r="J112" s="7">
        <f ca="1">+'Historical Data'!J116/'Historical Data'!J115-1</f>
        <v>-4.1313918049441178E-2</v>
      </c>
      <c r="K112" s="7">
        <f ca="1">+'Historical Data'!K116/'Historical Data'!K115-1</f>
        <v>-4.9206349206349143E-2</v>
      </c>
      <c r="L112" s="7">
        <f ca="1">+'Historical Data'!L116/'Historical Data'!L115-1</f>
        <v>3.6018336607728241E-3</v>
      </c>
      <c r="M112" s="7">
        <f ca="1">+'Historical Data'!M116/'Historical Data'!M115-1</f>
        <v>3.6582515194015786E-2</v>
      </c>
      <c r="N112" s="7">
        <f ca="1">+'Historical Data'!N116/'Historical Data'!N115-1</f>
        <v>-6.6740728080669998E-2</v>
      </c>
      <c r="O112" s="7">
        <f ca="1">+'Historical Data'!O116/'Historical Data'!O115-1</f>
        <v>-2.1878224974200222E-2</v>
      </c>
      <c r="P112" s="7">
        <f ca="1">+'Historical Data'!P116/'Historical Data'!P115-1</f>
        <v>-8.5013691809808334E-2</v>
      </c>
    </row>
    <row r="113" spans="1:16" x14ac:dyDescent="0.25">
      <c r="A113" vm="1702">
        <f ca="1"/>
        <v>45506</v>
      </c>
      <c r="B113" s="7">
        <f ca="1">+'Historical Data'!B117/'Historical Data'!B116-1</f>
        <v>-4.2377570782993756E-2</v>
      </c>
      <c r="C113" s="7">
        <f ca="1">+'Historical Data'!C117/'Historical Data'!C116-1</f>
        <v>-8.7847014722659766E-2</v>
      </c>
      <c r="D113" s="7">
        <f ca="1">+'Historical Data'!D117/'Historical Data'!D116-1</f>
        <v>-2.0666011363908776E-2</v>
      </c>
      <c r="E113" s="7">
        <f ca="1">+'Historical Data'!E117/'Historical Data'!E116-1</f>
        <v>-8.933158285290288E-3</v>
      </c>
      <c r="F113" s="7">
        <f ca="1">+'Historical Data'!F117/'Historical Data'!F116-1</f>
        <v>2.6495262236707173E-2</v>
      </c>
      <c r="G113" s="7">
        <f ca="1">+'Historical Data'!G117/'Historical Data'!G116-1</f>
        <v>-4.2412002308136243E-2</v>
      </c>
      <c r="H113" s="7">
        <f ca="1">+'Historical Data'!H117/'Historical Data'!H116-1</f>
        <v>2.9785079525813218E-2</v>
      </c>
      <c r="I113" s="7">
        <f ca="1">+'Historical Data'!I117/'Historical Data'!I116-1</f>
        <v>-5.9854638734513355E-4</v>
      </c>
      <c r="J113" s="7">
        <f ca="1">+'Historical Data'!J117/'Historical Data'!J116-1</f>
        <v>-3.9091016130931466E-2</v>
      </c>
      <c r="K113" s="7">
        <f ca="1">+'Historical Data'!K117/'Historical Data'!K116-1</f>
        <v>3.6171396772399778E-3</v>
      </c>
      <c r="L113" s="7">
        <f ca="1">+'Historical Data'!L117/'Historical Data'!L116-1</f>
        <v>-7.1778140293637938E-3</v>
      </c>
      <c r="M113" s="7">
        <f ca="1">+'Historical Data'!M117/'Historical Data'!M116-1</f>
        <v>-3.1570639305446013E-3</v>
      </c>
      <c r="N113" s="7">
        <f ca="1">+'Historical Data'!N117/'Historical Data'!N116-1</f>
        <v>-1.7763941031041064E-2</v>
      </c>
      <c r="O113" s="7">
        <f ca="1">+'Historical Data'!O117/'Historical Data'!O116-1</f>
        <v>-1.5404093690652099E-2</v>
      </c>
      <c r="P113" s="7">
        <f ca="1">+'Historical Data'!P117/'Historical Data'!P116-1</f>
        <v>-2.1765746156985566E-2</v>
      </c>
    </row>
    <row r="114" spans="1:16" x14ac:dyDescent="0.25">
      <c r="A114" vm="1716">
        <f ca="1"/>
        <v>45509</v>
      </c>
      <c r="B114" s="7">
        <f ca="1">+'Historical Data'!B118/'Historical Data'!B117-1</f>
        <v>-4.2326768430683281E-2</v>
      </c>
      <c r="C114" s="7">
        <f ca="1">+'Historical Data'!C118/'Historical Data'!C117-1</f>
        <v>-4.0976771888028507E-2</v>
      </c>
      <c r="D114" s="7">
        <f ca="1">+'Historical Data'!D118/'Historical Data'!D117-1</f>
        <v>-3.2656858185022952E-2</v>
      </c>
      <c r="E114" s="7">
        <f ca="1">+'Historical Data'!E118/'Historical Data'!E117-1</f>
        <v>-2.3498920086393205E-2</v>
      </c>
      <c r="F114" s="7">
        <f ca="1">+'Historical Data'!F118/'Historical Data'!F117-1</f>
        <v>-1.1876763875823149E-2</v>
      </c>
      <c r="G114" s="7">
        <f ca="1">+'Historical Data'!G118/'Historical Data'!G117-1</f>
        <v>-2.1291553680827469E-2</v>
      </c>
      <c r="H114" s="7">
        <f ca="1">+'Historical Data'!H118/'Historical Data'!H117-1</f>
        <v>-3.3687672719258099E-2</v>
      </c>
      <c r="I114" s="7">
        <f ca="1">+'Historical Data'!I118/'Historical Data'!I117-1</f>
        <v>-1.8052703627652322E-2</v>
      </c>
      <c r="J114" s="7">
        <f ca="1">+'Historical Data'!J118/'Historical Data'!J117-1</f>
        <v>9.4351182453131788E-3</v>
      </c>
      <c r="K114" s="7">
        <f ca="1">+'Historical Data'!K118/'Historical Data'!K117-1</f>
        <v>-1.1366786803437834E-2</v>
      </c>
      <c r="L114" s="7">
        <f ca="1">+'Historical Data'!L118/'Historical Data'!L117-1</f>
        <v>-2.2674991784423337E-2</v>
      </c>
      <c r="M114" s="7">
        <f ca="1">+'Historical Data'!M118/'Historical Data'!M117-1</f>
        <v>-4.4112656939260142E-2</v>
      </c>
      <c r="N114" s="7">
        <f ca="1">+'Historical Data'!N118/'Historical Data'!N117-1</f>
        <v>-6.3577887573412872E-2</v>
      </c>
      <c r="O114" s="7">
        <f ca="1">+'Historical Data'!O118/'Historical Data'!O117-1</f>
        <v>-4.1148735533647507E-2</v>
      </c>
      <c r="P114" s="7">
        <f ca="1">+'Historical Data'!P118/'Historical Data'!P117-1</f>
        <v>-1.2098456403837998E-2</v>
      </c>
    </row>
    <row r="115" spans="1:16" x14ac:dyDescent="0.25">
      <c r="A115" vm="1730">
        <f ca="1"/>
        <v>45510</v>
      </c>
      <c r="B115" s="7">
        <f ca="1">+'Historical Data'!B119/'Historical Data'!B118-1</f>
        <v>8.8495575221239076E-3</v>
      </c>
      <c r="C115" s="7">
        <f ca="1">+'Historical Data'!C119/'Historical Data'!C118-1</f>
        <v>5.6514718668487784E-3</v>
      </c>
      <c r="D115" s="7">
        <f ca="1">+'Historical Data'!D119/'Historical Data'!D118-1</f>
        <v>1.1286853093761984E-2</v>
      </c>
      <c r="E115" s="7">
        <f ca="1">+'Historical Data'!E119/'Historical Data'!E118-1</f>
        <v>1.4833819929812142E-2</v>
      </c>
      <c r="F115" s="7">
        <f ca="1">+'Historical Data'!F119/'Historical Data'!F118-1</f>
        <v>1.78507675830053E-4</v>
      </c>
      <c r="G115" s="7">
        <f ca="1">+'Historical Data'!G119/'Historical Data'!G118-1</f>
        <v>2.7911749615187276E-2</v>
      </c>
      <c r="H115" s="7">
        <f ca="1">+'Historical Data'!H119/'Historical Data'!H118-1</f>
        <v>-2.8247596322549251E-3</v>
      </c>
      <c r="I115" s="7">
        <f ca="1">+'Historical Data'!I119/'Historical Data'!I118-1</f>
        <v>-5.314977781650243E-3</v>
      </c>
      <c r="J115" s="7">
        <f ca="1">+'Historical Data'!J119/'Historical Data'!J118-1</f>
        <v>8.1330420004854798E-3</v>
      </c>
      <c r="K115" s="7">
        <f ca="1">+'Historical Data'!K119/'Historical Data'!K118-1</f>
        <v>1.9349411104879533E-2</v>
      </c>
      <c r="L115" s="7">
        <f ca="1">+'Historical Data'!L119/'Historical Data'!L118-1</f>
        <v>-1.4122394082044298E-2</v>
      </c>
      <c r="M115" s="7">
        <f ca="1">+'Historical Data'!M119/'Historical Data'!M118-1</f>
        <v>4.5556738847472023E-3</v>
      </c>
      <c r="N115" s="7">
        <f ca="1">+'Historical Data'!N119/'Historical Data'!N118-1</f>
        <v>3.7829766052762448E-2</v>
      </c>
      <c r="O115" s="7">
        <f ca="1">+'Historical Data'!O119/'Historical Data'!O118-1</f>
        <v>9.387572641931019E-3</v>
      </c>
      <c r="P115" s="7">
        <f ca="1">+'Historical Data'!P119/'Historical Data'!P118-1</f>
        <v>1.295045045045029E-2</v>
      </c>
    </row>
    <row r="116" spans="1:16" x14ac:dyDescent="0.25">
      <c r="A116" vm="1745">
        <f ca="1"/>
        <v>45511</v>
      </c>
      <c r="B116" s="7">
        <f ca="1">+'Historical Data'!B120/'Historical Data'!B119-1</f>
        <v>-4.4258373205741552E-2</v>
      </c>
      <c r="C116" s="7">
        <f ca="1">+'Historical Data'!C120/'Historical Data'!C119-1</f>
        <v>5.1874266658433754E-3</v>
      </c>
      <c r="D116" s="7">
        <f ca="1">+'Historical Data'!D120/'Historical Data'!D119-1</f>
        <v>-2.9528790570806374E-3</v>
      </c>
      <c r="E116" s="7">
        <f ca="1">+'Historical Data'!E120/'Historical Data'!E119-1</f>
        <v>-1.2815296989422409E-2</v>
      </c>
      <c r="F116" s="7">
        <f ca="1">+'Historical Data'!F120/'Historical Data'!F119-1</f>
        <v>1.1481944196561455E-2</v>
      </c>
      <c r="G116" s="7">
        <f ca="1">+'Historical Data'!G120/'Historical Data'!G119-1</f>
        <v>2.9949086552871762E-4</v>
      </c>
      <c r="H116" s="7">
        <f ca="1">+'Historical Data'!H120/'Historical Data'!H119-1</f>
        <v>-3.9940177707398217E-3</v>
      </c>
      <c r="I116" s="7">
        <f ca="1">+'Historical Data'!I120/'Historical Data'!I119-1</f>
        <v>1.3314646110721862E-2</v>
      </c>
      <c r="J116" s="7">
        <f ca="1">+'Historical Data'!J120/'Historical Data'!J119-1</f>
        <v>1.8181818181818077E-2</v>
      </c>
      <c r="K116" s="7">
        <f ca="1">+'Historical Data'!K120/'Historical Data'!K119-1</f>
        <v>3.8514442916093294E-3</v>
      </c>
      <c r="L116" s="7">
        <f ca="1">+'Historical Data'!L120/'Historical Data'!L119-1</f>
        <v>-1.6030013642564733E-2</v>
      </c>
      <c r="M116" s="7">
        <f ca="1">+'Historical Data'!M120/'Historical Data'!M119-1</f>
        <v>5.1828729607161783E-3</v>
      </c>
      <c r="N116" s="7">
        <f ca="1">+'Historical Data'!N120/'Historical Data'!N119-1</f>
        <v>-5.1223021582733841E-2</v>
      </c>
      <c r="O116" s="7">
        <f ca="1">+'Historical Data'!O120/'Historical Data'!O119-1</f>
        <v>-8.8573959255977552E-4</v>
      </c>
      <c r="P116" s="7">
        <f ca="1">+'Historical Data'!P120/'Historical Data'!P119-1</f>
        <v>-5.3154530294607927E-2</v>
      </c>
    </row>
    <row r="117" spans="1:16" x14ac:dyDescent="0.25">
      <c r="A117" vm="1760">
        <f ca="1"/>
        <v>45512</v>
      </c>
      <c r="B117" s="7">
        <f ca="1">+'Historical Data'!B121/'Historical Data'!B120-1</f>
        <v>3.6921151439299082E-2</v>
      </c>
      <c r="C117" s="7">
        <f ca="1">+'Historical Data'!C121/'Historical Data'!C120-1</f>
        <v>1.8615223935614766E-2</v>
      </c>
      <c r="D117" s="7">
        <f ca="1">+'Historical Data'!D121/'Historical Data'!D120-1</f>
        <v>1.0691965966418193E-2</v>
      </c>
      <c r="E117" s="7">
        <f ca="1">+'Historical Data'!E121/'Historical Data'!E120-1</f>
        <v>8.8310617879956421E-3</v>
      </c>
      <c r="F117" s="7">
        <f ca="1">+'Historical Data'!F121/'Historical Data'!F120-1</f>
        <v>4.9994118339018456E-3</v>
      </c>
      <c r="G117" s="7">
        <f ca="1">+'Historical Data'!G121/'Historical Data'!G120-1</f>
        <v>1.8263473053892199E-2</v>
      </c>
      <c r="H117" s="7">
        <f ca="1">+'Historical Data'!H121/'Historical Data'!H120-1</f>
        <v>2.8264556246471173E-4</v>
      </c>
      <c r="I117" s="7">
        <f ca="1">+'Historical Data'!I121/'Historical Data'!I120-1</f>
        <v>1.9104426002766184E-2</v>
      </c>
      <c r="J117" s="7">
        <f ca="1">+'Historical Data'!J121/'Historical Data'!J120-1</f>
        <v>-1.5373699148533149E-3</v>
      </c>
      <c r="K117" s="7">
        <f ca="1">+'Historical Data'!K121/'Historical Data'!K120-1</f>
        <v>3.8366675801588812E-3</v>
      </c>
      <c r="L117" s="7">
        <f ca="1">+'Historical Data'!L121/'Historical Data'!L120-1</f>
        <v>-3.1195840554593124E-3</v>
      </c>
      <c r="M117" s="7">
        <f ca="1">+'Historical Data'!M121/'Historical Data'!M120-1</f>
        <v>-8.7888908419742062E-4</v>
      </c>
      <c r="N117" s="7">
        <f ca="1">+'Historical Data'!N121/'Historical Data'!N120-1</f>
        <v>6.1267819229602782E-2</v>
      </c>
      <c r="O117" s="7">
        <f ca="1">+'Historical Data'!O121/'Historical Data'!O120-1</f>
        <v>1.5735815602836878E-2</v>
      </c>
      <c r="P117" s="7">
        <f ca="1">+'Historical Data'!P121/'Historical Data'!P120-1</f>
        <v>6.9494386145152909E-2</v>
      </c>
    </row>
    <row r="118" spans="1:16" x14ac:dyDescent="0.25">
      <c r="A118" vm="1776">
        <f ca="1"/>
        <v>45513</v>
      </c>
      <c r="B118" s="7">
        <f ca="1">+'Historical Data'!B122/'Historical Data'!B121-1</f>
        <v>5.8338362502514673E-3</v>
      </c>
      <c r="C118" s="7">
        <f ca="1">+'Historical Data'!C122/'Historical Data'!C121-1</f>
        <v>6.8757539203858631E-3</v>
      </c>
      <c r="D118" s="7">
        <f ca="1">+'Historical Data'!D122/'Historical Data'!D121-1</f>
        <v>8.2693883632569687E-3</v>
      </c>
      <c r="E118" s="7">
        <f ca="1">+'Historical Data'!E122/'Historical Data'!E121-1</f>
        <v>8.5495024948207821E-3</v>
      </c>
      <c r="F118" s="7">
        <f ca="1">+'Historical Data'!F122/'Historical Data'!F121-1</f>
        <v>-1.9312927956927073E-3</v>
      </c>
      <c r="G118" s="7">
        <f ca="1">+'Historical Data'!G122/'Historical Data'!G121-1</f>
        <v>8.5269038518083207E-3</v>
      </c>
      <c r="H118" s="7">
        <f ca="1">+'Historical Data'!H122/'Historical Data'!H121-1</f>
        <v>-1.3209946312517706E-2</v>
      </c>
      <c r="I118" s="7">
        <f ca="1">+'Historical Data'!I122/'Historical Data'!I121-1</f>
        <v>8.1431843243702229E-3</v>
      </c>
      <c r="J118" s="7">
        <f ca="1">+'Historical Data'!J122/'Historical Data'!J121-1</f>
        <v>-3.5532393698922693E-4</v>
      </c>
      <c r="K118" s="7">
        <f ca="1">+'Historical Data'!K122/'Historical Data'!K121-1</f>
        <v>5.1870051870051004E-3</v>
      </c>
      <c r="L118" s="7">
        <f ca="1">+'Historical Data'!L122/'Historical Data'!L121-1</f>
        <v>-7.3018080667593965E-3</v>
      </c>
      <c r="M118" s="7">
        <f ca="1">+'Historical Data'!M122/'Historical Data'!M121-1</f>
        <v>2.9908515130190327E-3</v>
      </c>
      <c r="N118" s="7">
        <f ca="1">+'Historical Data'!N122/'Historical Data'!N121-1</f>
        <v>-2.0958369057826332E-3</v>
      </c>
      <c r="O118" s="7">
        <f ca="1">+'Historical Data'!O122/'Historical Data'!O121-1</f>
        <v>-7.8551167357625573E-3</v>
      </c>
      <c r="P118" s="7">
        <f ca="1">+'Historical Data'!P122/'Historical Data'!P121-1</f>
        <v>1.7291066282420609E-2</v>
      </c>
    </row>
    <row r="119" spans="1:16" x14ac:dyDescent="0.25">
      <c r="A119" vm="1791">
        <f ca="1"/>
        <v>45516</v>
      </c>
      <c r="B119" s="7">
        <f ca="1">+'Historical Data'!B123/'Historical Data'!B122-1</f>
        <v>-1.254999999999995E-2</v>
      </c>
      <c r="C119" s="7">
        <f ca="1">+'Historical Data'!C123/'Historical Data'!C122-1</f>
        <v>-8.3862465556483468E-4</v>
      </c>
      <c r="D119" s="7">
        <f ca="1">+'Historical Data'!D123/'Historical Data'!D122-1</f>
        <v>1.9457169597556501E-3</v>
      </c>
      <c r="E119" s="7">
        <f ca="1">+'Historical Data'!E123/'Historical Data'!E122-1</f>
        <v>-6.9436407823167956E-3</v>
      </c>
      <c r="F119" s="7">
        <f ca="1">+'Historical Data'!F123/'Historical Data'!F122-1</f>
        <v>-2.1871701653570996E-2</v>
      </c>
      <c r="G119" s="7">
        <f ca="1">+'Historical Data'!G123/'Historical Data'!G122-1</f>
        <v>1.8950437317784008E-3</v>
      </c>
      <c r="H119" s="7">
        <f ca="1">+'Historical Data'!H123/'Historical Data'!H122-1</f>
        <v>1.1686591738850227E-2</v>
      </c>
      <c r="I119" s="7">
        <f ca="1">+'Historical Data'!I123/'Historical Data'!I122-1</f>
        <v>1.2620950778292617E-3</v>
      </c>
      <c r="J119" s="7">
        <f ca="1">+'Historical Data'!J123/'Historical Data'!J122-1</f>
        <v>3.7914691943128354E-3</v>
      </c>
      <c r="K119" s="7">
        <f ca="1">+'Historical Data'!K123/'Historical Data'!K122-1</f>
        <v>-7.3329712112982781E-3</v>
      </c>
      <c r="L119" s="7">
        <f ca="1">+'Historical Data'!L123/'Historical Data'!L122-1</f>
        <v>-3.5026269702277402E-3</v>
      </c>
      <c r="M119" s="7">
        <f ca="1">+'Historical Data'!M123/'Historical Data'!M122-1</f>
        <v>1.9294860550780335E-3</v>
      </c>
      <c r="N119" s="7">
        <f ca="1">+'Historical Data'!N123/'Historical Data'!N122-1</f>
        <v>4.0763723150357922E-2</v>
      </c>
      <c r="O119" s="7">
        <f ca="1">+'Historical Data'!O123/'Historical Data'!O122-1</f>
        <v>-1.3415438750824737E-2</v>
      </c>
      <c r="P119" s="7">
        <f ca="1">+'Historical Data'!P123/'Historical Data'!P122-1</f>
        <v>2.4281667341159441E-3</v>
      </c>
    </row>
    <row r="120" spans="1:16" x14ac:dyDescent="0.25">
      <c r="A120" vm="1804">
        <f ca="1"/>
        <v>45517</v>
      </c>
      <c r="B120" s="7">
        <f ca="1">+'Historical Data'!B124/'Historical Data'!B123-1</f>
        <v>5.2357081371208647E-2</v>
      </c>
      <c r="C120" s="7">
        <f ca="1">+'Historical Data'!C124/'Historical Data'!C123-1</f>
        <v>2.0563549160671268E-2</v>
      </c>
      <c r="D120" s="7">
        <f ca="1">+'Historical Data'!D124/'Historical Data'!D123-1</f>
        <v>1.7698679973451981E-2</v>
      </c>
      <c r="E120" s="7">
        <f ca="1">+'Historical Data'!E124/'Historical Data'!E123-1</f>
        <v>1.7014333993706998E-2</v>
      </c>
      <c r="F120" s="7">
        <f ca="1">+'Historical Data'!F124/'Historical Data'!F123-1</f>
        <v>2.8775253282176116E-3</v>
      </c>
      <c r="G120" s="7">
        <f ca="1">+'Historical Data'!G124/'Historical Data'!G123-1</f>
        <v>8.4873175226731767E-3</v>
      </c>
      <c r="H120" s="7">
        <f ca="1">+'Historical Data'!H124/'Historical Data'!H123-1</f>
        <v>1.5832581506837196E-2</v>
      </c>
      <c r="I120" s="7">
        <f ca="1">+'Historical Data'!I124/'Historical Data'!I123-1</f>
        <v>-9.5798319327731196E-3</v>
      </c>
      <c r="J120" s="7">
        <f ca="1">+'Historical Data'!J124/'Historical Data'!J123-1</f>
        <v>5.1227573182247577E-2</v>
      </c>
      <c r="K120" s="7">
        <f ca="1">+'Historical Data'!K124/'Historical Data'!K123-1</f>
        <v>1.1833105335157468E-2</v>
      </c>
      <c r="L120" s="7">
        <f ca="1">+'Historical Data'!L124/'Historical Data'!L123-1</f>
        <v>1.405975395430592E-2</v>
      </c>
      <c r="M120" s="7">
        <f ca="1">+'Historical Data'!M124/'Historical Data'!M123-1</f>
        <v>3.5014005602240772E-3</v>
      </c>
      <c r="N120" s="7">
        <f ca="1">+'Historical Data'!N124/'Historical Data'!N123-1</f>
        <v>6.5309117593102206E-2</v>
      </c>
      <c r="O120" s="7">
        <f ca="1">+'Historical Data'!O124/'Historical Data'!O123-1</f>
        <v>1.136870263040568E-2</v>
      </c>
      <c r="P120" s="7">
        <f ca="1">+'Historical Data'!P124/'Historical Data'!P123-1</f>
        <v>5.0733414076167271E-2</v>
      </c>
    </row>
    <row r="121" spans="1:16" x14ac:dyDescent="0.25">
      <c r="A121" vm="1818">
        <f ca="1"/>
        <v>45518</v>
      </c>
      <c r="B121" s="7">
        <f ca="1">+'Historical Data'!B125/'Historical Data'!B124-1</f>
        <v>-3.1034980512919308E-2</v>
      </c>
      <c r="C121" s="7">
        <f ca="1">+'Historical Data'!C125/'Historical Data'!C124-1</f>
        <v>-7.6367267814125839E-4</v>
      </c>
      <c r="D121" s="7">
        <f ca="1">+'Historical Data'!D125/'Historical Data'!D124-1</f>
        <v>6.883891693437505E-3</v>
      </c>
      <c r="E121" s="7">
        <f ca="1">+'Historical Data'!E125/'Historical Data'!E124-1</f>
        <v>8.7945456628852892E-3</v>
      </c>
      <c r="F121" s="7">
        <f ca="1">+'Historical Data'!F125/'Historical Data'!F124-1</f>
        <v>9.0262418554607482E-3</v>
      </c>
      <c r="G121" s="7">
        <f ca="1">+'Historical Data'!G125/'Historical Data'!G124-1</f>
        <v>1.1060882947004025E-2</v>
      </c>
      <c r="H121" s="7">
        <f ca="1">+'Historical Data'!H125/'Historical Data'!H124-1</f>
        <v>9.4559765951518493E-3</v>
      </c>
      <c r="I121" s="7">
        <f ca="1">+'Historical Data'!I125/'Historical Data'!I124-1</f>
        <v>9.2482606482267027E-3</v>
      </c>
      <c r="J121" s="7">
        <f ca="1">+'Historical Data'!J125/'Historical Data'!J124-1</f>
        <v>-7.8598697507314963E-4</v>
      </c>
      <c r="K121" s="7">
        <f ca="1">+'Historical Data'!K125/'Historical Data'!K124-1</f>
        <v>2.9067802338944571E-3</v>
      </c>
      <c r="L121" s="7">
        <f ca="1">+'Historical Data'!L125/'Historical Data'!L124-1</f>
        <v>1.0398613518196598E-3</v>
      </c>
      <c r="M121" s="7">
        <f ca="1">+'Historical Data'!M125/'Historical Data'!M124-1</f>
        <v>5.2279599906954966E-2</v>
      </c>
      <c r="N121" s="7">
        <f ca="1">+'Historical Data'!N125/'Historical Data'!N124-1</f>
        <v>1.6703977957637228E-2</v>
      </c>
      <c r="O121" s="7">
        <f ca="1">+'Historical Data'!O125/'Historical Data'!O124-1</f>
        <v>1.5428697377122269E-3</v>
      </c>
      <c r="P121" s="7">
        <f ca="1">+'Historical Data'!P125/'Historical Data'!P124-1</f>
        <v>9.7976434426230163E-3</v>
      </c>
    </row>
    <row r="122" spans="1:16" x14ac:dyDescent="0.25">
      <c r="A122" vm="1833">
        <f ca="1"/>
        <v>45519</v>
      </c>
      <c r="B122" s="7">
        <f ca="1">+'Historical Data'!B126/'Historical Data'!B125-1</f>
        <v>6.3362796702751023E-2</v>
      </c>
      <c r="C122" s="7">
        <f ca="1">+'Historical Data'!C126/'Historical Data'!C125-1</f>
        <v>4.4032921810699621E-2</v>
      </c>
      <c r="D122" s="7">
        <f ca="1">+'Historical Data'!D126/'Historical Data'!D125-1</f>
        <v>1.0003358441682986E-2</v>
      </c>
      <c r="E122" s="7">
        <f ca="1">+'Historical Data'!E126/'Historical Data'!E125-1</f>
        <v>1.2267499645037816E-2</v>
      </c>
      <c r="F122" s="7">
        <f ca="1">+'Historical Data'!F126/'Historical Data'!F125-1</f>
        <v>-5.2132701421802041E-3</v>
      </c>
      <c r="G122" s="7">
        <f ca="1">+'Historical Data'!G126/'Historical Data'!G125-1</f>
        <v>6.2309741248096628E-3</v>
      </c>
      <c r="H122" s="7">
        <f ca="1">+'Historical Data'!H126/'Historical Data'!H125-1</f>
        <v>-1.0350716787133063E-4</v>
      </c>
      <c r="I122" s="7">
        <f ca="1">+'Historical Data'!I126/'Historical Data'!I125-1</f>
        <v>-1.8495166036149868E-3</v>
      </c>
      <c r="J122" s="7">
        <f ca="1">+'Historical Data'!J126/'Historical Data'!J125-1</f>
        <v>-5.9557253624001882E-3</v>
      </c>
      <c r="K122" s="7">
        <f ca="1">+'Historical Data'!K126/'Historical Data'!K125-1</f>
        <v>1.2941493664060388E-2</v>
      </c>
      <c r="L122" s="7">
        <f ca="1">+'Historical Data'!L126/'Historical Data'!L125-1</f>
        <v>-5.8864265927977E-3</v>
      </c>
      <c r="M122" s="7">
        <f ca="1">+'Historical Data'!M126/'Historical Data'!M125-1</f>
        <v>-1.569494335451771E-2</v>
      </c>
      <c r="N122" s="7">
        <f ca="1">+'Historical Data'!N126/'Historical Data'!N125-1</f>
        <v>4.0481029810298219E-2</v>
      </c>
      <c r="O122" s="7">
        <f ca="1">+'Historical Data'!O126/'Historical Data'!O125-1</f>
        <v>6.8001760563380254E-2</v>
      </c>
      <c r="P122" s="7">
        <f ca="1">+'Historical Data'!P126/'Historical Data'!P125-1</f>
        <v>5.3522734479041212E-2</v>
      </c>
    </row>
    <row r="123" spans="1:16" x14ac:dyDescent="0.25">
      <c r="A123" vm="1849">
        <f ca="1"/>
        <v>45520</v>
      </c>
      <c r="B123" s="7">
        <f ca="1">+'Historical Data'!B127/'Historical Data'!B126-1</f>
        <v>9.2462874754835056E-3</v>
      </c>
      <c r="C123" s="7">
        <f ca="1">+'Historical Data'!C127/'Historical Data'!C126-1</f>
        <v>-2.9844022749028198E-3</v>
      </c>
      <c r="D123" s="7">
        <f ca="1">+'Historical Data'!D127/'Historical Data'!D126-1</f>
        <v>-6.0803268175663172E-3</v>
      </c>
      <c r="E123" s="7">
        <f ca="1">+'Historical Data'!E127/'Historical Data'!E126-1</f>
        <v>-5.8069402754791222E-3</v>
      </c>
      <c r="F123" s="7">
        <f ca="1">+'Historical Data'!F127/'Historical Data'!F126-1</f>
        <v>-1.7865650309667469E-4</v>
      </c>
      <c r="G123" s="7">
        <f ca="1">+'Historical Data'!G127/'Historical Data'!G126-1</f>
        <v>1.1439376034034554E-2</v>
      </c>
      <c r="H123" s="7">
        <f ca="1">+'Historical Data'!H127/'Historical Data'!H126-1</f>
        <v>-3.3298252273081808E-3</v>
      </c>
      <c r="I123" s="7">
        <f ca="1">+'Historical Data'!I127/'Historical Data'!I126-1</f>
        <v>-4.716583845700395E-3</v>
      </c>
      <c r="J123" s="7">
        <f ca="1">+'Historical Data'!J127/'Historical Data'!J126-1</f>
        <v>2.0122089079809946E-2</v>
      </c>
      <c r="K123" s="7">
        <f ca="1">+'Historical Data'!K127/'Historical Data'!K126-1</f>
        <v>9.0497737556560764E-3</v>
      </c>
      <c r="L123" s="7">
        <f ca="1">+'Historical Data'!L127/'Historical Data'!L126-1</f>
        <v>-1.4280738418669503E-2</v>
      </c>
      <c r="M123" s="7">
        <f ca="1">+'Historical Data'!M127/'Historical Data'!M126-1</f>
        <v>8.5901970692268126E-3</v>
      </c>
      <c r="N123" s="7">
        <f ca="1">+'Historical Data'!N127/'Historical Data'!N126-1</f>
        <v>1.3999674426176112E-2</v>
      </c>
      <c r="O123" s="7">
        <f ca="1">+'Historical Data'!O127/'Historical Data'!O126-1</f>
        <v>1.916340407995043E-2</v>
      </c>
      <c r="P123" s="7">
        <f ca="1">+'Historical Data'!P127/'Historical Data'!P126-1</f>
        <v>-2.4679467886594697E-3</v>
      </c>
    </row>
    <row r="124" spans="1:16" x14ac:dyDescent="0.25">
      <c r="A124" vm="1863">
        <f ca="1"/>
        <v>45523</v>
      </c>
      <c r="B124" s="7">
        <f ca="1">+'Historical Data'!B128/'Historical Data'!B127-1</f>
        <v>3.0538589672404193E-2</v>
      </c>
      <c r="C124" s="7">
        <f ca="1">+'Historical Data'!C128/'Historical Data'!C127-1</f>
        <v>6.5514514853721728E-3</v>
      </c>
      <c r="D124" s="7">
        <f ca="1">+'Historical Data'!D128/'Historical Data'!D127-1</f>
        <v>7.3123521399383051E-3</v>
      </c>
      <c r="E124" s="7">
        <f ca="1">+'Historical Data'!E128/'Historical Data'!E127-1</f>
        <v>4.5146726862304032E-3</v>
      </c>
      <c r="F124" s="7">
        <f ca="1">+'Historical Data'!F128/'Historical Data'!F127-1</f>
        <v>3.1568288760497332E-3</v>
      </c>
      <c r="G124" s="7">
        <f ca="1">+'Historical Data'!G128/'Historical Data'!G127-1</f>
        <v>6.9168575033882185E-3</v>
      </c>
      <c r="H124" s="7">
        <f ca="1">+'Historical Data'!H128/'Historical Data'!H127-1</f>
        <v>1.9041683977287782E-3</v>
      </c>
      <c r="I124" s="7">
        <f ca="1">+'Historical Data'!I128/'Historical Data'!I127-1</f>
        <v>3.0464584920031346E-3</v>
      </c>
      <c r="J124" s="7">
        <f ca="1">+'Historical Data'!J128/'Historical Data'!J127-1</f>
        <v>1.3408687943262443E-2</v>
      </c>
      <c r="K124" s="7">
        <f ca="1">+'Historical Data'!K128/'Historical Data'!K127-1</f>
        <v>1.1342653653389823E-2</v>
      </c>
      <c r="L124" s="7">
        <f ca="1">+'Historical Data'!L128/'Historical Data'!L127-1</f>
        <v>1.7667844522968101E-2</v>
      </c>
      <c r="M124" s="7">
        <f ca="1">+'Historical Data'!M128/'Historical Data'!M127-1</f>
        <v>5.455355154754038E-3</v>
      </c>
      <c r="N124" s="7">
        <f ca="1">+'Historical Data'!N128/'Historical Data'!N127-1</f>
        <v>4.3506180767378444E-2</v>
      </c>
      <c r="O124" s="7">
        <f ca="1">+'Historical Data'!O128/'Historical Data'!O127-1</f>
        <v>1.0513546300040311E-2</v>
      </c>
      <c r="P124" s="7">
        <f ca="1">+'Historical Data'!P128/'Historical Data'!P127-1</f>
        <v>1.2008206613565164E-2</v>
      </c>
    </row>
    <row r="125" spans="1:16" x14ac:dyDescent="0.25">
      <c r="A125" vm="1877">
        <f ca="1"/>
        <v>45524</v>
      </c>
      <c r="B125" s="7">
        <f ca="1">+'Historical Data'!B129/'Historical Data'!B128-1</f>
        <v>-7.2737068965517127E-3</v>
      </c>
      <c r="C125" s="7">
        <f ca="1">+'Historical Data'!C129/'Historical Data'!C128-1</f>
        <v>3.7032880709235716E-3</v>
      </c>
      <c r="D125" s="7">
        <f ca="1">+'Historical Data'!D129/'Historical Data'!D128-1</f>
        <v>7.7574549854104724E-3</v>
      </c>
      <c r="E125" s="7">
        <f ca="1">+'Historical Data'!E129/'Historical Data'!E128-1</f>
        <v>-1.8539325842696908E-3</v>
      </c>
      <c r="F125" s="7">
        <f ca="1">+'Historical Data'!F129/'Historical Data'!F128-1</f>
        <v>1.181569884811795E-2</v>
      </c>
      <c r="G125" s="7">
        <f ca="1">+'Historical Data'!G129/'Historical Data'!G128-1</f>
        <v>-4.3165467625898568E-3</v>
      </c>
      <c r="H125" s="7">
        <f ca="1">+'Historical Data'!H129/'Historical Data'!H128-1</f>
        <v>3.2309340336569292E-3</v>
      </c>
      <c r="I125" s="7">
        <f ca="1">+'Historical Data'!I129/'Historical Data'!I128-1</f>
        <v>-3.3324896650636981E-2</v>
      </c>
      <c r="J125" s="7">
        <f ca="1">+'Historical Data'!J129/'Historical Data'!J128-1</f>
        <v>-7.2170585019134537E-3</v>
      </c>
      <c r="K125" s="7">
        <f ca="1">+'Historical Data'!K129/'Historical Data'!K128-1</f>
        <v>3.1298904538339389E-3</v>
      </c>
      <c r="L125" s="7">
        <f ca="1">+'Historical Data'!L129/'Historical Data'!L128-1</f>
        <v>3.4722222222220989E-3</v>
      </c>
      <c r="M125" s="7">
        <f ca="1">+'Historical Data'!M129/'Historical Data'!M128-1</f>
        <v>-1.1626619421991613E-3</v>
      </c>
      <c r="N125" s="7">
        <f ca="1">+'Historical Data'!N129/'Historical Data'!N128-1</f>
        <v>-2.115384615384619E-2</v>
      </c>
      <c r="O125" s="7">
        <f ca="1">+'Historical Data'!O129/'Historical Data'!O128-1</f>
        <v>5.2020808323329781E-3</v>
      </c>
      <c r="P125" s="7">
        <f ca="1">+'Historical Data'!P129/'Historical Data'!P128-1</f>
        <v>-1.0494305646652102E-2</v>
      </c>
    </row>
    <row r="126" spans="1:16" x14ac:dyDescent="0.25">
      <c r="A126" vm="1893">
        <f ca="1"/>
        <v>45525</v>
      </c>
      <c r="B126" s="7">
        <f ca="1">+'Historical Data'!B130/'Historical Data'!B129-1</f>
        <v>9.8145635459068181E-3</v>
      </c>
      <c r="C126" s="7">
        <f ca="1">+'Historical Data'!C130/'Historical Data'!C129-1</f>
        <v>6.8761180679786094E-3</v>
      </c>
      <c r="D126" s="7">
        <f ca="1">+'Historical Data'!D130/'Historical Data'!D129-1</f>
        <v>-1.5536723163842581E-3</v>
      </c>
      <c r="E126" s="7">
        <f ca="1">+'Historical Data'!E130/'Historical Data'!E129-1</f>
        <v>7.4013620757584775E-3</v>
      </c>
      <c r="F126" s="7">
        <f ca="1">+'Historical Data'!F130/'Historical Data'!F129-1</f>
        <v>-1.4670500557478761E-3</v>
      </c>
      <c r="G126" s="7">
        <f ca="1">+'Historical Data'!G130/'Historical Data'!G129-1</f>
        <v>3.7292560134249975E-4</v>
      </c>
      <c r="H126" s="7">
        <f ca="1">+'Historical Data'!H130/'Historical Data'!H129-1</f>
        <v>-4.4432963058640418E-3</v>
      </c>
      <c r="I126" s="7">
        <f ca="1">+'Historical Data'!I130/'Historical Data'!I129-1</f>
        <v>-6.3710944318380314E-3</v>
      </c>
      <c r="J126" s="7">
        <f ca="1">+'Historical Data'!J130/'Historical Data'!J129-1</f>
        <v>2.2028857803722879E-2</v>
      </c>
      <c r="K126" s="7">
        <f ca="1">+'Historical Data'!K130/'Historical Data'!K129-1</f>
        <v>6.7602704108162825E-3</v>
      </c>
      <c r="L126" s="7">
        <f ca="1">+'Historical Data'!L130/'Historical Data'!L129-1</f>
        <v>4.4982698961939516E-3</v>
      </c>
      <c r="M126" s="7">
        <f ca="1">+'Historical Data'!M130/'Historical Data'!M129-1</f>
        <v>-8.7024000886868347E-3</v>
      </c>
      <c r="N126" s="7">
        <f ca="1">+'Historical Data'!N130/'Historical Data'!N129-1</f>
        <v>9.8231827111985304E-3</v>
      </c>
      <c r="O126" s="7">
        <f ca="1">+'Historical Data'!O130/'Historical Data'!O129-1</f>
        <v>4.1799363057324346E-3</v>
      </c>
      <c r="P126" s="7">
        <f ca="1">+'Historical Data'!P130/'Historical Data'!P129-1</f>
        <v>-1.0244049412473366E-3</v>
      </c>
    </row>
    <row r="127" spans="1:16" x14ac:dyDescent="0.25">
      <c r="A127" vm="1908">
        <f ca="1"/>
        <v>45526</v>
      </c>
      <c r="B127" s="7">
        <f ca="1">+'Historical Data'!B131/'Historical Data'!B130-1</f>
        <v>-5.6478702915752299E-2</v>
      </c>
      <c r="C127" s="7">
        <f ca="1">+'Historical Data'!C131/'Historical Data'!C130-1</f>
        <v>-2.2097607017933618E-2</v>
      </c>
      <c r="D127" s="7">
        <f ca="1">+'Historical Data'!D131/'Historical Data'!D130-1</f>
        <v>-2.0252746734568672E-2</v>
      </c>
      <c r="E127" s="7">
        <f ca="1">+'Historical Data'!E131/'Historical Data'!E130-1</f>
        <v>-1.676118110456315E-4</v>
      </c>
      <c r="F127" s="7">
        <f ca="1">+'Historical Data'!F131/'Historical Data'!F130-1</f>
        <v>-5.8768218147542406E-5</v>
      </c>
      <c r="G127" s="7">
        <f ca="1">+'Historical Data'!G131/'Historical Data'!G130-1</f>
        <v>9.4594594594594739E-3</v>
      </c>
      <c r="H127" s="7">
        <f ca="1">+'Historical Data'!H131/'Historical Data'!H130-1</f>
        <v>1.1244312972475967E-3</v>
      </c>
      <c r="I127" s="7">
        <f ca="1">+'Historical Data'!I131/'Historical Data'!I130-1</f>
        <v>7.7294685990338952E-3</v>
      </c>
      <c r="J127" s="7">
        <f ca="1">+'Historical Data'!J131/'Historical Data'!J130-1</f>
        <v>-1.6165535079211146E-2</v>
      </c>
      <c r="K127" s="7">
        <f ca="1">+'Historical Data'!K131/'Historical Data'!K130-1</f>
        <v>-8.2644628099173278E-3</v>
      </c>
      <c r="L127" s="7">
        <f ca="1">+'Historical Data'!L131/'Historical Data'!L130-1</f>
        <v>-8.6117809162934433E-3</v>
      </c>
      <c r="M127" s="7">
        <f ca="1">+'Historical Data'!M131/'Historical Data'!M130-1</f>
        <v>1.3363900693357023E-2</v>
      </c>
      <c r="N127" s="7">
        <f ca="1">+'Historical Data'!N131/'Historical Data'!N130-1</f>
        <v>-3.7042801556420257E-2</v>
      </c>
      <c r="O127" s="7">
        <f ca="1">+'Historical Data'!O131/'Historical Data'!O130-1</f>
        <v>-4.5589692765114487E-3</v>
      </c>
      <c r="P127" s="7">
        <f ca="1">+'Historical Data'!P131/'Historical Data'!P130-1</f>
        <v>-2.0750392085896907E-2</v>
      </c>
    </row>
    <row r="128" spans="1:16" x14ac:dyDescent="0.25">
      <c r="A128" vm="1923">
        <f ca="1"/>
        <v>45527</v>
      </c>
      <c r="B128" s="7">
        <f ca="1">+'Historical Data'!B132/'Historical Data'!B131-1</f>
        <v>4.5855881515237895E-2</v>
      </c>
      <c r="C128" s="7">
        <f ca="1">+'Historical Data'!C132/'Historical Data'!C131-1</f>
        <v>5.1666382785442444E-3</v>
      </c>
      <c r="D128" s="7">
        <f ca="1">+'Historical Data'!D132/'Historical Data'!D131-1</f>
        <v>2.9839971122609388E-3</v>
      </c>
      <c r="E128" s="7">
        <f ca="1">+'Historical Data'!E132/'Historical Data'!E131-1</f>
        <v>2.2910787628174223E-3</v>
      </c>
      <c r="F128" s="7">
        <f ca="1">+'Historical Data'!F132/'Historical Data'!F131-1</f>
        <v>-5.7596238612989126E-3</v>
      </c>
      <c r="G128" s="7">
        <f ca="1">+'Historical Data'!G132/'Historical Data'!G131-1</f>
        <v>7.7551585652957389E-3</v>
      </c>
      <c r="H128" s="7">
        <f ca="1">+'Historical Data'!H132/'Historical Data'!H131-1</f>
        <v>1.0004838263754534E-2</v>
      </c>
      <c r="I128" s="7">
        <f ca="1">+'Historical Data'!I132/'Historical Data'!I131-1</f>
        <v>1.3858624596879476E-2</v>
      </c>
      <c r="J128" s="7">
        <f ca="1">+'Historical Data'!J132/'Historical Data'!J131-1</f>
        <v>1.2049512542447349E-2</v>
      </c>
      <c r="K128" s="7">
        <f ca="1">+'Historical Data'!K132/'Historical Data'!K131-1</f>
        <v>2.5781250000000089E-2</v>
      </c>
      <c r="L128" s="7">
        <f ca="1">+'Historical Data'!L132/'Historical Data'!L131-1</f>
        <v>4.1695621959694229E-3</v>
      </c>
      <c r="M128" s="7">
        <f ca="1">+'Historical Data'!M132/'Historical Data'!M131-1</f>
        <v>-3.9728521767918856E-3</v>
      </c>
      <c r="N128" s="7">
        <f ca="1">+'Historical Data'!N132/'Historical Data'!N131-1</f>
        <v>4.5498626151608379E-2</v>
      </c>
      <c r="O128" s="7">
        <f ca="1">+'Historical Data'!O132/'Historical Data'!O131-1</f>
        <v>1.0354440461967318E-2</v>
      </c>
      <c r="P128" s="7">
        <f ca="1">+'Historical Data'!P132/'Historical Data'!P131-1</f>
        <v>2.4762843415054858E-2</v>
      </c>
    </row>
    <row r="129" spans="1:16" x14ac:dyDescent="0.25">
      <c r="A129" vm="1937">
        <f ca="1"/>
        <v>45530</v>
      </c>
      <c r="B129" s="7">
        <f ca="1">+'Historical Data'!B133/'Historical Data'!B132-1</f>
        <v>-3.2271241830065245E-2</v>
      </c>
      <c r="C129" s="7">
        <f ca="1">+'Historical Data'!C133/'Historical Data'!C132-1</f>
        <v>-8.6985991866244117E-3</v>
      </c>
      <c r="D129" s="7">
        <f ca="1">+'Historical Data'!D133/'Historical Data'!D132-1</f>
        <v>-7.9176563737134442E-3</v>
      </c>
      <c r="E129" s="7">
        <f ca="1">+'Historical Data'!E133/'Historical Data'!E132-1</f>
        <v>5.4637192317341654E-3</v>
      </c>
      <c r="F129" s="7">
        <f ca="1">+'Historical Data'!F133/'Historical Data'!F132-1</f>
        <v>6.9752320151328373E-3</v>
      </c>
      <c r="G129" s="7">
        <f ca="1">+'Historical Data'!G133/'Historical Data'!G132-1</f>
        <v>3.9393522971920003E-3</v>
      </c>
      <c r="H129" s="7">
        <f ca="1">+'Historical Data'!H133/'Historical Data'!H132-1</f>
        <v>4.482386956596196E-3</v>
      </c>
      <c r="I129" s="7">
        <f ca="1">+'Historical Data'!I133/'Historical Data'!I132-1</f>
        <v>2.1406464924346613E-2</v>
      </c>
      <c r="J129" s="7">
        <f ca="1">+'Historical Data'!J133/'Historical Data'!J132-1</f>
        <v>4.5459465310098146E-3</v>
      </c>
      <c r="K129" s="7">
        <f ca="1">+'Historical Data'!K133/'Historical Data'!K132-1</f>
        <v>-7.6161462300083915E-4</v>
      </c>
      <c r="L129" s="7">
        <f ca="1">+'Historical Data'!L133/'Historical Data'!L132-1</f>
        <v>6.9204152249136008E-4</v>
      </c>
      <c r="M129" s="7">
        <f ca="1">+'Historical Data'!M133/'Historical Data'!M132-1</f>
        <v>1.429283696194128E-2</v>
      </c>
      <c r="N129" s="7">
        <f ca="1">+'Historical Data'!N133/'Historical Data'!N132-1</f>
        <v>-2.2493622941949565E-2</v>
      </c>
      <c r="O129" s="7">
        <f ca="1">+'Historical Data'!O133/'Historical Data'!O132-1</f>
        <v>9.8541584548672567E-4</v>
      </c>
      <c r="P129" s="7">
        <f ca="1">+'Historical Data'!P133/'Historical Data'!P132-1</f>
        <v>-4.0514546766049597E-2</v>
      </c>
    </row>
    <row r="130" spans="1:16" x14ac:dyDescent="0.25">
      <c r="A130" vm="1951">
        <f ca="1"/>
        <v>45531</v>
      </c>
      <c r="B130" s="7">
        <f ca="1">+'Historical Data'!B134/'Historical Data'!B133-1</f>
        <v>-1.8760846114159735E-2</v>
      </c>
      <c r="C130" s="7">
        <f ca="1">+'Historical Data'!C134/'Historical Data'!C133-1</f>
        <v>-1.3561253561253483E-2</v>
      </c>
      <c r="D130" s="7">
        <f ca="1">+'Historical Data'!D134/'Historical Data'!D133-1</f>
        <v>8.4645336041977437E-4</v>
      </c>
      <c r="E130" s="7">
        <f ca="1">+'Historical Data'!E134/'Historical Data'!E133-1</f>
        <v>-1.9684493609469778E-3</v>
      </c>
      <c r="F130" s="7">
        <f ca="1">+'Historical Data'!F134/'Historical Data'!F133-1</f>
        <v>-6.457293806868214E-3</v>
      </c>
      <c r="G130" s="7">
        <f ca="1">+'Historical Data'!G134/'Historical Data'!G133-1</f>
        <v>4.6082949308756671E-3</v>
      </c>
      <c r="H130" s="7">
        <f ca="1">+'Historical Data'!H134/'Historical Data'!H133-1</f>
        <v>3.7470406894568598E-4</v>
      </c>
      <c r="I130" s="7">
        <f ca="1">+'Historical Data'!I134/'Historical Data'!I133-1</f>
        <v>-9.5109839239121419E-3</v>
      </c>
      <c r="J130" s="7">
        <f ca="1">+'Historical Data'!J134/'Historical Data'!J133-1</f>
        <v>3.5125525266673785E-2</v>
      </c>
      <c r="K130" s="7">
        <f ca="1">+'Historical Data'!K134/'Historical Data'!K133-1</f>
        <v>-2.0325203252031798E-3</v>
      </c>
      <c r="L130" s="7">
        <f ca="1">+'Historical Data'!L134/'Historical Data'!L133-1</f>
        <v>-3.4578146611342619E-3</v>
      </c>
      <c r="M130" s="7">
        <f ca="1">+'Historical Data'!M134/'Historical Data'!M133-1</f>
        <v>1.1196679228794526E-2</v>
      </c>
      <c r="N130" s="7">
        <f ca="1">+'Historical Data'!N134/'Historical Data'!N133-1</f>
        <v>1.4550055353471647E-2</v>
      </c>
      <c r="O130" s="7">
        <f ca="1">+'Historical Data'!O134/'Historical Data'!O133-1</f>
        <v>-1.5751132112620247E-3</v>
      </c>
      <c r="P130" s="7">
        <f ca="1">+'Historical Data'!P134/'Historical Data'!P133-1</f>
        <v>1.1088835985465284E-2</v>
      </c>
    </row>
    <row r="131" spans="1:16" x14ac:dyDescent="0.25">
      <c r="A131" vm="1965">
        <f ca="1"/>
        <v>45532</v>
      </c>
      <c r="B131" s="7">
        <f ca="1">+'Historical Data'!B135/'Historical Data'!B134-1</f>
        <v>-1.6538406385928073E-2</v>
      </c>
      <c r="C131" s="7">
        <f ca="1">+'Historical Data'!C135/'Historical Data'!C134-1</f>
        <v>-1.3401109057301297E-2</v>
      </c>
      <c r="D131" s="7">
        <f ca="1">+'Historical Data'!D135/'Historical Data'!D134-1</f>
        <v>-7.8291127005605254E-3</v>
      </c>
      <c r="E131" s="7">
        <f ca="1">+'Historical Data'!E135/'Historical Data'!E134-1</f>
        <v>4.7780432246236071E-3</v>
      </c>
      <c r="F131" s="7">
        <f ca="1">+'Historical Data'!F135/'Historical Data'!F134-1</f>
        <v>-1.1225997045790637E-3</v>
      </c>
      <c r="G131" s="7">
        <f ca="1">+'Historical Data'!G135/'Historical Data'!G134-1</f>
        <v>5.0413298210554292E-3</v>
      </c>
      <c r="H131" s="7">
        <f ca="1">+'Historical Data'!H135/'Historical Data'!H134-1</f>
        <v>2.0260492040520273E-3</v>
      </c>
      <c r="I131" s="7">
        <f ca="1">+'Historical Data'!I135/'Historical Data'!I134-1</f>
        <v>-9.8572399728077409E-3</v>
      </c>
      <c r="J131" s="7">
        <f ca="1">+'Historical Data'!J135/'Historical Data'!J134-1</f>
        <v>7.0781721661290486E-3</v>
      </c>
      <c r="K131" s="7">
        <f ca="1">+'Historical Data'!K135/'Historical Data'!K134-1</f>
        <v>-5.3462321792261402E-3</v>
      </c>
      <c r="L131" s="7">
        <f ca="1">+'Historical Data'!L135/'Historical Data'!L134-1</f>
        <v>-2.4288688410826209E-3</v>
      </c>
      <c r="M131" s="7">
        <f ca="1">+'Historical Data'!M135/'Historical Data'!M134-1</f>
        <v>1.0370530409419931E-2</v>
      </c>
      <c r="N131" s="7">
        <f ca="1">+'Historical Data'!N135/'Historical Data'!N134-1</f>
        <v>-2.0966484801247187E-2</v>
      </c>
      <c r="O131" s="7">
        <f ca="1">+'Historical Data'!O135/'Historical Data'!O134-1</f>
        <v>-1.6959179648984413E-2</v>
      </c>
      <c r="P131" s="7">
        <f ca="1">+'Historical Data'!P135/'Historical Data'!P134-1</f>
        <v>-1.9889708160356734E-2</v>
      </c>
    </row>
    <row r="132" spans="1:16" x14ac:dyDescent="0.25">
      <c r="A132" vm="1980">
        <f ca="1"/>
        <v>45533</v>
      </c>
      <c r="B132" s="7">
        <f ca="1">+'Historical Data'!B136/'Historical Data'!B135-1</f>
        <v>2.5759416767923149E-3</v>
      </c>
      <c r="C132" s="7">
        <f ca="1">+'Historical Data'!C136/'Historical Data'!C135-1</f>
        <v>7.7283372365339886E-3</v>
      </c>
      <c r="D132" s="7">
        <f ca="1">+'Historical Data'!D136/'Historical Data'!D135-1</f>
        <v>6.1373599610325957E-3</v>
      </c>
      <c r="E132" s="7">
        <f ca="1">+'Historical Data'!E136/'Historical Data'!E135-1</f>
        <v>-3.0135471385125401E-3</v>
      </c>
      <c r="F132" s="7">
        <f ca="1">+'Historical Data'!F136/'Historical Data'!F135-1</f>
        <v>5.7376079498403509E-3</v>
      </c>
      <c r="G132" s="7">
        <f ca="1">+'Historical Data'!G136/'Historical Data'!G135-1</f>
        <v>4.1574404627413575E-3</v>
      </c>
      <c r="H132" s="7">
        <f ca="1">+'Historical Data'!H136/'Historical Data'!H135-1</f>
        <v>5.148333163421448E-3</v>
      </c>
      <c r="I132" s="7">
        <f ca="1">+'Historical Data'!I136/'Historical Data'!I135-1</f>
        <v>1.3817370408513607E-2</v>
      </c>
      <c r="J132" s="7">
        <f ca="1">+'Historical Data'!J136/'Historical Data'!J135-1</f>
        <v>6.2015503875945122E-4</v>
      </c>
      <c r="K132" s="7">
        <f ca="1">+'Historical Data'!K136/'Historical Data'!K135-1</f>
        <v>-7.1666240081904586E-3</v>
      </c>
      <c r="L132" s="7">
        <f ca="1">+'Historical Data'!L136/'Historical Data'!L135-1</f>
        <v>-1.0434782608695903E-3</v>
      </c>
      <c r="M132" s="7">
        <f ca="1">+'Historical Data'!M136/'Historical Data'!M135-1</f>
        <v>6.8961830428739823E-3</v>
      </c>
      <c r="N132" s="7">
        <f ca="1">+'Historical Data'!N136/'Historical Data'!N135-1</f>
        <v>-6.3848419711806326E-2</v>
      </c>
      <c r="O132" s="7">
        <f ca="1">+'Historical Data'!O136/'Historical Data'!O135-1</f>
        <v>1.0832497492477389E-2</v>
      </c>
      <c r="P132" s="7">
        <f ca="1">+'Historical Data'!P136/'Historical Data'!P135-1</f>
        <v>-7.9023896826400097E-3</v>
      </c>
    </row>
    <row r="133" spans="1:16" x14ac:dyDescent="0.25">
      <c r="A133" vm="1996">
        <f ca="1"/>
        <v>45534</v>
      </c>
      <c r="B133" s="7">
        <f ca="1">+'Historical Data'!B137/'Historical Data'!B136-1</f>
        <v>3.795811518324621E-2</v>
      </c>
      <c r="C133" s="7">
        <f ca="1">+'Historical Data'!C137/'Historical Data'!C136-1</f>
        <v>3.7067162444806012E-2</v>
      </c>
      <c r="D133" s="7">
        <f ca="1">+'Historical Data'!D137/'Historical Data'!D136-1</f>
        <v>9.7308288148720834E-3</v>
      </c>
      <c r="E133" s="7">
        <f ca="1">+'Historical Data'!E137/'Historical Data'!E136-1</f>
        <v>2.4292171598125467E-2</v>
      </c>
      <c r="F133" s="7">
        <f ca="1">+'Historical Data'!F137/'Historical Data'!F136-1</f>
        <v>8.8807857436923321E-3</v>
      </c>
      <c r="G133" s="7">
        <f ca="1">+'Historical Data'!G137/'Historical Data'!G136-1</f>
        <v>1.1655641060258404E-2</v>
      </c>
      <c r="H133" s="7">
        <f ca="1">+'Historical Data'!H137/'Historical Data'!H136-1</f>
        <v>-2.3158713254559649E-3</v>
      </c>
      <c r="I133" s="7">
        <f ca="1">+'Historical Data'!I137/'Historical Data'!I136-1</f>
        <v>-1.6083975281468987E-3</v>
      </c>
      <c r="J133" s="7">
        <f ca="1">+'Historical Data'!J137/'Historical Data'!J136-1</f>
        <v>7.747133560582764E-3</v>
      </c>
      <c r="K133" s="7">
        <f ca="1">+'Historical Data'!K137/'Historical Data'!K136-1</f>
        <v>-1.0311936065996341E-2</v>
      </c>
      <c r="L133" s="7">
        <f ca="1">+'Historical Data'!L137/'Historical Data'!L136-1</f>
        <v>1.009749303621188E-2</v>
      </c>
      <c r="M133" s="7">
        <f ca="1">+'Historical Data'!M137/'Historical Data'!M136-1</f>
        <v>3.1324661534377629E-3</v>
      </c>
      <c r="N133" s="7">
        <f ca="1">+'Historical Data'!N137/'Historical Data'!N136-1</f>
        <v>1.5137341610681254E-2</v>
      </c>
      <c r="O133" s="7">
        <f ca="1">+'Historical Data'!O137/'Historical Data'!O136-1</f>
        <v>2.9767811073624362E-3</v>
      </c>
      <c r="P133" s="7">
        <f ca="1">+'Historical Data'!P137/'Historical Data'!P136-1</f>
        <v>3.7532657872936914E-2</v>
      </c>
    </row>
    <row r="134" spans="1:16" x14ac:dyDescent="0.25">
      <c r="A134" vm="2011">
        <f ca="1"/>
        <v>45538</v>
      </c>
      <c r="B134" s="7">
        <f ca="1">+'Historical Data'!B138/'Historical Data'!B137-1</f>
        <v>-1.6393442622950949E-2</v>
      </c>
      <c r="C134" s="7">
        <f ca="1">+'Historical Data'!C138/'Historical Data'!C137-1</f>
        <v>-1.2605042016806678E-2</v>
      </c>
      <c r="D134" s="7">
        <f ca="1">+'Historical Data'!D138/'Historical Data'!D137-1</f>
        <v>-1.8459030541305044E-2</v>
      </c>
      <c r="E134" s="7">
        <f ca="1">+'Historical Data'!E138/'Historical Data'!E137-1</f>
        <v>-1.5215095974226434E-2</v>
      </c>
      <c r="F134" s="7">
        <f ca="1">+'Historical Data'!F138/'Historical Data'!F137-1</f>
        <v>1.7372041506354297E-2</v>
      </c>
      <c r="G134" s="7">
        <f ca="1">+'Historical Data'!G138/'Historical Data'!G137-1</f>
        <v>-2.0017793594305999E-2</v>
      </c>
      <c r="H134" s="7">
        <f ca="1">+'Historical Data'!H138/'Historical Data'!H137-1</f>
        <v>1.4368010843781587E-2</v>
      </c>
      <c r="I134" s="7">
        <f ca="1">+'Historical Data'!I138/'Historical Data'!I137-1</f>
        <v>-2.094285229777848E-2</v>
      </c>
      <c r="J134" s="7">
        <f ca="1">+'Historical Data'!J138/'Historical Data'!J137-1</f>
        <v>-2.1320213202132066E-2</v>
      </c>
      <c r="K134" s="7">
        <f ca="1">+'Historical Data'!K138/'Historical Data'!K137-1</f>
        <v>-3.6467830164105153E-2</v>
      </c>
      <c r="L134" s="7">
        <f ca="1">+'Historical Data'!L138/'Historical Data'!L137-1</f>
        <v>-2.4474319200275763E-2</v>
      </c>
      <c r="M134" s="7">
        <f ca="1">+'Historical Data'!M138/'Historical Data'!M137-1</f>
        <v>1.3760982322430504E-3</v>
      </c>
      <c r="N134" s="7">
        <f ca="1">+'Historical Data'!N138/'Historical Data'!N137-1</f>
        <v>-9.5250062829856819E-2</v>
      </c>
      <c r="O134" s="7">
        <f ca="1">+'Historical Data'!O138/'Historical Data'!O137-1</f>
        <v>-9.4974277799761975E-3</v>
      </c>
      <c r="P134" s="7">
        <f ca="1">+'Historical Data'!P138/'Historical Data'!P137-1</f>
        <v>-6.1601768824468772E-2</v>
      </c>
    </row>
    <row r="135" spans="1:16" x14ac:dyDescent="0.25">
      <c r="A135" vm="2026">
        <f ca="1"/>
        <v>45539</v>
      </c>
      <c r="B135" s="7">
        <f ca="1">+'Historical Data'!B139/'Historical Data'!B138-1</f>
        <v>4.1832858499525116E-2</v>
      </c>
      <c r="C135" s="7">
        <f ca="1">+'Historical Data'!C139/'Historical Data'!C138-1</f>
        <v>-1.6567375886524793E-2</v>
      </c>
      <c r="D135" s="7">
        <f ca="1">+'Historical Data'!D139/'Historical Data'!D138-1</f>
        <v>-1.3188745603751606E-3</v>
      </c>
      <c r="E135" s="7">
        <f ca="1">+'Historical Data'!E139/'Historical Data'!E138-1</f>
        <v>-2.8865979381443863E-3</v>
      </c>
      <c r="F135" s="7">
        <f ca="1">+'Historical Data'!F139/'Historical Data'!F138-1</f>
        <v>7.9074031629613462E-3</v>
      </c>
      <c r="G135" s="7">
        <f ca="1">+'Historical Data'!G139/'Historical Data'!G138-1</f>
        <v>-4.4030866999545948E-3</v>
      </c>
      <c r="H135" s="7">
        <f ca="1">+'Historical Data'!H139/'Historical Data'!H138-1</f>
        <v>9.1868777978219018E-3</v>
      </c>
      <c r="I135" s="7">
        <f ca="1">+'Historical Data'!I139/'Historical Data'!I138-1</f>
        <v>-1.2210963886723825E-2</v>
      </c>
      <c r="J135" s="7">
        <f ca="1">+'Historical Data'!J139/'Historical Data'!J138-1</f>
        <v>-1.0682865521575269E-2</v>
      </c>
      <c r="K135" s="7">
        <f ca="1">+'Historical Data'!K139/'Historical Data'!K138-1</f>
        <v>-1.8924033522573769E-3</v>
      </c>
      <c r="L135" s="7">
        <f ca="1">+'Historical Data'!L139/'Historical Data'!L138-1</f>
        <v>3.1802120141342094E-3</v>
      </c>
      <c r="M135" s="7">
        <f ca="1">+'Historical Data'!M139/'Historical Data'!M138-1</f>
        <v>3.5412262156448993E-3</v>
      </c>
      <c r="N135" s="7">
        <f ca="1">+'Historical Data'!N139/'Historical Data'!N138-1</f>
        <v>-1.6574074074074185E-2</v>
      </c>
      <c r="O135" s="7">
        <f ca="1">+'Historical Data'!O139/'Historical Data'!O138-1</f>
        <v>-7.1913703555732678E-3</v>
      </c>
      <c r="P135" s="7">
        <f ca="1">+'Historical Data'!P139/'Historical Data'!P138-1</f>
        <v>8.7047581648014294E-3</v>
      </c>
    </row>
    <row r="136" spans="1:16" x14ac:dyDescent="0.25">
      <c r="A136" vm="2041">
        <f ca="1"/>
        <v>45540</v>
      </c>
      <c r="B136" s="7">
        <f ca="1">+'Historical Data'!B140/'Historical Data'!B139-1</f>
        <v>4.904060890570161E-2</v>
      </c>
      <c r="C136" s="7">
        <f ca="1">+'Historical Data'!C140/'Historical Data'!C139-1</f>
        <v>2.6308198234581193E-2</v>
      </c>
      <c r="D136" s="7">
        <f ca="1">+'Historical Data'!D140/'Historical Data'!D139-1</f>
        <v>-1.2472487160675172E-3</v>
      </c>
      <c r="E136" s="7">
        <f ca="1">+'Historical Data'!E140/'Historical Data'!E139-1</f>
        <v>-7.2236007719879147E-3</v>
      </c>
      <c r="F136" s="7">
        <f ca="1">+'Historical Data'!F140/'Historical Data'!F139-1</f>
        <v>-2.4445707788516291E-3</v>
      </c>
      <c r="G136" s="7">
        <f ca="1">+'Historical Data'!G140/'Historical Data'!G139-1</f>
        <v>-7.750877672913048E-3</v>
      </c>
      <c r="H136" s="7">
        <f ca="1">+'Historical Data'!H140/'Historical Data'!H139-1</f>
        <v>-1.4383130855043058E-2</v>
      </c>
      <c r="I136" s="7">
        <f ca="1">+'Historical Data'!I140/'Historical Data'!I139-1</f>
        <v>-7.8029107487287419E-3</v>
      </c>
      <c r="J136" s="7">
        <f ca="1">+'Historical Data'!J140/'Historical Data'!J139-1</f>
        <v>-1.058649163667158E-3</v>
      </c>
      <c r="K136" s="7">
        <f ca="1">+'Historical Data'!K140/'Historical Data'!K139-1</f>
        <v>-8.1256771397617555E-3</v>
      </c>
      <c r="L136" s="7">
        <f ca="1">+'Historical Data'!L140/'Historical Data'!L139-1</f>
        <v>4.2268404367735712E-3</v>
      </c>
      <c r="M136" s="7">
        <f ca="1">+'Historical Data'!M140/'Historical Data'!M139-1</f>
        <v>-2.164638963501353E-2</v>
      </c>
      <c r="N136" s="7">
        <f ca="1">+'Historical Data'!N140/'Historical Data'!N139-1</f>
        <v>9.4153092929103455E-3</v>
      </c>
      <c r="O136" s="7">
        <f ca="1">+'Historical Data'!O140/'Historical Data'!O139-1</f>
        <v>-1.1468812877263534E-2</v>
      </c>
      <c r="P136" s="7">
        <f ca="1">+'Historical Data'!P140/'Historical Data'!P139-1</f>
        <v>-8.4349857254087945E-3</v>
      </c>
    </row>
    <row r="137" spans="1:16" x14ac:dyDescent="0.25">
      <c r="A137" vm="2056">
        <f ca="1"/>
        <v>45541</v>
      </c>
      <c r="B137" s="7">
        <f ca="1">+'Historical Data'!B141/'Historical Data'!B140-1</f>
        <v>-8.4459312681930743E-2</v>
      </c>
      <c r="C137" s="7">
        <f ca="1">+'Historical Data'!C141/'Historical Data'!C140-1</f>
        <v>-3.6539434481983268E-2</v>
      </c>
      <c r="D137" s="7">
        <f ca="1">+'Historical Data'!D141/'Historical Data'!D140-1</f>
        <v>-1.6381400132226553E-2</v>
      </c>
      <c r="E137" s="7">
        <f ca="1">+'Historical Data'!E141/'Historical Data'!E140-1</f>
        <v>2.0828704732280823E-3</v>
      </c>
      <c r="F137" s="7">
        <f ca="1">+'Historical Data'!F141/'Historical Data'!F140-1</f>
        <v>6.8387758591215153E-4</v>
      </c>
      <c r="G137" s="7">
        <f ca="1">+'Historical Data'!G141/'Historical Data'!G140-1</f>
        <v>-2.3755916004227329E-2</v>
      </c>
      <c r="H137" s="7">
        <f ca="1">+'Historical Data'!H141/'Historical Data'!H140-1</f>
        <v>2.3342121614131628E-3</v>
      </c>
      <c r="I137" s="7">
        <f ca="1">+'Historical Data'!I141/'Historical Data'!I140-1</f>
        <v>-4.6832199346116266E-3</v>
      </c>
      <c r="J137" s="7">
        <f ca="1">+'Historical Data'!J141/'Historical Data'!J140-1</f>
        <v>-4.5676133955065645E-2</v>
      </c>
      <c r="K137" s="7">
        <f ca="1">+'Historical Data'!K141/'Historical Data'!K140-1</f>
        <v>-3.1949754232659555E-2</v>
      </c>
      <c r="L137" s="7">
        <f ca="1">+'Historical Data'!L141/'Historical Data'!L140-1</f>
        <v>1.7537706068044834E-3</v>
      </c>
      <c r="M137" s="7">
        <f ca="1">+'Historical Data'!M141/'Historical Data'!M140-1</f>
        <v>-2.1533161068043594E-3</v>
      </c>
      <c r="N137" s="7">
        <f ca="1">+'Historical Data'!N141/'Historical Data'!N140-1</f>
        <v>-4.0854397910642604E-2</v>
      </c>
      <c r="O137" s="7">
        <f ca="1">+'Historical Data'!O141/'Historical Data'!O140-1</f>
        <v>-1.2823122328516234E-2</v>
      </c>
      <c r="P137" s="7">
        <f ca="1">+'Historical Data'!P141/'Historical Data'!P140-1</f>
        <v>-0.10355319984295241</v>
      </c>
    </row>
    <row r="138" spans="1:16" x14ac:dyDescent="0.25">
      <c r="A138" vm="2071">
        <f ca="1"/>
        <v>45544</v>
      </c>
      <c r="B138" s="7">
        <f ca="1">+'Historical Data'!B142/'Historical Data'!B141-1</f>
        <v>2.6289564846011526E-2</v>
      </c>
      <c r="C138" s="7">
        <f ca="1">+'Historical Data'!C142/'Historical Data'!C141-1</f>
        <v>2.3396930976136376E-2</v>
      </c>
      <c r="D138" s="7">
        <f ca="1">+'Historical Data'!D142/'Historical Data'!D141-1</f>
        <v>1.0007468259895624E-2</v>
      </c>
      <c r="E138" s="7">
        <f ca="1">+'Historical Data'!E142/'Historical Data'!E141-1</f>
        <v>8.5081617382145591E-3</v>
      </c>
      <c r="F138" s="7">
        <f ca="1">+'Historical Data'!F142/'Historical Data'!F141-1</f>
        <v>2.6766900165158258E-3</v>
      </c>
      <c r="G138" s="7">
        <f ca="1">+'Historical Data'!G142/'Historical Data'!G141-1</f>
        <v>2.0474442247952584E-2</v>
      </c>
      <c r="H138" s="7">
        <f ca="1">+'Historical Data'!H142/'Historical Data'!H141-1</f>
        <v>-4.6575526068891593E-3</v>
      </c>
      <c r="I138" s="7">
        <f ca="1">+'Historical Data'!I142/'Historical Data'!I141-1</f>
        <v>2.1040482954545414E-2</v>
      </c>
      <c r="J138" s="7">
        <f ca="1">+'Historical Data'!J142/'Historical Data'!J141-1</f>
        <v>1.110494169905607E-2</v>
      </c>
      <c r="K138" s="7">
        <f ca="1">+'Historical Data'!K142/'Historical Data'!K141-1</f>
        <v>9.5909732016923321E-3</v>
      </c>
      <c r="L138" s="7">
        <f ca="1">+'Historical Data'!L142/'Historical Data'!L141-1</f>
        <v>2.9761904761904878E-2</v>
      </c>
      <c r="M138" s="7">
        <f ca="1">+'Historical Data'!M142/'Historical Data'!M141-1</f>
        <v>9.9266292619766272E-3</v>
      </c>
      <c r="N138" s="7">
        <f ca="1">+'Historical Data'!N142/'Historical Data'!N141-1</f>
        <v>3.539823008849563E-2</v>
      </c>
      <c r="O138" s="7">
        <f ca="1">+'Historical Data'!O142/'Historical Data'!O141-1</f>
        <v>4.1237113402061709E-3</v>
      </c>
      <c r="P138" s="7">
        <f ca="1">+'Historical Data'!P142/'Historical Data'!P141-1</f>
        <v>2.7920727033833304E-2</v>
      </c>
    </row>
    <row r="139" spans="1:16" x14ac:dyDescent="0.25">
      <c r="A139" vm="2086">
        <f ca="1"/>
        <v>45545</v>
      </c>
      <c r="B139" s="7">
        <f ca="1">+'Historical Data'!B143/'Historical Data'!B142-1</f>
        <v>4.5776113191843493E-2</v>
      </c>
      <c r="C139" s="7">
        <f ca="1">+'Historical Data'!C143/'Historical Data'!C142-1</f>
        <v>2.3660205245153998E-2</v>
      </c>
      <c r="D139" s="7">
        <f ca="1">+'Historical Data'!D143/'Historical Data'!D142-1</f>
        <v>2.0901114068815785E-2</v>
      </c>
      <c r="E139" s="7">
        <f ca="1">+'Historical Data'!E143/'Historical Data'!E142-1</f>
        <v>2.1846661170651371E-2</v>
      </c>
      <c r="F139" s="7">
        <f ca="1">+'Historical Data'!F143/'Historical Data'!F142-1</f>
        <v>9.8261956151310947E-3</v>
      </c>
      <c r="G139" s="7">
        <f ca="1">+'Historical Data'!G143/'Historical Data'!G142-1</f>
        <v>-5.1888750518887528E-2</v>
      </c>
      <c r="H139" s="7">
        <f ca="1">+'Historical Data'!H143/'Historical Data'!H142-1</f>
        <v>8.2982662851371902E-3</v>
      </c>
      <c r="I139" s="7">
        <f ca="1">+'Historical Data'!I143/'Historical Data'!I142-1</f>
        <v>-3.6431614642205123E-2</v>
      </c>
      <c r="J139" s="7">
        <f ca="1">+'Historical Data'!J143/'Historical Data'!J142-1</f>
        <v>2.1197144426139403E-2</v>
      </c>
      <c r="K139" s="7">
        <f ca="1">+'Historical Data'!K143/'Historical Data'!K142-1</f>
        <v>5.3087454596254524E-3</v>
      </c>
      <c r="L139" s="7">
        <f ca="1">+'Historical Data'!L143/'Historical Data'!L142-1</f>
        <v>1.122067324039433E-2</v>
      </c>
      <c r="M139" s="7">
        <f ca="1">+'Historical Data'!M143/'Historical Data'!M142-1</f>
        <v>-1.2446581196581152E-2</v>
      </c>
      <c r="N139" s="7">
        <f ca="1">+'Historical Data'!N143/'Historical Data'!N142-1</f>
        <v>1.5309476847938264E-2</v>
      </c>
      <c r="O139" s="7">
        <f ca="1">+'Historical Data'!O143/'Historical Data'!O142-1</f>
        <v>1.8480492813139904E-3</v>
      </c>
      <c r="P139" s="7">
        <f ca="1">+'Historical Data'!P143/'Historical Data'!P142-1</f>
        <v>5.2478341144723828E-2</v>
      </c>
    </row>
    <row r="140" spans="1:16" x14ac:dyDescent="0.25">
      <c r="A140" vm="2101">
        <f ca="1"/>
        <v>45546</v>
      </c>
      <c r="B140" s="7">
        <f ca="1">+'Historical Data'!B144/'Historical Data'!B143-1</f>
        <v>8.6660476632622885E-3</v>
      </c>
      <c r="C140" s="7">
        <f ca="1">+'Historical Data'!C144/'Historical Data'!C143-1</f>
        <v>2.7680311890838194E-2</v>
      </c>
      <c r="D140" s="7">
        <f ca="1">+'Historical Data'!D144/'Historical Data'!D143-1</f>
        <v>2.134234669241919E-2</v>
      </c>
      <c r="E140" s="7">
        <f ca="1">+'Historical Data'!E144/'Historical Data'!E143-1</f>
        <v>-6.7231410514989598E-4</v>
      </c>
      <c r="F140" s="7">
        <f ca="1">+'Historical Data'!F144/'Historical Data'!F143-1</f>
        <v>-2.1767253501321804E-2</v>
      </c>
      <c r="G140" s="7">
        <f ca="1">+'Historical Data'!G144/'Historical Data'!G143-1</f>
        <v>8.1241486670557972E-3</v>
      </c>
      <c r="H140" s="7">
        <f ca="1">+'Historical Data'!H144/'Historical Data'!H143-1</f>
        <v>-1.5491711600420621E-2</v>
      </c>
      <c r="I140" s="7">
        <f ca="1">+'Historical Data'!I144/'Historical Data'!I143-1</f>
        <v>-9.9260061360764151E-3</v>
      </c>
      <c r="J140" s="7">
        <f ca="1">+'Historical Data'!J144/'Historical Data'!J143-1</f>
        <v>8.4964508496452318E-3</v>
      </c>
      <c r="K140" s="7">
        <f ca="1">+'Historical Data'!K144/'Historical Data'!K143-1</f>
        <v>6.6703724291272692E-3</v>
      </c>
      <c r="L140" s="7">
        <f ca="1">+'Historical Data'!L144/'Historical Data'!L143-1</f>
        <v>-2.6899798251512896E-3</v>
      </c>
      <c r="M140" s="7">
        <f ca="1">+'Historical Data'!M144/'Historical Data'!M143-1</f>
        <v>-2.5964191053173824E-3</v>
      </c>
      <c r="N140" s="7">
        <f ca="1">+'Historical Data'!N144/'Historical Data'!N143-1</f>
        <v>8.1498612395929815E-2</v>
      </c>
      <c r="O140" s="7">
        <f ca="1">+'Historical Data'!O144/'Historical Data'!O143-1</f>
        <v>6.5587210493953663E-3</v>
      </c>
      <c r="P140" s="7">
        <f ca="1">+'Historical Data'!P144/'Historical Data'!P143-1</f>
        <v>6.7876661493826429E-2</v>
      </c>
    </row>
    <row r="141" spans="1:16" x14ac:dyDescent="0.25">
      <c r="A141" vm="2117">
        <f ca="1"/>
        <v>45547</v>
      </c>
      <c r="B141" s="7">
        <f ca="1">+'Historical Data'!B145/'Historical Data'!B144-1</f>
        <v>7.3642221540350938E-3</v>
      </c>
      <c r="C141" s="7">
        <f ca="1">+'Historical Data'!C145/'Historical Data'!C144-1</f>
        <v>1.3440277476696183E-2</v>
      </c>
      <c r="D141" s="7">
        <f ca="1">+'Historical Data'!D145/'Historical Data'!D144-1</f>
        <v>9.3608169440242417E-3</v>
      </c>
      <c r="E141" s="7">
        <f ca="1">+'Historical Data'!E145/'Historical Data'!E144-1</f>
        <v>6.3778256189450655E-3</v>
      </c>
      <c r="F141" s="7">
        <f ca="1">+'Historical Data'!F145/'Historical Data'!F144-1</f>
        <v>-2.5873965041397495E-3</v>
      </c>
      <c r="G141" s="7">
        <f ca="1">+'Historical Data'!G145/'Historical Data'!G144-1</f>
        <v>-3.0401003715677666E-3</v>
      </c>
      <c r="H141" s="7">
        <f ca="1">+'Historical Data'!H145/'Historical Data'!H144-1</f>
        <v>-2.2551928783383079E-3</v>
      </c>
      <c r="I141" s="7">
        <f ca="1">+'Historical Data'!I145/'Historical Data'!I144-1</f>
        <v>1.3762304046664342E-2</v>
      </c>
      <c r="J141" s="7">
        <f ca="1">+'Historical Data'!J145/'Historical Data'!J144-1</f>
        <v>-1.5996587394689898E-3</v>
      </c>
      <c r="K141" s="7">
        <f ca="1">+'Historical Data'!K145/'Historical Data'!K144-1</f>
        <v>-4.1413583655438568E-3</v>
      </c>
      <c r="L141" s="7">
        <f ca="1">+'Historical Data'!L145/'Historical Data'!L144-1</f>
        <v>-1.6857720836143009E-2</v>
      </c>
      <c r="M141" s="7">
        <f ca="1">+'Historical Data'!M145/'Historical Data'!M144-1</f>
        <v>9.2738217907695208E-3</v>
      </c>
      <c r="N141" s="7">
        <f ca="1">+'Historical Data'!N145/'Historical Data'!N144-1</f>
        <v>1.9074501753485684E-2</v>
      </c>
      <c r="O141" s="7">
        <f ca="1">+'Historical Data'!O145/'Historical Data'!O144-1</f>
        <v>1.018122581958858E-2</v>
      </c>
      <c r="P141" s="7">
        <f ca="1">+'Historical Data'!P145/'Historical Data'!P144-1</f>
        <v>3.9742212674543476E-2</v>
      </c>
    </row>
    <row r="142" spans="1:16" x14ac:dyDescent="0.25">
      <c r="A142" vm="2130">
        <f ca="1"/>
        <v>45548</v>
      </c>
      <c r="B142" s="7">
        <f ca="1">+'Historical Data'!B146/'Historical Data'!B145-1</f>
        <v>2.088681954658167E-3</v>
      </c>
      <c r="C142" s="7">
        <f ca="1">+'Historical Data'!C146/'Historical Data'!C145-1</f>
        <v>-2.7272727272726893E-3</v>
      </c>
      <c r="D142" s="7">
        <f ca="1">+'Historical Data'!D146/'Historical Data'!D145-1</f>
        <v>8.4074941451990348E-3</v>
      </c>
      <c r="E142" s="7">
        <f ca="1">+'Historical Data'!E146/'Historical Data'!E145-1</f>
        <v>3.8238361365883211E-3</v>
      </c>
      <c r="F142" s="7">
        <f ca="1">+'Historical Data'!F146/'Historical Data'!F145-1</f>
        <v>3.5164581772064718E-3</v>
      </c>
      <c r="G142" s="7">
        <f ca="1">+'Historical Data'!G146/'Historical Data'!G145-1</f>
        <v>-1.1035818005808329E-2</v>
      </c>
      <c r="H142" s="7">
        <f ca="1">+'Historical Data'!H146/'Historical Data'!H145-1</f>
        <v>1.002685156860772E-2</v>
      </c>
      <c r="I142" s="7">
        <f ca="1">+'Historical Data'!I146/'Historical Data'!I145-1</f>
        <v>-7.192304234469038E-4</v>
      </c>
      <c r="J142" s="7">
        <f ca="1">+'Historical Data'!J146/'Historical Data'!J145-1</f>
        <v>-1.9226660969878795E-3</v>
      </c>
      <c r="K142" s="7">
        <f ca="1">+'Historical Data'!K146/'Historical Data'!K145-1</f>
        <v>-5.5447740504588339E-4</v>
      </c>
      <c r="L142" s="7">
        <f ca="1">+'Historical Data'!L146/'Historical Data'!L145-1</f>
        <v>3.7722908093278384E-3</v>
      </c>
      <c r="M142" s="7">
        <f ca="1">+'Historical Data'!M146/'Historical Data'!M145-1</f>
        <v>1.182160128962928E-2</v>
      </c>
      <c r="N142" s="7">
        <f ca="1">+'Historical Data'!N146/'Historical Data'!N145-1</f>
        <v>-3.3573946617426742E-4</v>
      </c>
      <c r="O142" s="7">
        <f ca="1">+'Historical Data'!O146/'Historical Data'!O145-1</f>
        <v>3.8298730094739053E-3</v>
      </c>
      <c r="P142" s="7">
        <f ca="1">+'Historical Data'!P146/'Historical Data'!P145-1</f>
        <v>1.9020418084589208E-2</v>
      </c>
    </row>
    <row r="143" spans="1:16" x14ac:dyDescent="0.25">
      <c r="A143" vm="2146">
        <f ca="1"/>
        <v>45551</v>
      </c>
      <c r="B143" s="7">
        <f ca="1">+'Historical Data'!B147/'Historical Data'!B146-1</f>
        <v>-1.5241651830300906E-2</v>
      </c>
      <c r="C143" s="7">
        <f ca="1">+'Historical Data'!C147/'Historical Data'!C146-1</f>
        <v>-8.5795485012601924E-3</v>
      </c>
      <c r="D143" s="7">
        <f ca="1">+'Historical Data'!D147/'Historical Data'!D146-1</f>
        <v>1.7417961401797744E-3</v>
      </c>
      <c r="E143" s="7">
        <f ca="1">+'Historical Data'!E147/'Historical Data'!E146-1</f>
        <v>9.7496004262120906E-3</v>
      </c>
      <c r="F143" s="7">
        <f ca="1">+'Historical Data'!F147/'Historical Data'!F146-1</f>
        <v>1.8152573529411686E-2</v>
      </c>
      <c r="G143" s="7">
        <f ca="1">+'Historical Data'!G147/'Historical Data'!G146-1</f>
        <v>1.7325763508222458E-2</v>
      </c>
      <c r="H143" s="7">
        <f ca="1">+'Historical Data'!H147/'Historical Data'!H146-1</f>
        <v>-8.7158433167318083E-3</v>
      </c>
      <c r="I143" s="7">
        <f ca="1">+'Historical Data'!I147/'Historical Data'!I146-1</f>
        <v>1.4035087719298067E-2</v>
      </c>
      <c r="J143" s="7">
        <f ca="1">+'Historical Data'!J147/'Historical Data'!J146-1</f>
        <v>-3.5316780821916804E-3</v>
      </c>
      <c r="K143" s="7">
        <f ca="1">+'Historical Data'!K147/'Historical Data'!K146-1</f>
        <v>1.9417475728156219E-3</v>
      </c>
      <c r="L143" s="7">
        <f ca="1">+'Historical Data'!L147/'Historical Data'!L146-1</f>
        <v>2.7331738981892784E-2</v>
      </c>
      <c r="M143" s="7">
        <f ca="1">+'Historical Data'!M147/'Historical Data'!M146-1</f>
        <v>1.2002124269782311E-2</v>
      </c>
      <c r="N143" s="7">
        <f ca="1">+'Historical Data'!N147/'Historical Data'!N146-1</f>
        <v>-1.9479429051217356E-2</v>
      </c>
      <c r="O143" s="7">
        <f ca="1">+'Historical Data'!O147/'Historical Data'!O146-1</f>
        <v>2.4698795180722932E-2</v>
      </c>
      <c r="P143" s="7">
        <f ca="1">+'Historical Data'!P147/'Historical Data'!P146-1</f>
        <v>-2.1885622279205652E-2</v>
      </c>
    </row>
    <row r="144" spans="1:16" x14ac:dyDescent="0.25">
      <c r="A144" vm="2162">
        <f ca="1"/>
        <v>45552</v>
      </c>
      <c r="B144" s="7">
        <f ca="1">+'Historical Data'!B148/'Historical Data'!B147-1</f>
        <v>4.8064203192521582E-3</v>
      </c>
      <c r="C144" s="7">
        <f ca="1">+'Historical Data'!C148/'Historical Data'!C147-1</f>
        <v>1.0763156471415458E-2</v>
      </c>
      <c r="D144" s="7">
        <f ca="1">+'Historical Data'!D148/'Historical Data'!D147-1</f>
        <v>8.8329392126860196E-3</v>
      </c>
      <c r="E144" s="7">
        <f ca="1">+'Historical Data'!E148/'Historical Data'!E147-1</f>
        <v>-2.7963910726533925E-3</v>
      </c>
      <c r="F144" s="7">
        <f ca="1">+'Historical Data'!F148/'Historical Data'!F147-1</f>
        <v>-7.6732114646806959E-3</v>
      </c>
      <c r="G144" s="7">
        <f ca="1">+'Historical Data'!G148/'Historical Data'!G147-1</f>
        <v>6.6871933031846797E-3</v>
      </c>
      <c r="H144" s="7">
        <f ca="1">+'Historical Data'!H148/'Historical Data'!H147-1</f>
        <v>-1.8976813660589897E-2</v>
      </c>
      <c r="I144" s="7">
        <f ca="1">+'Historical Data'!I148/'Historical Data'!I147-1</f>
        <v>1.3042321000798607E-2</v>
      </c>
      <c r="J144" s="7">
        <f ca="1">+'Historical Data'!J148/'Historical Data'!J147-1</f>
        <v>-2.7494361507893861E-2</v>
      </c>
      <c r="K144" s="7">
        <f ca="1">+'Historical Data'!K148/'Historical Data'!K147-1</f>
        <v>-6.6445182724250706E-3</v>
      </c>
      <c r="L144" s="7">
        <f ca="1">+'Historical Data'!L148/'Historical Data'!L147-1</f>
        <v>-7.9813767874958863E-3</v>
      </c>
      <c r="M144" s="7">
        <f ca="1">+'Historical Data'!M148/'Historical Data'!M147-1</f>
        <v>-1.5743073047859157E-3</v>
      </c>
      <c r="N144" s="7">
        <f ca="1">+'Historical Data'!N148/'Historical Data'!N147-1</f>
        <v>-1.0190101044699418E-2</v>
      </c>
      <c r="O144" s="7">
        <f ca="1">+'Historical Data'!O148/'Historical Data'!O147-1</f>
        <v>-8.2304526748971929E-3</v>
      </c>
      <c r="P144" s="7">
        <f ca="1">+'Historical Data'!P148/'Historical Data'!P147-1</f>
        <v>-9.4500670649921847E-3</v>
      </c>
    </row>
    <row r="145" spans="1:16" x14ac:dyDescent="0.25">
      <c r="A145" vm="2176">
        <f ca="1"/>
        <v>45553</v>
      </c>
      <c r="B145" s="7">
        <f ca="1">+'Historical Data'!B149/'Historical Data'!B148-1</f>
        <v>-2.9402729626542001E-3</v>
      </c>
      <c r="C145" s="7">
        <f ca="1">+'Historical Data'!C149/'Historical Data'!C148-1</f>
        <v>-2.4079623287670548E-3</v>
      </c>
      <c r="D145" s="7">
        <f ca="1">+'Historical Data'!D149/'Historical Data'!D148-1</f>
        <v>-9.9735723313799651E-3</v>
      </c>
      <c r="E145" s="7">
        <f ca="1">+'Historical Data'!E149/'Historical Data'!E148-1</f>
        <v>-7.1164021164020763E-3</v>
      </c>
      <c r="F145" s="7">
        <f ca="1">+'Historical Data'!F149/'Historical Data'!F148-1</f>
        <v>-1.1143961792131063E-2</v>
      </c>
      <c r="G145" s="7">
        <f ca="1">+'Historical Data'!G149/'Historical Data'!G148-1</f>
        <v>-8.2198327359617185E-3</v>
      </c>
      <c r="H145" s="7">
        <f ca="1">+'Historical Data'!H149/'Historical Data'!H148-1</f>
        <v>4.6543013357325247E-3</v>
      </c>
      <c r="I145" s="7">
        <f ca="1">+'Historical Data'!I149/'Historical Data'!I148-1</f>
        <v>3.5032404974599807E-3</v>
      </c>
      <c r="J145" s="7">
        <f ca="1">+'Historical Data'!J149/'Historical Data'!J148-1</f>
        <v>-6.6261733848704818E-4</v>
      </c>
      <c r="K145" s="7">
        <f ca="1">+'Historical Data'!K149/'Historical Data'!K148-1</f>
        <v>-1.8115942028986698E-3</v>
      </c>
      <c r="L145" s="7">
        <f ca="1">+'Historical Data'!L149/'Historical Data'!L148-1</f>
        <v>-2.6818638954072549E-3</v>
      </c>
      <c r="M145" s="7">
        <f ca="1">+'Historical Data'!M149/'Historical Data'!M148-1</f>
        <v>3.9419741406496733E-3</v>
      </c>
      <c r="N145" s="7">
        <f ca="1">+'Historical Data'!N149/'Historical Data'!N148-1</f>
        <v>-1.9205813651699932E-2</v>
      </c>
      <c r="O145" s="7">
        <f ca="1">+'Historical Data'!O149/'Historical Data'!O148-1</f>
        <v>-7.9035763683066307E-4</v>
      </c>
      <c r="P145" s="7">
        <f ca="1">+'Historical Data'!P149/'Historical Data'!P148-1</f>
        <v>-4.9239859666400099E-3</v>
      </c>
    </row>
    <row r="146" spans="1:16" x14ac:dyDescent="0.25">
      <c r="A146" vm="2188">
        <f ca="1"/>
        <v>45554</v>
      </c>
      <c r="B146" s="7">
        <f ca="1">+'Historical Data'!B150/'Historical Data'!B149-1</f>
        <v>7.3591549295774605E-2</v>
      </c>
      <c r="C146" s="7">
        <f ca="1">+'Historical Data'!C150/'Historical Data'!C149-1</f>
        <v>1.8451965885318833E-2</v>
      </c>
      <c r="D146" s="7">
        <f ca="1">+'Historical Data'!D150/'Historical Data'!D149-1</f>
        <v>1.8291126018430415E-2</v>
      </c>
      <c r="E146" s="7">
        <f ca="1">+'Historical Data'!E150/'Historical Data'!E149-1</f>
        <v>1.1830220351176424E-2</v>
      </c>
      <c r="F146" s="7">
        <f ca="1">+'Historical Data'!F150/'Historical Data'!F149-1</f>
        <v>-1.3684452621895105E-2</v>
      </c>
      <c r="G146" s="7">
        <f ca="1">+'Historical Data'!G150/'Historical Data'!G149-1</f>
        <v>1.4214812316291514E-2</v>
      </c>
      <c r="H146" s="7">
        <f ca="1">+'Historical Data'!H150/'Historical Data'!H149-1</f>
        <v>-6.1655041763539753E-3</v>
      </c>
      <c r="I146" s="7">
        <f ca="1">+'Historical Data'!I150/'Historical Data'!I149-1</f>
        <v>1.239308779891779E-2</v>
      </c>
      <c r="J146" s="7">
        <f ca="1">+'Historical Data'!J150/'Historical Data'!J149-1</f>
        <v>3.0279588904851495E-2</v>
      </c>
      <c r="K146" s="7">
        <f ca="1">+'Historical Data'!K150/'Historical Data'!K149-1</f>
        <v>4.1183861510540209E-2</v>
      </c>
      <c r="L146" s="7">
        <f ca="1">+'Historical Data'!L150/'Historical Data'!L149-1</f>
        <v>-3.0252100840335583E-3</v>
      </c>
      <c r="M146" s="7">
        <f ca="1">+'Historical Data'!M150/'Historical Data'!M149-1</f>
        <v>-1.7276582377885319E-3</v>
      </c>
      <c r="N146" s="7">
        <f ca="1">+'Historical Data'!N150/'Historical Data'!N149-1</f>
        <v>3.9693040486901365E-2</v>
      </c>
      <c r="O146" s="7">
        <f ca="1">+'Historical Data'!O150/'Historical Data'!O149-1</f>
        <v>1.7203875815700931E-2</v>
      </c>
      <c r="P146" s="7">
        <f ca="1">+'Historical Data'!P150/'Historical Data'!P149-1</f>
        <v>3.5566276983979739E-2</v>
      </c>
    </row>
    <row r="147" spans="1:16" x14ac:dyDescent="0.25">
      <c r="A147" vm="2199">
        <f ca="1"/>
        <v>45555</v>
      </c>
      <c r="B147" s="7">
        <f ca="1">+'Historical Data'!B151/'Historical Data'!B150-1</f>
        <v>-2.3245326336503669E-2</v>
      </c>
      <c r="C147" s="7">
        <f ca="1">+'Historical Data'!C151/'Historical Data'!C150-1</f>
        <v>9.1114973402854904E-3</v>
      </c>
      <c r="D147" s="7">
        <f ca="1">+'Historical Data'!D151/'Historical Data'!D150-1</f>
        <v>-7.795937906038497E-3</v>
      </c>
      <c r="E147" s="7">
        <f ca="1">+'Historical Data'!E151/'Historical Data'!E150-1</f>
        <v>-3.2389730085583546E-3</v>
      </c>
      <c r="F147" s="7">
        <f ca="1">+'Historical Data'!F151/'Historical Data'!F150-1</f>
        <v>1.5623178267459625E-2</v>
      </c>
      <c r="G147" s="7">
        <f ca="1">+'Historical Data'!G151/'Historical Data'!G150-1</f>
        <v>2.8981375902699114E-3</v>
      </c>
      <c r="H147" s="7">
        <f ca="1">+'Historical Data'!H151/'Historical Data'!H150-1</f>
        <v>-3.5870864886410336E-3</v>
      </c>
      <c r="I147" s="7">
        <f ca="1">+'Historical Data'!I151/'Historical Data'!I150-1</f>
        <v>-6.2931034482759385E-3</v>
      </c>
      <c r="J147" s="7">
        <f ca="1">+'Historical Data'!J151/'Historical Data'!J150-1</f>
        <v>-1.5016625549717499E-3</v>
      </c>
      <c r="K147" s="7">
        <f ca="1">+'Historical Data'!K151/'Historical Data'!K150-1</f>
        <v>-2.1185304371145075E-2</v>
      </c>
      <c r="L147" s="7">
        <f ca="1">+'Historical Data'!L151/'Historical Data'!L150-1</f>
        <v>-8.0917060013485642E-3</v>
      </c>
      <c r="M147" s="7">
        <f ca="1">+'Historical Data'!M151/'Historical Data'!M150-1</f>
        <v>1.6782043213761089E-3</v>
      </c>
      <c r="N147" s="7">
        <f ca="1">+'Historical Data'!N151/'Historical Data'!N150-1</f>
        <v>-1.5864935946381609E-2</v>
      </c>
      <c r="O147" s="7">
        <f ca="1">+'Historical Data'!O151/'Historical Data'!O150-1</f>
        <v>1.030326594090214E-2</v>
      </c>
      <c r="P147" s="7">
        <f ca="1">+'Historical Data'!P151/'Historical Data'!P150-1</f>
        <v>2.1980647473420101E-2</v>
      </c>
    </row>
    <row r="148" spans="1:16" x14ac:dyDescent="0.25">
      <c r="A148" vm="2213">
        <f ca="1"/>
        <v>45558</v>
      </c>
      <c r="B148" s="7">
        <f ca="1">+'Historical Data'!B152/'Historical Data'!B151-1</f>
        <v>4.9317943336831149E-2</v>
      </c>
      <c r="C148" s="7">
        <f ca="1">+'Historical Data'!C152/'Historical Data'!C151-1</f>
        <v>1.1899791231732681E-2</v>
      </c>
      <c r="D148" s="7">
        <f ca="1">+'Historical Data'!D152/'Historical Data'!D151-1</f>
        <v>-4.0434672731867183E-3</v>
      </c>
      <c r="E148" s="7">
        <f ca="1">+'Historical Data'!E152/'Historical Data'!E151-1</f>
        <v>8.8502589030963197E-3</v>
      </c>
      <c r="F148" s="7">
        <f ca="1">+'Historical Data'!F152/'Historical Data'!F151-1</f>
        <v>-2.582941108942638E-3</v>
      </c>
      <c r="G148" s="7">
        <f ca="1">+'Historical Data'!G152/'Historical Data'!G151-1</f>
        <v>1.6580605428964112E-3</v>
      </c>
      <c r="H148" s="7">
        <f ca="1">+'Historical Data'!H152/'Historical Data'!H151-1</f>
        <v>-2.7652173913044198E-3</v>
      </c>
      <c r="I148" s="7">
        <f ca="1">+'Historical Data'!I152/'Historical Data'!I151-1</f>
        <v>1.8131343801509603E-2</v>
      </c>
      <c r="J148" s="7">
        <f ca="1">+'Historical Data'!J152/'Historical Data'!J151-1</f>
        <v>1.2031367493823275E-2</v>
      </c>
      <c r="K148" s="7">
        <f ca="1">+'Historical Data'!K152/'Historical Data'!K151-1</f>
        <v>1.452054794520552E-2</v>
      </c>
      <c r="L148" s="7">
        <f ca="1">+'Historical Data'!L152/'Historical Data'!L151-1</f>
        <v>-3.7389530931339898E-3</v>
      </c>
      <c r="M148" s="7">
        <f ca="1">+'Historical Data'!M152/'Historical Data'!M151-1</f>
        <v>9.8952879581151176E-3</v>
      </c>
      <c r="N148" s="7">
        <f ca="1">+'Historical Data'!N152/'Historical Data'!N151-1</f>
        <v>2.2413793103448487E-3</v>
      </c>
      <c r="O148" s="7">
        <f ca="1">+'Historical Data'!O152/'Historical Data'!O151-1</f>
        <v>4.2332114681546962E-3</v>
      </c>
      <c r="P148" s="7">
        <f ca="1">+'Historical Data'!P152/'Historical Data'!P151-1</f>
        <v>1.075394506136762E-2</v>
      </c>
    </row>
    <row r="149" spans="1:16" x14ac:dyDescent="0.25">
      <c r="A149" vm="2228">
        <f ca="1"/>
        <v>45559</v>
      </c>
      <c r="B149" s="7">
        <f ca="1">+'Historical Data'!B153/'Historical Data'!B152-1</f>
        <v>1.7079999999999984E-2</v>
      </c>
      <c r="C149" s="7">
        <f ca="1">+'Historical Data'!C153/'Historical Data'!C152-1</f>
        <v>4.1262636682493081E-4</v>
      </c>
      <c r="D149" s="7">
        <f ca="1">+'Historical Data'!D153/'Historical Data'!D152-1</f>
        <v>-1.0011303084127232E-2</v>
      </c>
      <c r="E149" s="7">
        <f ca="1">+'Historical Data'!E153/'Historical Data'!E152-1</f>
        <v>-8.117945897818668E-4</v>
      </c>
      <c r="F149" s="7">
        <f ca="1">+'Historical Data'!F153/'Historical Data'!F152-1</f>
        <v>-3.0500086320999209E-3</v>
      </c>
      <c r="G149" s="7">
        <f ca="1">+'Historical Data'!G153/'Historical Data'!G152-1</f>
        <v>7.0942111237237704E-4</v>
      </c>
      <c r="H149" s="7">
        <f ca="1">+'Historical Data'!H153/'Historical Data'!H152-1</f>
        <v>3.1042360614570441E-3</v>
      </c>
      <c r="I149" s="7">
        <f ca="1">+'Historical Data'!I153/'Historical Data'!I152-1</f>
        <v>-2.6414451261077554E-3</v>
      </c>
      <c r="J149" s="7">
        <f ca="1">+'Historical Data'!J153/'Historical Data'!J152-1</f>
        <v>1.4329688992675838E-2</v>
      </c>
      <c r="K149" s="7">
        <f ca="1">+'Historical Data'!K153/'Historical Data'!K152-1</f>
        <v>1.5933027275182088E-2</v>
      </c>
      <c r="L149" s="7">
        <f ca="1">+'Historical Data'!L153/'Historical Data'!L152-1</f>
        <v>6.4824292050496002E-3</v>
      </c>
      <c r="M149" s="7">
        <f ca="1">+'Historical Data'!M153/'Historical Data'!M152-1</f>
        <v>-5.5472030691067209E-3</v>
      </c>
      <c r="N149" s="7">
        <f ca="1">+'Historical Data'!N153/'Historical Data'!N152-1</f>
        <v>3.9652503010493723E-2</v>
      </c>
      <c r="O149" s="7">
        <f ca="1">+'Historical Data'!O153/'Historical Data'!O152-1</f>
        <v>6.3230503927955706E-3</v>
      </c>
      <c r="P149" s="7">
        <f ca="1">+'Historical Data'!P153/'Historical Data'!P152-1</f>
        <v>1.0986469295709567E-2</v>
      </c>
    </row>
    <row r="150" spans="1:16" x14ac:dyDescent="0.25">
      <c r="A150" vm="2241">
        <f ca="1"/>
        <v>45560</v>
      </c>
      <c r="B150" s="7">
        <f ca="1">+'Historical Data'!B154/'Historical Data'!B153-1</f>
        <v>1.0815275101270228E-2</v>
      </c>
      <c r="C150" s="7">
        <f ca="1">+'Historical Data'!C154/'Historical Data'!C153-1</f>
        <v>-7.372654155496039E-3</v>
      </c>
      <c r="D150" s="7">
        <f ca="1">+'Historical Data'!D154/'Historical Data'!D153-1</f>
        <v>6.8504322296525366E-3</v>
      </c>
      <c r="E150" s="7">
        <f ca="1">+'Historical Data'!E154/'Historical Data'!E153-1</f>
        <v>-9.9591152112377124E-4</v>
      </c>
      <c r="F150" s="7">
        <f ca="1">+'Historical Data'!F154/'Historical Data'!F153-1</f>
        <v>-5.6568921727084831E-3</v>
      </c>
      <c r="G150" s="7">
        <f ca="1">+'Historical Data'!G154/'Historical Data'!G153-1</f>
        <v>-6.6165697811806368E-3</v>
      </c>
      <c r="H150" s="7">
        <f ca="1">+'Historical Data'!H154/'Historical Data'!H153-1</f>
        <v>1.9471826700740991E-3</v>
      </c>
      <c r="I150" s="7">
        <f ca="1">+'Historical Data'!I154/'Historical Data'!I153-1</f>
        <v>-1.9478855190089739E-2</v>
      </c>
      <c r="J150" s="7">
        <f ca="1">+'Historical Data'!J154/'Historical Data'!J153-1</f>
        <v>4.709083298451322E-3</v>
      </c>
      <c r="K150" s="7">
        <f ca="1">+'Historical Data'!K154/'Historical Data'!K153-1</f>
        <v>-1.5948963317384268E-2</v>
      </c>
      <c r="L150" s="7">
        <f ca="1">+'Historical Data'!L154/'Historical Data'!L153-1</f>
        <v>-1.9322033898305113E-2</v>
      </c>
      <c r="M150" s="7">
        <f ca="1">+'Historical Data'!M154/'Historical Data'!M153-1</f>
        <v>-9.4880617245334253E-3</v>
      </c>
      <c r="N150" s="7">
        <f ca="1">+'Historical Data'!N154/'Historical Data'!N153-1</f>
        <v>2.1841648051625695E-2</v>
      </c>
      <c r="O150" s="7">
        <f ca="1">+'Historical Data'!O154/'Historical Data'!O153-1</f>
        <v>2.4752475247524774E-3</v>
      </c>
      <c r="P150" s="7">
        <f ca="1">+'Historical Data'!P154/'Historical Data'!P153-1</f>
        <v>3.8892701898878279E-3</v>
      </c>
    </row>
    <row r="151" spans="1:16" x14ac:dyDescent="0.25">
      <c r="A151" vm="2256">
        <f ca="1"/>
        <v>45561</v>
      </c>
      <c r="B151" s="7">
        <f ca="1">+'Historical Data'!B155/'Historical Data'!B154-1</f>
        <v>-1.0894093844836861E-2</v>
      </c>
      <c r="C151" s="7">
        <f ca="1">+'Historical Data'!C155/'Historical Data'!C154-1</f>
        <v>-7.1157741650652584E-3</v>
      </c>
      <c r="D151" s="7">
        <f ca="1">+'Historical Data'!D155/'Historical Data'!D154-1</f>
        <v>-1.851380435537231E-3</v>
      </c>
      <c r="E151" s="7">
        <f ca="1">+'Historical Data'!E155/'Historical Data'!E154-1</f>
        <v>7.2144393724749012E-3</v>
      </c>
      <c r="F151" s="7">
        <f ca="1">+'Historical Data'!F155/'Historical Data'!F154-1</f>
        <v>5.5149193080228365E-3</v>
      </c>
      <c r="G151" s="7">
        <f ca="1">+'Historical Data'!G155/'Historical Data'!G154-1</f>
        <v>-1.9506161092345264E-3</v>
      </c>
      <c r="H151" s="7">
        <f ca="1">+'Historical Data'!H155/'Historical Data'!H154-1</f>
        <v>-2.6027658725338298E-3</v>
      </c>
      <c r="I151" s="7">
        <f ca="1">+'Historical Data'!I155/'Historical Data'!I154-1</f>
        <v>-1.7164764311231151E-2</v>
      </c>
      <c r="J151" s="7">
        <f ca="1">+'Historical Data'!J155/'Historical Data'!J154-1</f>
        <v>2.7497135715029541E-2</v>
      </c>
      <c r="K151" s="7">
        <f ca="1">+'Historical Data'!K155/'Historical Data'!K154-1</f>
        <v>1.5667206915180865E-2</v>
      </c>
      <c r="L151" s="7">
        <f ca="1">+'Historical Data'!L155/'Historical Data'!L154-1</f>
        <v>1.3826477704803608E-3</v>
      </c>
      <c r="M151" s="7">
        <f ca="1">+'Historical Data'!M155/'Historical Data'!M154-1</f>
        <v>-6.8947368421052868E-3</v>
      </c>
      <c r="N151" s="7">
        <f ca="1">+'Historical Data'!N155/'Historical Data'!N154-1</f>
        <v>4.2911505141283168E-3</v>
      </c>
      <c r="O151" s="7">
        <f ca="1">+'Historical Data'!O155/'Historical Data'!O154-1</f>
        <v>3.7986704653372172E-3</v>
      </c>
      <c r="P151" s="7">
        <f ca="1">+'Historical Data'!P155/'Historical Data'!P154-1</f>
        <v>1.4642206016408421E-2</v>
      </c>
    </row>
    <row r="152" spans="1:16" x14ac:dyDescent="0.25">
      <c r="A152" vm="2271">
        <f ca="1"/>
        <v>45562</v>
      </c>
      <c r="B152" s="7">
        <f ca="1">+'Historical Data'!B156/'Historical Data'!B155-1</f>
        <v>2.4545669105499046E-2</v>
      </c>
      <c r="C152" s="7">
        <f ca="1">+'Historical Data'!C156/'Historical Data'!C155-1</f>
        <v>-1.6687591546348579E-2</v>
      </c>
      <c r="D152" s="7">
        <f ca="1">+'Historical Data'!D156/'Historical Data'!D155-1</f>
        <v>-7.6279242308316952E-3</v>
      </c>
      <c r="E152" s="7">
        <f ca="1">+'Historical Data'!E156/'Historical Data'!E155-1</f>
        <v>-3.1255697653217451E-3</v>
      </c>
      <c r="F152" s="7">
        <f ca="1">+'Historical Data'!F156/'Historical Data'!F155-1</f>
        <v>1.9629351654062432E-3</v>
      </c>
      <c r="G152" s="7">
        <f ca="1">+'Historical Data'!G156/'Historical Data'!G155-1</f>
        <v>3.4321670321288966E-3</v>
      </c>
      <c r="H152" s="7">
        <f ca="1">+'Historical Data'!H156/'Historical Data'!H155-1</f>
        <v>1.2247525269219572E-2</v>
      </c>
      <c r="I152" s="7">
        <f ca="1">+'Historical Data'!I156/'Historical Data'!I155-1</f>
        <v>2.6773049645389957E-2</v>
      </c>
      <c r="J152" s="7">
        <f ca="1">+'Historical Data'!J156/'Historical Data'!J155-1</f>
        <v>-2.5240750126710676E-2</v>
      </c>
      <c r="K152" s="7">
        <f ca="1">+'Historical Data'!K156/'Historical Data'!K155-1</f>
        <v>-9.840425531914998E-3</v>
      </c>
      <c r="L152" s="7">
        <f ca="1">+'Historical Data'!L156/'Historical Data'!L155-1</f>
        <v>4.1422160856059431E-3</v>
      </c>
      <c r="M152" s="7">
        <f ca="1">+'Historical Data'!M156/'Historical Data'!M155-1</f>
        <v>-1.7489003126820446E-3</v>
      </c>
      <c r="N152" s="7">
        <f ca="1">+'Historical Data'!N156/'Historical Data'!N155-1</f>
        <v>-2.1283456949371171E-2</v>
      </c>
      <c r="O152" s="7">
        <f ca="1">+'Historical Data'!O156/'Historical Data'!O155-1</f>
        <v>3.2166508987701015E-3</v>
      </c>
      <c r="P152" s="7">
        <f ca="1">+'Historical Data'!P156/'Historical Data'!P155-1</f>
        <v>-3.0321747431074186E-2</v>
      </c>
    </row>
    <row r="153" spans="1:16" x14ac:dyDescent="0.25">
      <c r="A153" vm="2286">
        <f ca="1"/>
        <v>45565</v>
      </c>
      <c r="B153" s="7">
        <f ca="1">+'Historical Data'!B157/'Historical Data'!B156-1</f>
        <v>4.4920525224603214E-3</v>
      </c>
      <c r="C153" s="7">
        <f ca="1">+'Historical Data'!C157/'Historical Data'!C156-1</f>
        <v>-8.7247965100812896E-3</v>
      </c>
      <c r="D153" s="7">
        <f ca="1">+'Historical Data'!D157/'Historical Data'!D156-1</f>
        <v>5.3268538853326053E-3</v>
      </c>
      <c r="E153" s="7">
        <f ca="1">+'Historical Data'!E157/'Historical Data'!E156-1</f>
        <v>-2.7695764638256959E-3</v>
      </c>
      <c r="F153" s="7">
        <f ca="1">+'Historical Data'!F157/'Historical Data'!F156-1</f>
        <v>-2.0167098818785201E-3</v>
      </c>
      <c r="G153" s="7">
        <f ca="1">+'Historical Data'!G157/'Historical Data'!G156-1</f>
        <v>1.7102137767222025E-3</v>
      </c>
      <c r="H153" s="7">
        <f ca="1">+'Historical Data'!H157/'Historical Data'!H156-1</f>
        <v>4.8637965111282266E-3</v>
      </c>
      <c r="I153" s="7">
        <f ca="1">+'Historical Data'!I157/'Historical Data'!I156-1</f>
        <v>1.2087722327750017E-2</v>
      </c>
      <c r="J153" s="7">
        <f ca="1">+'Historical Data'!J157/'Historical Data'!J156-1</f>
        <v>4.263727121464278E-3</v>
      </c>
      <c r="K153" s="7">
        <f ca="1">+'Historical Data'!K157/'Historical Data'!K156-1</f>
        <v>-1.8802041364490929E-2</v>
      </c>
      <c r="L153" s="7">
        <f ca="1">+'Historical Data'!L157/'Historical Data'!L156-1</f>
        <v>-5.1564111378480382E-3</v>
      </c>
      <c r="M153" s="7">
        <f ca="1">+'Historical Data'!M157/'Historical Data'!M156-1</f>
        <v>6.8485878105755127E-3</v>
      </c>
      <c r="N153" s="7">
        <f ca="1">+'Historical Data'!N157/'Historical Data'!N156-1</f>
        <v>3.2948929159792861E-4</v>
      </c>
      <c r="O153" s="7">
        <f ca="1">+'Historical Data'!O157/'Historical Data'!O156-1</f>
        <v>3.772161448510003E-3</v>
      </c>
      <c r="P153" s="7">
        <f ca="1">+'Historical Data'!P157/'Historical Data'!P156-1</f>
        <v>-1.1002374196537046E-3</v>
      </c>
    </row>
    <row r="154" spans="1:16" x14ac:dyDescent="0.25">
      <c r="A154" vm="2302">
        <f ca="1"/>
        <v>45566</v>
      </c>
      <c r="B154" s="7">
        <f ca="1">+'Historical Data'!B158/'Historical Data'!B157-1</f>
        <v>-1.3798111837327598E-2</v>
      </c>
      <c r="C154" s="7">
        <f ca="1">+'Historical Data'!C158/'Historical Data'!C157-1</f>
        <v>-6.4401867654162448E-3</v>
      </c>
      <c r="D154" s="7">
        <f ca="1">+'Historical Data'!D158/'Historical Data'!D157-1</f>
        <v>-2.2333255867999058E-2</v>
      </c>
      <c r="E154" s="7">
        <f ca="1">+'Historical Data'!E158/'Historical Data'!E157-1</f>
        <v>-2.8558702544083658E-3</v>
      </c>
      <c r="F154" s="7">
        <f ca="1">+'Historical Data'!F158/'Historical Data'!F157-1</f>
        <v>-9.2378752886834725E-4</v>
      </c>
      <c r="G154" s="7">
        <f ca="1">+'Historical Data'!G158/'Historical Data'!G157-1</f>
        <v>-1.8116285687185929E-2</v>
      </c>
      <c r="H154" s="7">
        <f ca="1">+'Historical Data'!H158/'Historical Data'!H157-1</f>
        <v>-2.3602654443456439E-3</v>
      </c>
      <c r="I154" s="7">
        <f ca="1">+'Historical Data'!I158/'Historical Data'!I157-1</f>
        <v>2.3118921685719274E-2</v>
      </c>
      <c r="J154" s="7">
        <f ca="1">+'Historical Data'!J158/'Historical Data'!J157-1</f>
        <v>2.3816920368644467E-3</v>
      </c>
      <c r="K154" s="7">
        <f ca="1">+'Historical Data'!K158/'Historical Data'!K157-1</f>
        <v>-2.162606077196827E-2</v>
      </c>
      <c r="L154" s="7">
        <f ca="1">+'Historical Data'!L158/'Historical Data'!L157-1</f>
        <v>-9.3296475466482232E-3</v>
      </c>
      <c r="M154" s="7">
        <f ca="1">+'Historical Data'!M158/'Historical Data'!M157-1</f>
        <v>1.212760348009434E-3</v>
      </c>
      <c r="N154" s="7">
        <f ca="1">+'Historical Data'!N158/'Historical Data'!N157-1</f>
        <v>-3.6561264822134398E-2</v>
      </c>
      <c r="O154" s="7">
        <f ca="1">+'Historical Data'!O158/'Historical Data'!O157-1</f>
        <v>-9.0191657271702086E-3</v>
      </c>
      <c r="P154" s="7">
        <f ca="1">+'Historical Data'!P158/'Historical Data'!P157-1</f>
        <v>-2.9159420289855076E-2</v>
      </c>
    </row>
    <row r="155" spans="1:16" x14ac:dyDescent="0.25">
      <c r="A155" vm="2317">
        <f ca="1"/>
        <v>45567</v>
      </c>
      <c r="B155" s="7">
        <f ca="1">+'Historical Data'!B159/'Historical Data'!B158-1</f>
        <v>-3.4881016975428114E-2</v>
      </c>
      <c r="C155" s="7">
        <f ca="1">+'Historical Data'!C159/'Historical Data'!C158-1</f>
        <v>-1.9985955814832979E-3</v>
      </c>
      <c r="D155" s="7">
        <f ca="1">+'Historical Data'!D159/'Historical Data'!D158-1</f>
        <v>-8.4622881456654087E-3</v>
      </c>
      <c r="E155" s="7">
        <f ca="1">+'Historical Data'!E159/'Historical Data'!E158-1</f>
        <v>-6.3587156445423787E-3</v>
      </c>
      <c r="F155" s="7">
        <f ca="1">+'Historical Data'!F159/'Historical Data'!F158-1</f>
        <v>-6.4724919093851474E-3</v>
      </c>
      <c r="G155" s="7">
        <f ca="1">+'Historical Data'!G159/'Historical Data'!G158-1</f>
        <v>1.2074961360124536E-3</v>
      </c>
      <c r="H155" s="7">
        <f ca="1">+'Historical Data'!H159/'Historical Data'!H158-1</f>
        <v>1.5446596948397007E-2</v>
      </c>
      <c r="I155" s="7">
        <f ca="1">+'Historical Data'!I159/'Historical Data'!I158-1</f>
        <v>1.3257733677978667E-2</v>
      </c>
      <c r="J155" s="7">
        <f ca="1">+'Historical Data'!J159/'Historical Data'!J158-1</f>
        <v>-1.9111570247933973E-2</v>
      </c>
      <c r="K155" s="7">
        <f ca="1">+'Historical Data'!K159/'Historical Data'!K158-1</f>
        <v>-1.762730833799675E-2</v>
      </c>
      <c r="L155" s="7">
        <f ca="1">+'Historical Data'!L159/'Historical Data'!L158-1</f>
        <v>-2.0927799093130028E-3</v>
      </c>
      <c r="M155" s="7">
        <f ca="1">+'Historical Data'!M159/'Historical Data'!M158-1</f>
        <v>1.7906045923741232E-3</v>
      </c>
      <c r="N155" s="7">
        <f ca="1">+'Historical Data'!N159/'Historical Data'!N158-1</f>
        <v>1.5811965811965756E-2</v>
      </c>
      <c r="O155" s="7">
        <f ca="1">+'Historical Data'!O159/'Historical Data'!O158-1</f>
        <v>-2.2753128555177415E-3</v>
      </c>
      <c r="P155" s="7">
        <f ca="1">+'Historical Data'!P159/'Historical Data'!P158-1</f>
        <v>1.9048187735116739E-2</v>
      </c>
    </row>
    <row r="156" spans="1:16" x14ac:dyDescent="0.25">
      <c r="A156" vm="2330">
        <f ca="1"/>
        <v>45568</v>
      </c>
      <c r="B156" s="7">
        <f ca="1">+'Historical Data'!B160/'Historical Data'!B159-1</f>
        <v>-3.3571600674644708E-2</v>
      </c>
      <c r="C156" s="7">
        <f ca="1">+'Historical Data'!C160/'Historical Data'!C159-1</f>
        <v>-1.5154795410261879E-2</v>
      </c>
      <c r="D156" s="7">
        <f ca="1">+'Historical Data'!D160/'Historical Data'!D159-1</f>
        <v>-1.4144271570013522E-3</v>
      </c>
      <c r="E156" s="7">
        <f ca="1">+'Historical Data'!E160/'Historical Data'!E159-1</f>
        <v>-1.3380579648825885E-2</v>
      </c>
      <c r="F156" s="7">
        <f ca="1">+'Historical Data'!F160/'Historical Data'!F159-1</f>
        <v>-1.0469986040018475E-2</v>
      </c>
      <c r="G156" s="7">
        <f ca="1">+'Historical Data'!G160/'Historical Data'!G159-1</f>
        <v>-9.9377683438660602E-3</v>
      </c>
      <c r="H156" s="7">
        <f ca="1">+'Historical Data'!H160/'Historical Data'!H159-1</f>
        <v>7.4285424861986193E-4</v>
      </c>
      <c r="I156" s="7">
        <f ca="1">+'Historical Data'!I160/'Historical Data'!I159-1</f>
        <v>8.7228439763002985E-3</v>
      </c>
      <c r="J156" s="7">
        <f ca="1">+'Historical Data'!J160/'Historical Data'!J159-1</f>
        <v>-1.0005265929436402E-2</v>
      </c>
      <c r="K156" s="7">
        <f ca="1">+'Historical Data'!K160/'Historical Data'!K159-1</f>
        <v>-9.3990316149245023E-3</v>
      </c>
      <c r="L156" s="7">
        <f ca="1">+'Historical Data'!L160/'Historical Data'!L159-1</f>
        <v>-9.4372596994057867E-3</v>
      </c>
      <c r="M156" s="7">
        <f ca="1">+'Historical Data'!M160/'Historical Data'!M159-1</f>
        <v>-1.251182840921039E-2</v>
      </c>
      <c r="N156" s="7">
        <f ca="1">+'Historical Data'!N160/'Historical Data'!N159-1</f>
        <v>3.3655868742112016E-2</v>
      </c>
      <c r="O156" s="7">
        <f ca="1">+'Historical Data'!O160/'Historical Data'!O159-1</f>
        <v>-3.610794374762416E-3</v>
      </c>
      <c r="P156" s="7">
        <f ca="1">+'Historical Data'!P160/'Historical Data'!P159-1</f>
        <v>7.2073127856555619E-3</v>
      </c>
    </row>
    <row r="157" spans="1:16" x14ac:dyDescent="0.25">
      <c r="A157" vm="2345">
        <f ca="1"/>
        <v>45569</v>
      </c>
      <c r="B157" s="7">
        <f ca="1">+'Historical Data'!B161/'Historical Data'!B160-1</f>
        <v>3.9142358514086428E-2</v>
      </c>
      <c r="C157" s="7">
        <f ca="1">+'Historical Data'!C161/'Historical Data'!C160-1</f>
        <v>2.5005495713343429E-2</v>
      </c>
      <c r="D157" s="7">
        <f ca="1">+'Historical Data'!D161/'Historical Data'!D160-1</f>
        <v>-1.1523503144956759E-3</v>
      </c>
      <c r="E157" s="7">
        <f ca="1">+'Historical Data'!E161/'Historical Data'!E160-1</f>
        <v>-4.8244438488340702E-3</v>
      </c>
      <c r="F157" s="7">
        <f ca="1">+'Historical Data'!F161/'Historical Data'!F160-1</f>
        <v>-7.2889724900071506E-3</v>
      </c>
      <c r="G157" s="7">
        <f ca="1">+'Historical Data'!G161/'Historical Data'!G160-1</f>
        <v>2.9186766067339054E-2</v>
      </c>
      <c r="H157" s="7">
        <f ca="1">+'Historical Data'!H161/'Historical Data'!H160-1</f>
        <v>-2.6149304091099834E-3</v>
      </c>
      <c r="I157" s="7">
        <f ca="1">+'Historical Data'!I161/'Historical Data'!I160-1</f>
        <v>1.8355359765051427E-2</v>
      </c>
      <c r="J157" s="7">
        <f ca="1">+'Historical Data'!J161/'Historical Data'!J160-1</f>
        <v>9.0425531914892776E-3</v>
      </c>
      <c r="K157" s="7">
        <f ca="1">+'Historical Data'!K161/'Historical Data'!K160-1</f>
        <v>5.7504312823459802E-3</v>
      </c>
      <c r="L157" s="7">
        <f ca="1">+'Historical Data'!L161/'Historical Data'!L160-1</f>
        <v>8.4685956245589278E-3</v>
      </c>
      <c r="M157" s="7">
        <f ca="1">+'Historical Data'!M161/'Historical Data'!M160-1</f>
        <v>1.4533645655877336E-2</v>
      </c>
      <c r="N157" s="7">
        <f ca="1">+'Historical Data'!N161/'Historical Data'!N160-1</f>
        <v>1.6849816849817012E-2</v>
      </c>
      <c r="O157" s="7">
        <f ca="1">+'Historical Data'!O161/'Historical Data'!O160-1</f>
        <v>6.10337592981125E-3</v>
      </c>
      <c r="P157" s="7">
        <f ca="1">+'Historical Data'!P161/'Historical Data'!P160-1</f>
        <v>2.7633951946012036E-2</v>
      </c>
    </row>
    <row r="158" spans="1:16" x14ac:dyDescent="0.25">
      <c r="A158" vm="2359">
        <f ca="1"/>
        <v>45572</v>
      </c>
      <c r="B158" s="7">
        <f ca="1">+'Historical Data'!B162/'Historical Data'!B161-1</f>
        <v>-3.6988163787587958E-2</v>
      </c>
      <c r="C158" s="7">
        <f ca="1">+'Historical Data'!C162/'Historical Data'!C161-1</f>
        <v>-3.0614980430003658E-2</v>
      </c>
      <c r="D158" s="7">
        <f ca="1">+'Historical Data'!D162/'Historical Data'!D161-1</f>
        <v>-1.5670816709128399E-2</v>
      </c>
      <c r="E158" s="7">
        <f ca="1">+'Historical Data'!E162/'Historical Data'!E161-1</f>
        <v>-9.4802046862376699E-3</v>
      </c>
      <c r="F158" s="7">
        <f ca="1">+'Historical Data'!F162/'Historical Data'!F161-1</f>
        <v>-1.0421601136901937E-2</v>
      </c>
      <c r="G158" s="7">
        <f ca="1">+'Historical Data'!G162/'Historical Data'!G161-1</f>
        <v>-1.372976043935159E-3</v>
      </c>
      <c r="H158" s="7">
        <f ca="1">+'Historical Data'!H162/'Historical Data'!H161-1</f>
        <v>-1.2922868741542803E-2</v>
      </c>
      <c r="I158" s="7">
        <f ca="1">+'Historical Data'!I162/'Historical Data'!I161-1</f>
        <v>4.3258832011536796E-3</v>
      </c>
      <c r="J158" s="7">
        <f ca="1">+'Historical Data'!J162/'Historical Data'!J161-1</f>
        <v>8.5397996837113244E-3</v>
      </c>
      <c r="K158" s="7">
        <f ca="1">+'Historical Data'!K162/'Historical Data'!K161-1</f>
        <v>-6.8610634648369473E-3</v>
      </c>
      <c r="L158" s="7">
        <f ca="1">+'Historical Data'!L162/'Historical Data'!L161-1</f>
        <v>2.1693491952414323E-2</v>
      </c>
      <c r="M158" s="7">
        <f ca="1">+'Historical Data'!M162/'Historical Data'!M161-1</f>
        <v>-4.8905913837435033E-2</v>
      </c>
      <c r="N158" s="7">
        <f ca="1">+'Historical Data'!N162/'Historical Data'!N161-1</f>
        <v>2.2414345180915785E-2</v>
      </c>
      <c r="O158" s="7">
        <f ca="1">+'Historical Data'!O162/'Historical Data'!O161-1</f>
        <v>-4.5497630331754468E-3</v>
      </c>
      <c r="P158" s="7">
        <f ca="1">+'Historical Data'!P162/'Historical Data'!P161-1</f>
        <v>-8.8315217391302658E-3</v>
      </c>
    </row>
    <row r="159" spans="1:16" x14ac:dyDescent="0.25">
      <c r="A159" vm="2373">
        <f ca="1"/>
        <v>45573</v>
      </c>
      <c r="B159" s="7">
        <f ca="1">+'Historical Data'!B163/'Historical Data'!B162-1</f>
        <v>1.5238965245193636E-2</v>
      </c>
      <c r="C159" s="7">
        <f ca="1">+'Historical Data'!C163/'Historical Data'!C162-1</f>
        <v>1.0619469026548645E-2</v>
      </c>
      <c r="D159" s="7">
        <f ca="1">+'Historical Data'!D163/'Historical Data'!D162-1</f>
        <v>1.2623919519460847E-2</v>
      </c>
      <c r="E159" s="7">
        <f ca="1">+'Historical Data'!E163/'Historical Data'!E162-1</f>
        <v>1.5280874435803948E-2</v>
      </c>
      <c r="F159" s="7">
        <f ca="1">+'Historical Data'!F163/'Historical Data'!F162-1</f>
        <v>6.2230732407850819E-3</v>
      </c>
      <c r="G159" s="7">
        <f ca="1">+'Historical Data'!G163/'Historical Data'!G162-1</f>
        <v>-8.5336367515287392E-4</v>
      </c>
      <c r="H159" s="7">
        <f ca="1">+'Historical Data'!H163/'Historical Data'!H162-1</f>
        <v>-3.3929673041330766E-3</v>
      </c>
      <c r="I159" s="7">
        <f ca="1">+'Historical Data'!I163/'Historical Data'!I162-1</f>
        <v>-2.6561378320172246E-2</v>
      </c>
      <c r="J159" s="7">
        <f ca="1">+'Historical Data'!J163/'Historical Data'!J162-1</f>
        <v>-5.4359188793645652E-3</v>
      </c>
      <c r="K159" s="7">
        <f ca="1">+'Historical Data'!K163/'Historical Data'!K162-1</f>
        <v>-1.7271157167531026E-3</v>
      </c>
      <c r="L159" s="7">
        <f ca="1">+'Historical Data'!L163/'Historical Data'!L162-1</f>
        <v>-6.8493150684934001E-4</v>
      </c>
      <c r="M159" s="7">
        <f ca="1">+'Historical Data'!M163/'Historical Data'!M162-1</f>
        <v>8.9379310344828156E-3</v>
      </c>
      <c r="N159" s="7">
        <f ca="1">+'Historical Data'!N163/'Historical Data'!N162-1</f>
        <v>4.0479173191356077E-2</v>
      </c>
      <c r="O159" s="7">
        <f ca="1">+'Historical Data'!O163/'Historical Data'!O162-1</f>
        <v>4.1896781565415875E-3</v>
      </c>
      <c r="P159" s="7">
        <f ca="1">+'Historical Data'!P163/'Historical Data'!P162-1</f>
        <v>3.227096184601308E-2</v>
      </c>
    </row>
    <row r="160" spans="1:16" x14ac:dyDescent="0.25">
      <c r="A160" vm="2389">
        <f ca="1"/>
        <v>45574</v>
      </c>
      <c r="B160" s="7">
        <f ca="1">+'Historical Data'!B164/'Historical Data'!B163-1</f>
        <v>-1.4110429447852679E-2</v>
      </c>
      <c r="C160" s="7">
        <f ca="1">+'Historical Data'!C164/'Historical Data'!C163-1</f>
        <v>1.340849387040266E-2</v>
      </c>
      <c r="D160" s="7">
        <f ca="1">+'Historical Data'!D164/'Historical Data'!D163-1</f>
        <v>6.6311398326541759E-3</v>
      </c>
      <c r="E160" s="7">
        <f ca="1">+'Historical Data'!E164/'Historical Data'!E163-1</f>
        <v>1.4890198178896696E-2</v>
      </c>
      <c r="F160" s="7">
        <f ca="1">+'Historical Data'!F164/'Historical Data'!F163-1</f>
        <v>6.6008563273074472E-3</v>
      </c>
      <c r="G160" s="7">
        <f ca="1">+'Historical Data'!G164/'Historical Data'!G163-1</f>
        <v>1.2669039145907446E-2</v>
      </c>
      <c r="H160" s="7">
        <f ca="1">+'Historical Data'!H164/'Historical Data'!H163-1</f>
        <v>1.6575535609890224E-2</v>
      </c>
      <c r="I160" s="7">
        <f ca="1">+'Historical Data'!I164/'Historical Data'!I163-1</f>
        <v>4.0970173713539282E-4</v>
      </c>
      <c r="J160" s="7">
        <f ca="1">+'Historical Data'!J164/'Historical Data'!J163-1</f>
        <v>1.1561908766029028E-3</v>
      </c>
      <c r="K160" s="7">
        <f ca="1">+'Historical Data'!K164/'Historical Data'!K163-1</f>
        <v>5.1903114186850896E-3</v>
      </c>
      <c r="L160" s="7">
        <f ca="1">+'Historical Data'!L164/'Historical Data'!L163-1</f>
        <v>3.4612748457847786E-2</v>
      </c>
      <c r="M160" s="7">
        <f ca="1">+'Historical Data'!M164/'Historical Data'!M163-1</f>
        <v>1.1155465631322858E-2</v>
      </c>
      <c r="N160" s="7">
        <f ca="1">+'Historical Data'!N164/'Historical Data'!N163-1</f>
        <v>-1.8060049665135081E-3</v>
      </c>
      <c r="O160" s="7">
        <f ca="1">+'Historical Data'!O164/'Historical Data'!O163-1</f>
        <v>1.5740565143182339E-2</v>
      </c>
      <c r="P160" s="7">
        <f ca="1">+'Historical Data'!P164/'Historical Data'!P163-1</f>
        <v>2.8882863940685066E-2</v>
      </c>
    </row>
    <row r="161" spans="1:16" x14ac:dyDescent="0.25">
      <c r="A161" vm="2404">
        <f ca="1"/>
        <v>45575</v>
      </c>
      <c r="B161" s="7">
        <f ca="1">+'Historical Data'!B165/'Historical Data'!B164-1</f>
        <v>-9.4586185438705339E-3</v>
      </c>
      <c r="C161" s="7">
        <f ca="1">+'Historical Data'!C165/'Historical Data'!C164-1</f>
        <v>7.9926553977427428E-3</v>
      </c>
      <c r="D161" s="7">
        <f ca="1">+'Historical Data'!D165/'Historical Data'!D164-1</f>
        <v>-3.8806113160542166E-3</v>
      </c>
      <c r="E161" s="7">
        <f ca="1">+'Historical Data'!E165/'Historical Data'!E164-1</f>
        <v>-6.623390331433332E-3</v>
      </c>
      <c r="F161" s="7">
        <f ca="1">+'Historical Data'!F165/'Historical Data'!F164-1</f>
        <v>-1.8904708453950647E-3</v>
      </c>
      <c r="G161" s="7">
        <f ca="1">+'Historical Data'!G165/'Historical Data'!G164-1</f>
        <v>-2.7176459563301725E-3</v>
      </c>
      <c r="H161" s="7">
        <f ca="1">+'Historical Data'!H165/'Historical Data'!H164-1</f>
        <v>1.0960386996380356E-2</v>
      </c>
      <c r="I161" s="7">
        <f ca="1">+'Historical Data'!I165/'Historical Data'!I164-1</f>
        <v>8.6002129576541186E-3</v>
      </c>
      <c r="J161" s="7">
        <f ca="1">+'Historical Data'!J165/'Historical Data'!J164-1</f>
        <v>-9.9737532808399365E-3</v>
      </c>
      <c r="K161" s="7">
        <f ca="1">+'Historical Data'!K165/'Historical Data'!K164-1</f>
        <v>4.0160642570281624E-3</v>
      </c>
      <c r="L161" s="7">
        <f ca="1">+'Historical Data'!L165/'Historical Data'!L164-1</f>
        <v>-2.8155018217952965E-2</v>
      </c>
      <c r="M161" s="7">
        <f ca="1">+'Historical Data'!M165/'Historical Data'!M164-1</f>
        <v>4.7590719809635917E-3</v>
      </c>
      <c r="N161" s="7">
        <f ca="1">+'Historical Data'!N165/'Historical Data'!N164-1</f>
        <v>1.6283452695062151E-2</v>
      </c>
      <c r="O161" s="7">
        <f ca="1">+'Historical Data'!O165/'Historical Data'!O164-1</f>
        <v>-3.7341299477222645E-4</v>
      </c>
      <c r="P161" s="7">
        <f ca="1">+'Historical Data'!P165/'Historical Data'!P164-1</f>
        <v>-1.3982253293896019E-3</v>
      </c>
    </row>
    <row r="162" spans="1:16" x14ac:dyDescent="0.25">
      <c r="A162" vm="2419">
        <f ca="1"/>
        <v>45576</v>
      </c>
      <c r="B162" s="7">
        <f ca="1">+'Historical Data'!B166/'Historical Data'!B165-1</f>
        <v>-8.782510365623819E-2</v>
      </c>
      <c r="C162" s="7">
        <f ca="1">+'Historical Data'!C166/'Historical Data'!C165-1</f>
        <v>1.1626038039110664E-2</v>
      </c>
      <c r="D162" s="7">
        <f ca="1">+'Historical Data'!D166/'Historical Data'!D165-1</f>
        <v>1.1542901115815241E-3</v>
      </c>
      <c r="E162" s="7">
        <f ca="1">+'Historical Data'!E166/'Historical Data'!E165-1</f>
        <v>6.7472439899056713E-3</v>
      </c>
      <c r="F162" s="7">
        <f ca="1">+'Historical Data'!F166/'Historical Data'!F165-1</f>
        <v>1.2666469369636113E-2</v>
      </c>
      <c r="G162" s="7">
        <f ca="1">+'Historical Data'!G166/'Historical Data'!G165-1</f>
        <v>4.4399548956962853E-2</v>
      </c>
      <c r="H162" s="7">
        <f ca="1">+'Historical Data'!H166/'Historical Data'!H165-1</f>
        <v>5.855780491883511E-4</v>
      </c>
      <c r="I162" s="7">
        <f ca="1">+'Historical Data'!I166/'Historical Data'!I165-1</f>
        <v>3.8167938931297218E-3</v>
      </c>
      <c r="J162" s="7">
        <f ca="1">+'Historical Data'!J166/'Historical Data'!J165-1</f>
        <v>6.3626723223755288E-3</v>
      </c>
      <c r="K162" s="7">
        <f ca="1">+'Historical Data'!K166/'Historical Data'!K165-1</f>
        <v>3.8571428571428701E-2</v>
      </c>
      <c r="L162" s="7">
        <f ca="1">+'Historical Data'!L166/'Historical Data'!L165-1</f>
        <v>-6.1349693251533388E-3</v>
      </c>
      <c r="M162" s="7">
        <f ca="1">+'Historical Data'!M166/'Historical Data'!M165-1</f>
        <v>1.3402228322299425E-2</v>
      </c>
      <c r="N162" s="7">
        <f ca="1">+'Historical Data'!N166/'Historical Data'!N165-1</f>
        <v>-7.4178473406960599E-5</v>
      </c>
      <c r="O162" s="7">
        <f ca="1">+'Historical Data'!O166/'Historical Data'!O165-1</f>
        <v>1.3261113186402662E-2</v>
      </c>
      <c r="P162" s="7">
        <f ca="1">+'Historical Data'!P166/'Historical Data'!P165-1</f>
        <v>-2.2672195594808597E-2</v>
      </c>
    </row>
    <row r="163" spans="1:16" x14ac:dyDescent="0.25">
      <c r="A163" vm="2432">
        <f ca="1"/>
        <v>45579</v>
      </c>
      <c r="B163" s="7">
        <f ca="1">+'Historical Data'!B167/'Historical Data'!B166-1</f>
        <v>6.2442607897152946E-3</v>
      </c>
      <c r="C163" s="7">
        <f ca="1">+'Historical Data'!C167/'Historical Data'!C166-1</f>
        <v>-6.7789429085901576E-3</v>
      </c>
      <c r="D163" s="7">
        <f ca="1">+'Historical Data'!D167/'Historical Data'!D166-1</f>
        <v>6.7736356648731011E-3</v>
      </c>
      <c r="E163" s="7">
        <f ca="1">+'Historical Data'!E167/'Historical Data'!E166-1</f>
        <v>1.3641520884456027E-2</v>
      </c>
      <c r="F163" s="7">
        <f ca="1">+'Historical Data'!F167/'Historical Data'!F166-1</f>
        <v>8.2997252907826002E-3</v>
      </c>
      <c r="G163" s="7">
        <f ca="1">+'Historical Data'!G167/'Historical Data'!G166-1</f>
        <v>-3.6438886139728011E-3</v>
      </c>
      <c r="H163" s="7">
        <f ca="1">+'Historical Data'!H167/'Historical Data'!H166-1</f>
        <v>1.2289942312515789E-2</v>
      </c>
      <c r="I163" s="7">
        <f ca="1">+'Historical Data'!I167/'Historical Data'!I166-1</f>
        <v>3.8022813688212143E-3</v>
      </c>
      <c r="J163" s="7">
        <f ca="1">+'Historical Data'!J167/'Historical Data'!J166-1</f>
        <v>5.7955742887250139E-3</v>
      </c>
      <c r="K163" s="7">
        <f ca="1">+'Historical Data'!K167/'Historical Data'!K166-1</f>
        <v>1.3480055020632875E-2</v>
      </c>
      <c r="L163" s="7">
        <f ca="1">+'Historical Data'!L167/'Historical Data'!L166-1</f>
        <v>-2.743484224965731E-3</v>
      </c>
      <c r="M163" s="7">
        <f ca="1">+'Historical Data'!M167/'Historical Data'!M166-1</f>
        <v>1.1950286806883259E-2</v>
      </c>
      <c r="N163" s="7">
        <f ca="1">+'Historical Data'!N167/'Historical Data'!N166-1</f>
        <v>2.4258160237388582E-2</v>
      </c>
      <c r="O163" s="7">
        <f ca="1">+'Historical Data'!O167/'Historical Data'!O166-1</f>
        <v>3.686635944701866E-4</v>
      </c>
      <c r="P163" s="7">
        <f ca="1">+'Historical Data'!P167/'Historical Data'!P166-1</f>
        <v>4.573506722503895E-3</v>
      </c>
    </row>
    <row r="164" spans="1:16" x14ac:dyDescent="0.25">
      <c r="A164" vm="2448">
        <f ca="1"/>
        <v>45580</v>
      </c>
      <c r="B164" s="7">
        <f ca="1">+'Historical Data'!B168/'Historical Data'!B167-1</f>
        <v>1.8707793392955807E-3</v>
      </c>
      <c r="C164" s="7">
        <f ca="1">+'Historical Data'!C168/'Historical Data'!C167-1</f>
        <v>7.9982936973443941E-4</v>
      </c>
      <c r="D164" s="7">
        <f ca="1">+'Historical Data'!D168/'Historical Data'!D167-1</f>
        <v>-9.5433506704201143E-4</v>
      </c>
      <c r="E164" s="7">
        <f ca="1">+'Historical Data'!E168/'Historical Data'!E167-1</f>
        <v>1.1427530195751823E-2</v>
      </c>
      <c r="F164" s="7">
        <f ca="1">+'Historical Data'!F168/'Historical Data'!F167-1</f>
        <v>6.1445713291983228E-3</v>
      </c>
      <c r="G164" s="7">
        <f ca="1">+'Historical Data'!G168/'Historical Data'!G167-1</f>
        <v>4.1087231352718856E-3</v>
      </c>
      <c r="H164" s="7">
        <f ca="1">+'Historical Data'!H168/'Historical Data'!H167-1</f>
        <v>-8.1119920713577875E-2</v>
      </c>
      <c r="I164" s="7">
        <f ca="1">+'Historical Data'!I168/'Historical Data'!I167-1</f>
        <v>-3.0061250805931694E-2</v>
      </c>
      <c r="J164" s="7">
        <f ca="1">+'Historical Data'!J168/'Historical Data'!J167-1</f>
        <v>-2.2524882137244573E-2</v>
      </c>
      <c r="K164" s="7">
        <f ca="1">+'Historical Data'!K168/'Historical Data'!K167-1</f>
        <v>2.7144408251889018E-4</v>
      </c>
      <c r="L164" s="7">
        <f ca="1">+'Historical Data'!L168/'Historical Data'!L167-1</f>
        <v>1.2379642365887289E-2</v>
      </c>
      <c r="M164" s="7">
        <f ca="1">+'Historical Data'!M168/'Historical Data'!M167-1</f>
        <v>1.3016322888783849E-2</v>
      </c>
      <c r="N164" s="7">
        <f ca="1">+'Historical Data'!N168/'Historical Data'!N167-1</f>
        <v>-4.6860288259578442E-2</v>
      </c>
      <c r="O164" s="7">
        <f ca="1">+'Historical Data'!O168/'Historical Data'!O167-1</f>
        <v>-3.5010134512623026E-3</v>
      </c>
      <c r="P164" s="7">
        <f ca="1">+'Historical Data'!P168/'Historical Data'!P167-1</f>
        <v>-3.4721079480006689E-2</v>
      </c>
    </row>
    <row r="165" spans="1:16" x14ac:dyDescent="0.25">
      <c r="A165" vm="2464">
        <f ca="1"/>
        <v>45581</v>
      </c>
      <c r="B165" s="7">
        <f ca="1">+'Historical Data'!B169/'Historical Data'!B168-1</f>
        <v>8.0156669854716256E-3</v>
      </c>
      <c r="C165" s="7">
        <f ca="1">+'Historical Data'!C169/'Historical Data'!C168-1</f>
        <v>-4.2623474878790146E-3</v>
      </c>
      <c r="D165" s="7">
        <f ca="1">+'Historical Data'!D169/'Historical Data'!D168-1</f>
        <v>-6.2568658356020324E-3</v>
      </c>
      <c r="E165" s="7">
        <f ca="1">+'Historical Data'!E169/'Historical Data'!E168-1</f>
        <v>2.1618839274224477E-3</v>
      </c>
      <c r="F165" s="7">
        <f ca="1">+'Historical Data'!F169/'Historical Data'!F168-1</f>
        <v>-6.8560235063662711E-3</v>
      </c>
      <c r="G165" s="7">
        <f ca="1">+'Historical Data'!G169/'Historical Data'!G168-1</f>
        <v>5.6207563289716322E-3</v>
      </c>
      <c r="H165" s="7">
        <f ca="1">+'Historical Data'!H169/'Historical Data'!H168-1</f>
        <v>2.7054234302252622E-2</v>
      </c>
      <c r="I165" s="7">
        <f ca="1">+'Historical Data'!I169/'Historical Data'!I168-1</f>
        <v>2.5758205234731602E-3</v>
      </c>
      <c r="J165" s="7">
        <f ca="1">+'Historical Data'!J169/'Historical Data'!J168-1</f>
        <v>1.071811361200492E-3</v>
      </c>
      <c r="K165" s="7">
        <f ca="1">+'Historical Data'!K169/'Historical Data'!K168-1</f>
        <v>4.8846675712346244E-3</v>
      </c>
      <c r="L165" s="7">
        <f ca="1">+'Historical Data'!L169/'Historical Data'!L168-1</f>
        <v>7.8125E-3</v>
      </c>
      <c r="M165" s="7">
        <f ca="1">+'Historical Data'!M169/'Historical Data'!M168-1</f>
        <v>1.3678047769545731E-2</v>
      </c>
      <c r="N165" s="7">
        <f ca="1">+'Historical Data'!N169/'Historical Data'!N168-1</f>
        <v>3.130699088145894E-2</v>
      </c>
      <c r="O165" s="7">
        <f ca="1">+'Historical Data'!O169/'Historical Data'!O168-1</f>
        <v>4.2529585798816605E-2</v>
      </c>
      <c r="P165" s="7">
        <f ca="1">+'Historical Data'!P169/'Historical Data'!P168-1</f>
        <v>4.7732696897375693E-3</v>
      </c>
    </row>
    <row r="166" spans="1:16" x14ac:dyDescent="0.25">
      <c r="A166" vm="2476">
        <f ca="1"/>
        <v>45582</v>
      </c>
      <c r="B166" s="7">
        <f ca="1">+'Historical Data'!B170/'Historical Data'!B169-1</f>
        <v>-1.9879817467132188E-3</v>
      </c>
      <c r="C166" s="7">
        <f ca="1">+'Historical Data'!C170/'Historical Data'!C169-1</f>
        <v>3.4244742896891722E-3</v>
      </c>
      <c r="D166" s="7">
        <f ca="1">+'Historical Data'!D170/'Historical Data'!D169-1</f>
        <v>1.4418917619918314E-3</v>
      </c>
      <c r="E166" s="7">
        <f ca="1">+'Historical Data'!E170/'Historical Data'!E169-1</f>
        <v>-7.9611700351833736E-4</v>
      </c>
      <c r="F166" s="7">
        <f ca="1">+'Historical Data'!F170/'Historical Data'!F169-1</f>
        <v>-5.8011370228561177E-4</v>
      </c>
      <c r="G166" s="7">
        <f ca="1">+'Historical Data'!G170/'Historical Data'!G169-1</f>
        <v>3.4877481666963916E-3</v>
      </c>
      <c r="H166" s="7">
        <f ca="1">+'Historical Data'!H170/'Historical Data'!H169-1</f>
        <v>-9.2939405607870285E-3</v>
      </c>
      <c r="I166" s="7">
        <f ca="1">+'Historical Data'!I170/'Historical Data'!I169-1</f>
        <v>-2.5692027183822352E-3</v>
      </c>
      <c r="J166" s="7">
        <f ca="1">+'Historical Data'!J170/'Historical Data'!J169-1</f>
        <v>-9.1006423982867846E-3</v>
      </c>
      <c r="K166" s="7">
        <f ca="1">+'Historical Data'!K170/'Historical Data'!K169-1</f>
        <v>2.9705644072373749E-2</v>
      </c>
      <c r="L166" s="7">
        <f ca="1">+'Historical Data'!L170/'Historical Data'!L169-1</f>
        <v>-1.3481631277384665E-2</v>
      </c>
      <c r="M166" s="7">
        <f ca="1">+'Historical Data'!M170/'Historical Data'!M169-1</f>
        <v>-7.1556350626122978E-4</v>
      </c>
      <c r="N166" s="7">
        <f ca="1">+'Historical Data'!N170/'Historical Data'!N169-1</f>
        <v>8.915414087828033E-3</v>
      </c>
      <c r="O166" s="7">
        <f ca="1">+'Historical Data'!O170/'Historical Data'!O169-1</f>
        <v>3.5473572188715607E-4</v>
      </c>
      <c r="P166" s="7">
        <f ca="1">+'Historical Data'!P170/'Historical Data'!P169-1</f>
        <v>2.6637258228707106E-2</v>
      </c>
    </row>
    <row r="167" spans="1:16" x14ac:dyDescent="0.25">
      <c r="A167" vm="2490">
        <f ca="1"/>
        <v>45583</v>
      </c>
      <c r="B167" s="7">
        <f ca="1">+'Historical Data'!B171/'Historical Data'!B170-1</f>
        <v>-8.6015663905114614E-4</v>
      </c>
      <c r="C167" s="7">
        <f ca="1">+'Historical Data'!C171/'Historical Data'!C170-1</f>
        <v>7.7854209993069023E-3</v>
      </c>
      <c r="D167" s="7">
        <f ca="1">+'Historical Data'!D171/'Historical Data'!D170-1</f>
        <v>3.45555768861594E-3</v>
      </c>
      <c r="E167" s="7">
        <f ca="1">+'Historical Data'!E171/'Historical Data'!E170-1</f>
        <v>-1.850519173434706E-3</v>
      </c>
      <c r="F167" s="7">
        <f ca="1">+'Historical Data'!F171/'Historical Data'!F170-1</f>
        <v>-5.8045042953331905E-3</v>
      </c>
      <c r="G167" s="7">
        <f ca="1">+'Historical Data'!G171/'Historical Data'!G170-1</f>
        <v>4.2331343017556478E-3</v>
      </c>
      <c r="H167" s="7">
        <f ca="1">+'Historical Data'!H171/'Historical Data'!H170-1</f>
        <v>6.3247531049592798E-3</v>
      </c>
      <c r="I167" s="7">
        <f ca="1">+'Historical Data'!I171/'Historical Data'!I170-1</f>
        <v>-2.8250934773575986E-3</v>
      </c>
      <c r="J167" s="7">
        <f ca="1">+'Historical Data'!J171/'Historical Data'!J170-1</f>
        <v>-1.5667206915181087E-2</v>
      </c>
      <c r="K167" s="7">
        <f ca="1">+'Historical Data'!K171/'Historical Data'!K170-1</f>
        <v>-1.5735641227380137E-3</v>
      </c>
      <c r="L167" s="7">
        <f ca="1">+'Historical Data'!L171/'Historical Data'!L170-1</f>
        <v>-1.708233686368299E-3</v>
      </c>
      <c r="M167" s="7">
        <f ca="1">+'Historical Data'!M171/'Historical Data'!M170-1</f>
        <v>-7.1607590404576538E-4</v>
      </c>
      <c r="N167" s="7">
        <f ca="1">+'Historical Data'!N171/'Historical Data'!N170-1</f>
        <v>7.814211640984503E-3</v>
      </c>
      <c r="O167" s="7">
        <f ca="1">+'Historical Data'!O171/'Historical Data'!O170-1</f>
        <v>6.382978723404209E-3</v>
      </c>
      <c r="P167" s="7">
        <f ca="1">+'Historical Data'!P171/'Historical Data'!P170-1</f>
        <v>-9.0343193962431068E-3</v>
      </c>
    </row>
    <row r="168" spans="1:16" x14ac:dyDescent="0.25">
      <c r="A168" vm="2506">
        <f ca="1"/>
        <v>45586</v>
      </c>
      <c r="B168" s="7">
        <f ca="1">+'Historical Data'!B172/'Historical Data'!B171-1</f>
        <v>-8.3824195740824781E-3</v>
      </c>
      <c r="C168" s="7">
        <f ca="1">+'Historical Data'!C172/'Historical Data'!C171-1</f>
        <v>4.2330282025493382E-4</v>
      </c>
      <c r="D168" s="7">
        <f ca="1">+'Historical Data'!D172/'Historical Data'!D171-1</f>
        <v>1.4826860531853558E-3</v>
      </c>
      <c r="E168" s="7">
        <f ca="1">+'Historical Data'!E172/'Historical Data'!E171-1</f>
        <v>-1.7020290452157805E-2</v>
      </c>
      <c r="F168" s="7">
        <f ca="1">+'Historical Data'!F172/'Historical Data'!F171-1</f>
        <v>-1.0158804297057511E-2</v>
      </c>
      <c r="G168" s="7">
        <f ca="1">+'Historical Data'!G172/'Historical Data'!G171-1</f>
        <v>-1.0516040289302087E-2</v>
      </c>
      <c r="H168" s="7">
        <f ca="1">+'Historical Data'!H172/'Historical Data'!H171-1</f>
        <v>3.2653921103913408E-3</v>
      </c>
      <c r="I168" s="7">
        <f ca="1">+'Historical Data'!I172/'Historical Data'!I171-1</f>
        <v>5.8328472627278138E-4</v>
      </c>
      <c r="J168" s="7">
        <f ca="1">+'Historical Data'!J172/'Historical Data'!J171-1</f>
        <v>-6.5861690450053079E-3</v>
      </c>
      <c r="K168" s="7">
        <f ca="1">+'Historical Data'!K172/'Historical Data'!K171-1</f>
        <v>-1.2608353033884856E-2</v>
      </c>
      <c r="L168" s="7">
        <f ca="1">+'Historical Data'!L172/'Historical Data'!L171-1</f>
        <v>-9.924709103353857E-3</v>
      </c>
      <c r="M168" s="7">
        <f ca="1">+'Historical Data'!M172/'Historical Data'!M171-1</f>
        <v>-1.397348620566119E-2</v>
      </c>
      <c r="N168" s="7">
        <f ca="1">+'Historical Data'!N172/'Historical Data'!N171-1</f>
        <v>4.1376811594203033E-2</v>
      </c>
      <c r="O168" s="7">
        <f ca="1">+'Historical Data'!O172/'Historical Data'!O171-1</f>
        <v>-2.995066948555225E-3</v>
      </c>
      <c r="P168" s="7">
        <f ca="1">+'Historical Data'!P172/'Historical Data'!P171-1</f>
        <v>5.5589526933141897E-4</v>
      </c>
    </row>
    <row r="169" spans="1:16" x14ac:dyDescent="0.25">
      <c r="A169" vm="2520">
        <f ca="1"/>
        <v>45587</v>
      </c>
      <c r="B169" s="7">
        <f ca="1">+'Historical Data'!B173/'Historical Data'!B172-1</f>
        <v>-4.0210189627598591E-3</v>
      </c>
      <c r="C169" s="7">
        <f ca="1">+'Historical Data'!C173/'Historical Data'!C172-1</f>
        <v>3.3320992225100987E-3</v>
      </c>
      <c r="D169" s="7">
        <f ca="1">+'Historical Data'!D173/'Historical Data'!D172-1</f>
        <v>2.0846267730073142E-2</v>
      </c>
      <c r="E169" s="7">
        <f ca="1">+'Historical Data'!E173/'Historical Data'!E172-1</f>
        <v>-5.3359528487229912E-2</v>
      </c>
      <c r="F169" s="7">
        <f ca="1">+'Historical Data'!F173/'Historical Data'!F172-1</f>
        <v>9.4373009319337342E-4</v>
      </c>
      <c r="G169" s="7">
        <f ca="1">+'Historical Data'!G173/'Historical Data'!G172-1</f>
        <v>5.0224215246637005E-3</v>
      </c>
      <c r="H169" s="7">
        <f ca="1">+'Historical Data'!H173/'Historical Data'!H172-1</f>
        <v>-2.8172957460583792E-3</v>
      </c>
      <c r="I169" s="7">
        <f ca="1">+'Historical Data'!I173/'Historical Data'!I172-1</f>
        <v>5.1632245169888069E-3</v>
      </c>
      <c r="J169" s="7">
        <f ca="1">+'Historical Data'!J173/'Historical Data'!J172-1</f>
        <v>-1.1602209944751474E-2</v>
      </c>
      <c r="K169" s="7">
        <f ca="1">+'Historical Data'!K173/'Historical Data'!K172-1</f>
        <v>1.7025804735301797E-2</v>
      </c>
      <c r="L169" s="7">
        <f ca="1">+'Historical Data'!L173/'Historical Data'!L172-1</f>
        <v>-3.1109574835810339E-3</v>
      </c>
      <c r="M169" s="7">
        <f ca="1">+'Historical Data'!M173/'Historical Data'!M172-1</f>
        <v>7.2674418604656843E-4</v>
      </c>
      <c r="N169" s="7">
        <f ca="1">+'Historical Data'!N173/'Historical Data'!N172-1</f>
        <v>-8.3501496068472125E-4</v>
      </c>
      <c r="O169" s="7">
        <f ca="1">+'Historical Data'!O173/'Historical Data'!O172-1</f>
        <v>1.7670966601879279E-4</v>
      </c>
      <c r="P169" s="7">
        <f ca="1">+'Historical Data'!P173/'Historical Data'!P172-1</f>
        <v>-3.3890771709540468E-3</v>
      </c>
    </row>
    <row r="170" spans="1:16" x14ac:dyDescent="0.25">
      <c r="A170" vm="2536">
        <f ca="1"/>
        <v>45588</v>
      </c>
      <c r="B170" s="7">
        <f ca="1">+'Historical Data'!B174/'Historical Data'!B173-1</f>
        <v>-1.9819241179978908E-2</v>
      </c>
      <c r="C170" s="7">
        <f ca="1">+'Historical Data'!C174/'Historical Data'!C173-1</f>
        <v>-2.63046916183447E-2</v>
      </c>
      <c r="D170" s="7">
        <f ca="1">+'Historical Data'!D174/'Historical Data'!D173-1</f>
        <v>-6.8068583191035481E-3</v>
      </c>
      <c r="E170" s="7">
        <f ca="1">+'Historical Data'!E174/'Historical Data'!E173-1</f>
        <v>3.7080081908240636E-3</v>
      </c>
      <c r="F170" s="7">
        <f ca="1">+'Historical Data'!F174/'Historical Data'!F173-1</f>
        <v>-7.0713022981716556E-4</v>
      </c>
      <c r="G170" s="7">
        <f ca="1">+'Historical Data'!G174/'Historical Data'!G173-1</f>
        <v>-3.1679457433517744E-3</v>
      </c>
      <c r="H170" s="7">
        <f ca="1">+'Historical Data'!H174/'Historical Data'!H173-1</f>
        <v>-9.1601445969186068E-3</v>
      </c>
      <c r="I170" s="7">
        <f ca="1">+'Historical Data'!I174/'Historical Data'!I173-1</f>
        <v>-3.5625517812759577E-3</v>
      </c>
      <c r="J170" s="7">
        <f ca="1">+'Historical Data'!J174/'Historical Data'!J173-1</f>
        <v>-2.0122973728339821E-2</v>
      </c>
      <c r="K170" s="7">
        <f ca="1">+'Historical Data'!K174/'Historical Data'!K173-1</f>
        <v>-7.8472403871304719E-3</v>
      </c>
      <c r="L170" s="7">
        <f ca="1">+'Historical Data'!L174/'Historical Data'!L173-1</f>
        <v>6.9348127600554754E-4</v>
      </c>
      <c r="M170" s="7">
        <f ca="1">+'Historical Data'!M174/'Historical Data'!M173-1</f>
        <v>0</v>
      </c>
      <c r="N170" s="7">
        <f ca="1">+'Historical Data'!N174/'Historical Data'!N173-1</f>
        <v>-2.8066021310676259E-2</v>
      </c>
      <c r="O170" s="7">
        <f ca="1">+'Historical Data'!O174/'Historical Data'!O173-1</f>
        <v>-5.6537102473498413E-3</v>
      </c>
      <c r="P170" s="7">
        <f ca="1">+'Historical Data'!P174/'Historical Data'!P173-1</f>
        <v>-3.2723826513546661E-2</v>
      </c>
    </row>
    <row r="171" spans="1:16" x14ac:dyDescent="0.25">
      <c r="A171" vm="2549">
        <f ca="1"/>
        <v>45589</v>
      </c>
      <c r="B171" s="7">
        <f ca="1">+'Historical Data'!B175/'Historical Data'!B174-1</f>
        <v>0.21919026445120537</v>
      </c>
      <c r="C171" s="7">
        <f ca="1">+'Historical Data'!C175/'Historical Data'!C174-1</f>
        <v>9.0411997184776105E-3</v>
      </c>
      <c r="D171" s="7">
        <f ca="1">+'Historical Data'!D175/'Historical Data'!D174-1</f>
        <v>3.061705134244086E-4</v>
      </c>
      <c r="E171" s="7">
        <f ca="1">+'Historical Data'!E175/'Historical Data'!E174-1</f>
        <v>-3.1153506837231504E-3</v>
      </c>
      <c r="F171" s="7">
        <f ca="1">+'Historical Data'!F175/'Historical Data'!F174-1</f>
        <v>2.3587687227255572E-4</v>
      </c>
      <c r="G171" s="7">
        <f ca="1">+'Historical Data'!G175/'Historical Data'!G174-1</f>
        <v>7.0274383420616537E-3</v>
      </c>
      <c r="H171" s="7">
        <f ca="1">+'Historical Data'!H175/'Historical Data'!H174-1</f>
        <v>-6.7830830263531094E-3</v>
      </c>
      <c r="I171" s="7">
        <f ca="1">+'Historical Data'!I175/'Historical Data'!I174-1</f>
        <v>-5.6539452897645948E-3</v>
      </c>
      <c r="J171" s="7">
        <f ca="1">+'Historical Data'!J175/'Historical Data'!J174-1</f>
        <v>9.1272104962920597E-3</v>
      </c>
      <c r="K171" s="7">
        <f ca="1">+'Historical Data'!K175/'Historical Data'!K174-1</f>
        <v>4.4819404165568066E-3</v>
      </c>
      <c r="L171" s="7">
        <f ca="1">+'Historical Data'!L175/'Historical Data'!L174-1</f>
        <v>-7.6230076230076049E-3</v>
      </c>
      <c r="M171" s="7">
        <f ca="1">+'Historical Data'!M175/'Historical Data'!M174-1</f>
        <v>-4.046062869592304E-3</v>
      </c>
      <c r="N171" s="7">
        <f ca="1">+'Historical Data'!N175/'Historical Data'!N174-1</f>
        <v>6.0905703640010689E-3</v>
      </c>
      <c r="O171" s="7">
        <f ca="1">+'Historical Data'!O175/'Historical Data'!O174-1</f>
        <v>-5.6858564321250471E-3</v>
      </c>
      <c r="P171" s="7">
        <f ca="1">+'Historical Data'!P175/'Historical Data'!P174-1</f>
        <v>-1.2448850210362461E-2</v>
      </c>
    </row>
    <row r="172" spans="1:16" x14ac:dyDescent="0.25">
      <c r="A172" vm="2563">
        <f ca="1"/>
        <v>45590</v>
      </c>
      <c r="B172" s="7">
        <f ca="1">+'Historical Data'!B176/'Historical Data'!B175-1</f>
        <v>3.3438267813267641E-2</v>
      </c>
      <c r="C172" s="7">
        <f ca="1">+'Historical Data'!C176/'Historical Data'!C175-1</f>
        <v>7.7798047000752213E-3</v>
      </c>
      <c r="D172" s="7">
        <f ca="1">+'Historical Data'!D176/'Historical Data'!D175-1</f>
        <v>8.0521743225105968E-3</v>
      </c>
      <c r="E172" s="7">
        <f ca="1">+'Historical Data'!E176/'Historical Data'!E175-1</f>
        <v>-7.0521861777149697E-3</v>
      </c>
      <c r="F172" s="7">
        <f ca="1">+'Historical Data'!F176/'Historical Data'!F175-1</f>
        <v>-8.253743662304025E-3</v>
      </c>
      <c r="G172" s="7">
        <f ca="1">+'Historical Data'!G176/'Historical Data'!G175-1</f>
        <v>-1.1867721575251067E-2</v>
      </c>
      <c r="H172" s="7">
        <f ca="1">+'Historical Data'!H176/'Historical Data'!H175-1</f>
        <v>6.6867566555517399E-3</v>
      </c>
      <c r="I172" s="7">
        <f ca="1">+'Historical Data'!I176/'Historical Data'!I175-1</f>
        <v>-8.361903169161744E-4</v>
      </c>
      <c r="J172" s="7">
        <f ca="1">+'Historical Data'!J176/'Historical Data'!J175-1</f>
        <v>-3.9570378745054091E-3</v>
      </c>
      <c r="K172" s="7">
        <f ca="1">+'Historical Data'!K176/'Historical Data'!K175-1</f>
        <v>-5.2493438320210251E-3</v>
      </c>
      <c r="L172" s="7">
        <f ca="1">+'Historical Data'!L176/'Historical Data'!L175-1</f>
        <v>-6.6340782122905617E-3</v>
      </c>
      <c r="M172" s="7">
        <f ca="1">+'Historical Data'!M176/'Historical Data'!M175-1</f>
        <v>-2.0208333333333273E-2</v>
      </c>
      <c r="N172" s="7">
        <f ca="1">+'Historical Data'!N176/'Historical Data'!N175-1</f>
        <v>8.0478598390427702E-3</v>
      </c>
      <c r="O172" s="7">
        <f ca="1">+'Historical Data'!O176/'Historical Data'!O175-1</f>
        <v>-3.9313795568263199E-3</v>
      </c>
      <c r="P172" s="7">
        <f ca="1">+'Historical Data'!P176/'Historical Data'!P175-1</f>
        <v>9.6294134811789611E-3</v>
      </c>
    </row>
    <row r="173" spans="1:16" x14ac:dyDescent="0.25">
      <c r="A173" vm="2578">
        <f ca="1"/>
        <v>45593</v>
      </c>
      <c r="B173" s="7">
        <f ca="1">+'Historical Data'!B177/'Historical Data'!B176-1</f>
        <v>-2.4815186299639636E-2</v>
      </c>
      <c r="C173" s="7">
        <f ca="1">+'Historical Data'!C177/'Historical Data'!C176-1</f>
        <v>2.9814193685777646E-3</v>
      </c>
      <c r="D173" s="7">
        <f ca="1">+'Historical Data'!D177/'Historical Data'!D176-1</f>
        <v>-3.6435828564755912E-3</v>
      </c>
      <c r="E173" s="7">
        <f ca="1">+'Historical Data'!E177/'Historical Data'!E176-1</f>
        <v>1.1781417112299408E-2</v>
      </c>
      <c r="F173" s="7">
        <f ca="1">+'Historical Data'!F177/'Historical Data'!F176-1</f>
        <v>6.4201640708596575E-3</v>
      </c>
      <c r="G173" s="7">
        <f ca="1">+'Historical Data'!G177/'Historical Data'!G176-1</f>
        <v>1.4349332013854577E-2</v>
      </c>
      <c r="H173" s="7">
        <f ca="1">+'Historical Data'!H177/'Historical Data'!H176-1</f>
        <v>1.2044778234379105E-3</v>
      </c>
      <c r="I173" s="7">
        <f ca="1">+'Historical Data'!I177/'Historical Data'!I176-1</f>
        <v>-4.9376516863335329E-3</v>
      </c>
      <c r="J173" s="7">
        <f ca="1">+'Historical Data'!J177/'Historical Data'!J176-1</f>
        <v>7.3779795686719218E-3</v>
      </c>
      <c r="K173" s="7">
        <f ca="1">+'Historical Data'!K177/'Historical Data'!K176-1</f>
        <v>-1.3192612137202797E-3</v>
      </c>
      <c r="L173" s="7">
        <f ca="1">+'Historical Data'!L177/'Historical Data'!L176-1</f>
        <v>1.4411247803163496E-2</v>
      </c>
      <c r="M173" s="7">
        <f ca="1">+'Historical Data'!M177/'Historical Data'!M176-1</f>
        <v>5.794173931533031E-3</v>
      </c>
      <c r="N173" s="7">
        <f ca="1">+'Historical Data'!N177/'Historical Data'!N176-1</f>
        <v>-7.2064434082237394E-3</v>
      </c>
      <c r="O173" s="7">
        <f ca="1">+'Historical Data'!O177/'Historical Data'!O176-1</f>
        <v>-8.2526013634732776E-3</v>
      </c>
      <c r="P173" s="7">
        <f ca="1">+'Historical Data'!P177/'Historical Data'!P176-1</f>
        <v>-5.6647398843929775E-3</v>
      </c>
    </row>
    <row r="174" spans="1:16" x14ac:dyDescent="0.25">
      <c r="A174" vm="2593">
        <f ca="1"/>
        <v>45594</v>
      </c>
      <c r="B174" s="7">
        <f ca="1">+'Historical Data'!B178/'Historical Data'!B177-1</f>
        <v>-1.1390042284103452E-2</v>
      </c>
      <c r="C174" s="7">
        <f ca="1">+'Historical Data'!C178/'Historical Data'!C177-1</f>
        <v>1.2951855194012651E-2</v>
      </c>
      <c r="D174" s="7">
        <f ca="1">+'Historical Data'!D178/'Historical Data'!D177-1</f>
        <v>1.2564757729904619E-2</v>
      </c>
      <c r="E174" s="7">
        <f ca="1">+'Historical Data'!E178/'Historical Data'!E177-1</f>
        <v>-4.5420761417127586E-3</v>
      </c>
      <c r="F174" s="7">
        <f ca="1">+'Historical Data'!F178/'Historical Data'!F177-1</f>
        <v>-1.2581216774955828E-2</v>
      </c>
      <c r="G174" s="7">
        <f ca="1">+'Historical Data'!G178/'Historical Data'!G177-1</f>
        <v>-1.1529933481152943E-2</v>
      </c>
      <c r="H174" s="7">
        <f ca="1">+'Historical Data'!H178/'Historical Data'!H177-1</f>
        <v>-5.5020876088033299E-3</v>
      </c>
      <c r="I174" s="7">
        <f ca="1">+'Historical Data'!I178/'Historical Data'!I177-1</f>
        <v>-1.362489486963836E-2</v>
      </c>
      <c r="J174" s="7">
        <f ca="1">+'Historical Data'!J178/'Historical Data'!J177-1</f>
        <v>5.6338028169014009E-3</v>
      </c>
      <c r="K174" s="7">
        <f ca="1">+'Historical Data'!K178/'Historical Data'!K177-1</f>
        <v>4.2272126816380595E-3</v>
      </c>
      <c r="L174" s="7">
        <f ca="1">+'Historical Data'!L178/'Historical Data'!L177-1</f>
        <v>-1.3860013860013787E-2</v>
      </c>
      <c r="M174" s="7">
        <f ca="1">+'Historical Data'!M178/'Historical Data'!M177-1</f>
        <v>-1.3952750911685463E-2</v>
      </c>
      <c r="N174" s="7">
        <f ca="1">+'Historical Data'!N178/'Historical Data'!N177-1</f>
        <v>5.1949900370054092E-3</v>
      </c>
      <c r="O174" s="7">
        <f ca="1">+'Historical Data'!O178/'Historical Data'!O177-1</f>
        <v>7.2358900144717797E-3</v>
      </c>
      <c r="P174" s="7">
        <f ca="1">+'Historical Data'!P178/'Historical Data'!P177-1</f>
        <v>4.197186373677475E-2</v>
      </c>
    </row>
    <row r="175" spans="1:16" x14ac:dyDescent="0.25">
      <c r="A175" vm="2607">
        <f ca="1"/>
        <v>45595</v>
      </c>
      <c r="B175" s="7">
        <f ca="1">+'Historical Data'!B179/'Historical Data'!B178-1</f>
        <v>-7.5909371146731797E-3</v>
      </c>
      <c r="C175" s="7">
        <f ca="1">+'Historical Data'!C179/'Historical Data'!C178-1</f>
        <v>9.956505790494008E-3</v>
      </c>
      <c r="D175" s="7">
        <f ca="1">+'Historical Data'!D179/'Historical Data'!D178-1</f>
        <v>1.3427480032410788E-3</v>
      </c>
      <c r="E175" s="7">
        <f ca="1">+'Historical Data'!E179/'Historical Data'!E178-1</f>
        <v>7.4664011946246056E-4</v>
      </c>
      <c r="F175" s="7">
        <f ca="1">+'Historical Data'!F179/'Historical Data'!F178-1</f>
        <v>-6.0417539032122658E-3</v>
      </c>
      <c r="G175" s="7">
        <f ca="1">+'Historical Data'!G179/'Historical Data'!G178-1</f>
        <v>6.7743382682816655E-3</v>
      </c>
      <c r="H175" s="7">
        <f ca="1">+'Historical Data'!H179/'Historical Data'!H178-1</f>
        <v>1.4765267820611161E-3</v>
      </c>
      <c r="I175" s="7">
        <f ca="1">+'Historical Data'!I179/'Historical Data'!I178-1</f>
        <v>-5.0306957708049493E-3</v>
      </c>
      <c r="J175" s="7">
        <f ca="1">+'Historical Data'!J179/'Historical Data'!J178-1</f>
        <v>7.2829131652660806E-3</v>
      </c>
      <c r="K175" s="7">
        <f ca="1">+'Historical Data'!K179/'Historical Data'!K178-1</f>
        <v>3.4990791896869489E-2</v>
      </c>
      <c r="L175" s="7">
        <f ca="1">+'Historical Data'!L179/'Historical Data'!L178-1</f>
        <v>2.1082220660575413E-3</v>
      </c>
      <c r="M175" s="7">
        <f ca="1">+'Historical Data'!M179/'Historical Data'!M178-1</f>
        <v>1.5382966178914215E-2</v>
      </c>
      <c r="N175" s="7">
        <f ca="1">+'Historical Data'!N179/'Historical Data'!N178-1</f>
        <v>-1.3557522123893717E-2</v>
      </c>
      <c r="O175" s="7">
        <f ca="1">+'Historical Data'!O179/'Historical Data'!O178-1</f>
        <v>-1.616379310344751E-3</v>
      </c>
      <c r="P175" s="7">
        <f ca="1">+'Historical Data'!P179/'Historical Data'!P178-1</f>
        <v>-1.4505690694041617E-2</v>
      </c>
    </row>
    <row r="176" spans="1:16" x14ac:dyDescent="0.25">
      <c r="A176" vm="2622">
        <f ca="1"/>
        <v>45596</v>
      </c>
      <c r="B176" s="7">
        <f ca="1">+'Historical Data'!B180/'Historical Data'!B179-1</f>
        <v>-2.9897107357794717E-2</v>
      </c>
      <c r="C176" s="7">
        <f ca="1">+'Historical Data'!C180/'Historical Data'!C179-1</f>
        <v>-3.2843874850827515E-2</v>
      </c>
      <c r="D176" s="7">
        <f ca="1">+'Historical Data'!D180/'Historical Data'!D179-1</f>
        <v>-6.0527593461725093E-2</v>
      </c>
      <c r="E176" s="7">
        <f ca="1">+'Historical Data'!E180/'Historical Data'!E179-1</f>
        <v>-8.6214042941225033E-3</v>
      </c>
      <c r="F176" s="7">
        <f ca="1">+'Historical Data'!F180/'Historical Data'!F179-1</f>
        <v>-5.8979297063070923E-3</v>
      </c>
      <c r="G176" s="7">
        <f ca="1">+'Historical Data'!G180/'Historical Data'!G179-1</f>
        <v>-1.1095762220934891E-2</v>
      </c>
      <c r="H176" s="7">
        <f ca="1">+'Historical Data'!H180/'Historical Data'!H179-1</f>
        <v>2.7355407133720089E-3</v>
      </c>
      <c r="I176" s="7">
        <f ca="1">+'Historical Data'!I180/'Historical Data'!I179-1</f>
        <v>7.7127431656531797E-4</v>
      </c>
      <c r="J176" s="7">
        <f ca="1">+'Historical Data'!J180/'Historical Data'!J179-1</f>
        <v>-2.1134593993325845E-2</v>
      </c>
      <c r="K176" s="7">
        <f ca="1">+'Historical Data'!K180/'Historical Data'!K179-1</f>
        <v>-3.2791052364006257E-2</v>
      </c>
      <c r="L176" s="7">
        <f ca="1">+'Historical Data'!L180/'Historical Data'!L179-1</f>
        <v>-7.7138849929873077E-3</v>
      </c>
      <c r="M176" s="7">
        <f ca="1">+'Historical Data'!M180/'Historical Data'!M179-1</f>
        <v>-1.5413851351351315E-2</v>
      </c>
      <c r="N176" s="7">
        <f ca="1">+'Historical Data'!N180/'Historical Data'!N179-1</f>
        <v>-4.7188430760397693E-2</v>
      </c>
      <c r="O176" s="7">
        <f ca="1">+'Historical Data'!O180/'Historical Data'!O179-1</f>
        <v>-1.4750854470228503E-2</v>
      </c>
      <c r="P176" s="7">
        <f ca="1">+'Historical Data'!P180/'Historical Data'!P179-1</f>
        <v>-3.889266304347816E-2</v>
      </c>
    </row>
    <row r="177" spans="1:16" x14ac:dyDescent="0.25">
      <c r="A177" vm="2635">
        <f ca="1"/>
        <v>45597</v>
      </c>
      <c r="B177" s="7">
        <f ca="1">+'Historical Data'!B181/'Historical Data'!B180-1</f>
        <v>-3.4820892535522008E-3</v>
      </c>
      <c r="C177" s="7">
        <f ca="1">+'Historical Data'!C181/'Historical Data'!C180-1</f>
        <v>6.1856223175965619E-2</v>
      </c>
      <c r="D177" s="7">
        <f ca="1">+'Historical Data'!D181/'Historical Data'!D180-1</f>
        <v>9.892949427833031E-3</v>
      </c>
      <c r="E177" s="7">
        <f ca="1">+'Historical Data'!E181/'Historical Data'!E180-1</f>
        <v>-2.2298408451095764E-3</v>
      </c>
      <c r="F177" s="7">
        <f ca="1">+'Historical Data'!F181/'Historical Data'!F180-1</f>
        <v>-4.843201356097282E-4</v>
      </c>
      <c r="G177" s="7">
        <f ca="1">+'Historical Data'!G181/'Historical Data'!G180-1</f>
        <v>4.5962509012256181E-3</v>
      </c>
      <c r="H177" s="7">
        <f ca="1">+'Historical Data'!H181/'Historical Data'!H180-1</f>
        <v>5.4207263064658395E-3</v>
      </c>
      <c r="I177" s="7">
        <f ca="1">+'Historical Data'!I181/'Historical Data'!I180-1</f>
        <v>-1.567049152252098E-2</v>
      </c>
      <c r="J177" s="7">
        <f ca="1">+'Historical Data'!J181/'Historical Data'!J180-1</f>
        <v>7.3863636363635798E-3</v>
      </c>
      <c r="K177" s="7">
        <f ca="1">+'Historical Data'!K181/'Historical Data'!K180-1</f>
        <v>9.4612352168199632E-3</v>
      </c>
      <c r="L177" s="7">
        <f ca="1">+'Historical Data'!L181/'Historical Data'!L180-1</f>
        <v>-7.4204946996466736E-3</v>
      </c>
      <c r="M177" s="7">
        <f ca="1">+'Historical Data'!M181/'Historical Data'!M180-1</f>
        <v>-1.2706412180999327E-2</v>
      </c>
      <c r="N177" s="7">
        <f ca="1">+'Historical Data'!N181/'Historical Data'!N180-1</f>
        <v>1.9885507683037096E-2</v>
      </c>
      <c r="O177" s="7">
        <f ca="1">+'Historical Data'!O181/'Historical Data'!O180-1</f>
        <v>1.3328464487858183E-2</v>
      </c>
      <c r="P177" s="7">
        <f ca="1">+'Historical Data'!P181/'Historical Data'!P180-1</f>
        <v>-5.006773870530834E-3</v>
      </c>
    </row>
    <row r="178" spans="1:16" x14ac:dyDescent="0.25">
      <c r="A178" vm="2650">
        <f ca="1"/>
        <v>45600</v>
      </c>
      <c r="B178" s="7">
        <f ca="1">+'Historical Data'!B182/'Historical Data'!B181-1</f>
        <v>-2.4660615310466705E-2</v>
      </c>
      <c r="C178" s="7">
        <f ca="1">+'Historical Data'!C182/'Historical Data'!C181-1</f>
        <v>-1.0862426110241019E-2</v>
      </c>
      <c r="D178" s="7">
        <f ca="1">+'Historical Data'!D182/'Historical Data'!D181-1</f>
        <v>-4.6543363306285057E-3</v>
      </c>
      <c r="E178" s="7">
        <f ca="1">+'Historical Data'!E182/'Historical Data'!E181-1</f>
        <v>4.5897700924658391E-2</v>
      </c>
      <c r="F178" s="7">
        <f ca="1">+'Historical Data'!F182/'Historical Data'!F181-1</f>
        <v>-1.2113870381580405E-4</v>
      </c>
      <c r="G178" s="7">
        <f ca="1">+'Historical Data'!G182/'Historical Data'!G181-1</f>
        <v>-1.4174217278191459E-2</v>
      </c>
      <c r="H178" s="7">
        <f ca="1">+'Historical Data'!H182/'Historical Data'!H181-1</f>
        <v>-1.7249277609415636E-2</v>
      </c>
      <c r="I178" s="7">
        <f ca="1">+'Historical Data'!I182/'Historical Data'!I181-1</f>
        <v>3.1839930404523598E-2</v>
      </c>
      <c r="J178" s="7">
        <f ca="1">+'Historical Data'!J182/'Historical Data'!J181-1</f>
        <v>5.6401579244202971E-4</v>
      </c>
      <c r="K178" s="7">
        <f ca="1">+'Historical Data'!K182/'Historical Data'!K181-1</f>
        <v>-9.3725592293673055E-3</v>
      </c>
      <c r="L178" s="7">
        <f ca="1">+'Historical Data'!L182/'Historical Data'!L181-1</f>
        <v>-1.1747953008187872E-2</v>
      </c>
      <c r="M178" s="7">
        <f ca="1">+'Historical Data'!M182/'Historical Data'!M181-1</f>
        <v>-9.6660331251696707E-3</v>
      </c>
      <c r="N178" s="7">
        <f ca="1">+'Historical Data'!N182/'Historical Data'!N181-1</f>
        <v>4.8005908419497256E-3</v>
      </c>
      <c r="O178" s="7">
        <f ca="1">+'Historical Data'!O182/'Historical Data'!O181-1</f>
        <v>5.9459459459458852E-3</v>
      </c>
      <c r="P178" s="7">
        <f ca="1">+'Historical Data'!P182/'Historical Data'!P181-1</f>
        <v>-2.1903859815295412E-3</v>
      </c>
    </row>
    <row r="179" spans="1:16" x14ac:dyDescent="0.25">
      <c r="A179" vm="2665">
        <f ca="1"/>
        <v>45601</v>
      </c>
      <c r="B179" s="7">
        <f ca="1">+'Historical Data'!B183/'Historical Data'!B182-1</f>
        <v>3.5414264536320239E-2</v>
      </c>
      <c r="C179" s="7">
        <f ca="1">+'Historical Data'!C183/'Historical Data'!C182-1</f>
        <v>1.9000919399325689E-2</v>
      </c>
      <c r="D179" s="7">
        <f ca="1">+'Historical Data'!D183/'Historical Data'!D182-1</f>
        <v>7.3446604318661013E-3</v>
      </c>
      <c r="E179" s="7">
        <f ca="1">+'Historical Data'!E183/'Historical Data'!E182-1</f>
        <v>1.0176282051282071E-2</v>
      </c>
      <c r="F179" s="7">
        <f ca="1">+'Historical Data'!F183/'Historical Data'!F182-1</f>
        <v>4.1192149260962374E-3</v>
      </c>
      <c r="G179" s="7">
        <f ca="1">+'Historical Data'!G183/'Historical Data'!G182-1</f>
        <v>7.7805077805077616E-3</v>
      </c>
      <c r="H179" s="7">
        <f ca="1">+'Historical Data'!H183/'Historical Data'!H182-1</f>
        <v>1.6601825125051484E-2</v>
      </c>
      <c r="I179" s="7">
        <f ca="1">+'Historical Data'!I183/'Historical Data'!I182-1</f>
        <v>2.9508473147288328E-3</v>
      </c>
      <c r="J179" s="7">
        <f ca="1">+'Historical Data'!J183/'Historical Data'!J182-1</f>
        <v>1.7474633596392453E-2</v>
      </c>
      <c r="K179" s="7">
        <f ca="1">+'Historical Data'!K183/'Historical Data'!K182-1</f>
        <v>2.0420499342969745E-2</v>
      </c>
      <c r="L179" s="7">
        <f ca="1">+'Historical Data'!L183/'Historical Data'!L182-1</f>
        <v>8.2853025936597824E-3</v>
      </c>
      <c r="M179" s="7">
        <f ca="1">+'Historical Data'!M183/'Historical Data'!M182-1</f>
        <v>1.4750233042715388E-2</v>
      </c>
      <c r="N179" s="7">
        <f ca="1">+'Historical Data'!N183/'Historical Data'!N182-1</f>
        <v>2.8371922087467638E-2</v>
      </c>
      <c r="O179" s="7">
        <f ca="1">+'Historical Data'!O183/'Historical Data'!O182-1</f>
        <v>5.9108006448145289E-3</v>
      </c>
      <c r="P179" s="7">
        <f ca="1">+'Historical Data'!P183/'Historical Data'!P182-1</f>
        <v>3.1741323049540249E-2</v>
      </c>
    </row>
    <row r="180" spans="1:16" x14ac:dyDescent="0.25">
      <c r="A180" vm="2678">
        <f ca="1"/>
        <v>45602</v>
      </c>
      <c r="B180" s="7">
        <f ca="1">+'Historical Data'!B184/'Historical Data'!B183-1</f>
        <v>0.14751034043907096</v>
      </c>
      <c r="C180" s="7">
        <f ca="1">+'Historical Data'!C184/'Historical Data'!C183-1</f>
        <v>3.8045112781954993E-2</v>
      </c>
      <c r="D180" s="7">
        <f ca="1">+'Historical Data'!D184/'Historical Data'!D183-1</f>
        <v>2.1192825548048466E-2</v>
      </c>
      <c r="E180" s="7">
        <f ca="1">+'Historical Data'!E184/'Historical Data'!E183-1</f>
        <v>6.6629650194336421E-3</v>
      </c>
      <c r="F180" s="7">
        <f ca="1">+'Historical Data'!F184/'Historical Data'!F183-1</f>
        <v>-2.8414575289575139E-2</v>
      </c>
      <c r="G180" s="7">
        <f ca="1">+'Historical Data'!G184/'Historical Data'!G183-1</f>
        <v>0.11544539256851327</v>
      </c>
      <c r="H180" s="7">
        <f ca="1">+'Historical Data'!H184/'Historical Data'!H183-1</f>
        <v>5.230763804384253E-2</v>
      </c>
      <c r="I180" s="7">
        <f ca="1">+'Historical Data'!I184/'Historical Data'!I183-1</f>
        <v>1.7148621385339569E-2</v>
      </c>
      <c r="J180" s="7">
        <f ca="1">+'Historical Data'!J184/'Historical Data'!J183-1</f>
        <v>-3.3240997229918579E-3</v>
      </c>
      <c r="K180" s="7">
        <f ca="1">+'Historical Data'!K184/'Historical Data'!K183-1</f>
        <v>-1.5891003683004001E-2</v>
      </c>
      <c r="L180" s="7">
        <f ca="1">+'Historical Data'!L184/'Historical Data'!L183-1</f>
        <v>-2.2508038585209E-2</v>
      </c>
      <c r="M180" s="7">
        <f ca="1">+'Historical Data'!M184/'Historical Data'!M183-1</f>
        <v>2.0155625202636918E-2</v>
      </c>
      <c r="N180" s="7">
        <f ca="1">+'Historical Data'!N184/'Historical Data'!N183-1</f>
        <v>4.0740476020298955E-2</v>
      </c>
      <c r="O180" s="7">
        <f ca="1">+'Historical Data'!O184/'Historical Data'!O183-1</f>
        <v>3.0448717948718063E-2</v>
      </c>
      <c r="P180" s="7">
        <f ca="1">+'Historical Data'!P184/'Historical Data'!P183-1</f>
        <v>3.2489936745256021E-2</v>
      </c>
    </row>
    <row r="181" spans="1:16" x14ac:dyDescent="0.25">
      <c r="A181" vm="2692">
        <f ca="1"/>
        <v>45603</v>
      </c>
      <c r="B181" s="7">
        <f ca="1">+'Historical Data'!B185/'Historical Data'!B184-1</f>
        <v>2.9043773611063139E-2</v>
      </c>
      <c r="C181" s="7">
        <f ca="1">+'Historical Data'!C185/'Historical Data'!C184-1</f>
        <v>1.4293302428895593E-2</v>
      </c>
      <c r="D181" s="7">
        <f ca="1">+'Historical Data'!D185/'Historical Data'!D184-1</f>
        <v>1.2494645152077766E-2</v>
      </c>
      <c r="E181" s="7">
        <f ca="1">+'Historical Data'!E185/'Historical Data'!E184-1</f>
        <v>8.5887636908044129E-3</v>
      </c>
      <c r="F181" s="7">
        <f ca="1">+'Historical Data'!F185/'Historical Data'!F184-1</f>
        <v>1.4653834212977168E-2</v>
      </c>
      <c r="G181" s="7">
        <f ca="1">+'Historical Data'!G185/'Historical Data'!G184-1</f>
        <v>-4.3228365579211503E-2</v>
      </c>
      <c r="H181" s="7">
        <f ca="1">+'Historical Data'!H185/'Historical Data'!H184-1</f>
        <v>1.468099012887758E-2</v>
      </c>
      <c r="I181" s="7">
        <f ca="1">+'Historical Data'!I185/'Historical Data'!I184-1</f>
        <v>1.2396694214875659E-3</v>
      </c>
      <c r="J181" s="7">
        <f ca="1">+'Historical Data'!J185/'Historical Data'!J184-1</f>
        <v>1.5564202334630517E-2</v>
      </c>
      <c r="K181" s="7">
        <f ca="1">+'Historical Data'!K185/'Historical Data'!K184-1</f>
        <v>2.3292331850300885E-2</v>
      </c>
      <c r="L181" s="7">
        <f ca="1">+'Historical Data'!L185/'Historical Data'!L184-1</f>
        <v>3.654970760234022E-3</v>
      </c>
      <c r="M181" s="7">
        <f ca="1">+'Historical Data'!M185/'Historical Data'!M184-1</f>
        <v>9.3225276762540776E-3</v>
      </c>
      <c r="N181" s="7">
        <f ca="1">+'Historical Data'!N185/'Historical Data'!N184-1</f>
        <v>2.2457248815328512E-2</v>
      </c>
      <c r="O181" s="7">
        <f ca="1">+'Historical Data'!O185/'Historical Data'!O184-1</f>
        <v>3.6288232244685581E-3</v>
      </c>
      <c r="P181" s="7">
        <f ca="1">+'Historical Data'!P185/'Historical Data'!P184-1</f>
        <v>2.3725981620718484E-2</v>
      </c>
    </row>
    <row r="182" spans="1:16" x14ac:dyDescent="0.25">
      <c r="A182" vm="2707">
        <f ca="1"/>
        <v>45604</v>
      </c>
      <c r="B182" s="7">
        <f ca="1">+'Historical Data'!B186/'Historical Data'!B185-1</f>
        <v>8.1876662961840374E-2</v>
      </c>
      <c r="C182" s="7">
        <f ca="1">+'Historical Data'!C186/'Historical Data'!C185-1</f>
        <v>-8.9026422280409356E-3</v>
      </c>
      <c r="D182" s="7">
        <f ca="1">+'Historical Data'!D186/'Historical Data'!D185-1</f>
        <v>-6.7931269539054373E-3</v>
      </c>
      <c r="E182" s="7">
        <f ca="1">+'Historical Data'!E186/'Historical Data'!E185-1</f>
        <v>6.9531250000001155E-3</v>
      </c>
      <c r="F182" s="7">
        <f ca="1">+'Historical Data'!F186/'Historical Data'!F185-1</f>
        <v>2.6314179058809284E-2</v>
      </c>
      <c r="G182" s="7">
        <f ca="1">+'Historical Data'!G186/'Historical Data'!G185-1</f>
        <v>2.5382858109823658E-3</v>
      </c>
      <c r="H182" s="7">
        <f ca="1">+'Historical Data'!H186/'Historical Data'!H185-1</f>
        <v>1.7111239573870618E-2</v>
      </c>
      <c r="I182" s="7">
        <f ca="1">+'Historical Data'!I186/'Historical Data'!I185-1</f>
        <v>-3.3016921172102087E-4</v>
      </c>
      <c r="J182" s="7">
        <f ca="1">+'Historical Data'!J186/'Historical Data'!J185-1</f>
        <v>8.9764641488779384E-2</v>
      </c>
      <c r="K182" s="7">
        <f ca="1">+'Historical Data'!K186/'Historical Data'!K185-1</f>
        <v>-2.3273657289002658E-2</v>
      </c>
      <c r="L182" s="7">
        <f ca="1">+'Historical Data'!L186/'Historical Data'!L185-1</f>
        <v>-2.6948288419519351E-2</v>
      </c>
      <c r="M182" s="7">
        <f ca="1">+'Historical Data'!M186/'Historical Data'!M185-1</f>
        <v>3.3324586722645044E-2</v>
      </c>
      <c r="N182" s="7">
        <f ca="1">+'Historical Data'!N186/'Historical Data'!N185-1</f>
        <v>-8.396023643202577E-3</v>
      </c>
      <c r="O182" s="7">
        <f ca="1">+'Historical Data'!O186/'Historical Data'!O185-1</f>
        <v>-3.4435261707976839E-4</v>
      </c>
      <c r="P182" s="7">
        <f ca="1">+'Historical Data'!P186/'Historical Data'!P185-1</f>
        <v>-9.2486807029001916E-4</v>
      </c>
    </row>
    <row r="183" spans="1:16" x14ac:dyDescent="0.25">
      <c r="A183" vm="2722">
        <f ca="1"/>
        <v>45607</v>
      </c>
      <c r="B183" s="7">
        <f ca="1">+'Historical Data'!B187/'Historical Data'!B186-1</f>
        <v>8.9595915571882179E-2</v>
      </c>
      <c r="C183" s="7">
        <f ca="1">+'Historical Data'!C187/'Historical Data'!C186-1</f>
        <v>-6.436737438754947E-3</v>
      </c>
      <c r="D183" s="7">
        <f ca="1">+'Historical Data'!D187/'Historical Data'!D186-1</f>
        <v>-1.072087849671044E-2</v>
      </c>
      <c r="E183" s="7">
        <f ca="1">+'Historical Data'!E187/'Historical Data'!E186-1</f>
        <v>6.6723562727906138E-3</v>
      </c>
      <c r="F183" s="7">
        <f ca="1">+'Historical Data'!F187/'Historical Data'!F186-1</f>
        <v>-1.0017291753622315E-2</v>
      </c>
      <c r="G183" s="7">
        <f ca="1">+'Historical Data'!G187/'Historical Data'!G186-1</f>
        <v>9.7476580302136018E-3</v>
      </c>
      <c r="H183" s="7">
        <f ca="1">+'Historical Data'!H187/'Historical Data'!H186-1</f>
        <v>1.5329403549796394E-2</v>
      </c>
      <c r="I183" s="7">
        <f ca="1">+'Historical Data'!I187/'Historical Data'!I186-1</f>
        <v>-5.2844521509372022E-3</v>
      </c>
      <c r="J183" s="7">
        <f ca="1">+'Historical Data'!J187/'Historical Data'!J186-1</f>
        <v>-3.9678553490708146E-2</v>
      </c>
      <c r="K183" s="7">
        <f ca="1">+'Historical Data'!K187/'Historical Data'!K186-1</f>
        <v>1.1586802827965537E-2</v>
      </c>
      <c r="L183" s="7">
        <f ca="1">+'Historical Data'!L187/'Historical Data'!L186-1</f>
        <v>-1.7964071856287456E-2</v>
      </c>
      <c r="M183" s="7">
        <f ca="1">+'Historical Data'!M187/'Historical Data'!M186-1</f>
        <v>3.1488065007618804E-3</v>
      </c>
      <c r="N183" s="7">
        <f ca="1">+'Historical Data'!N187/'Historical Data'!N186-1</f>
        <v>-1.6053647632594981E-2</v>
      </c>
      <c r="O183" s="7">
        <f ca="1">+'Historical Data'!O187/'Historical Data'!O186-1</f>
        <v>9.8174302445745987E-3</v>
      </c>
      <c r="P183" s="7">
        <f ca="1">+'Historical Data'!P187/'Historical Data'!P186-1</f>
        <v>-2.5756915704639449E-2</v>
      </c>
    </row>
    <row r="184" spans="1:16" x14ac:dyDescent="0.25">
      <c r="A184" vm="2738">
        <f ca="1"/>
        <v>45608</v>
      </c>
      <c r="B184" s="7">
        <f ca="1">+'Historical Data'!B188/'Historical Data'!B187-1</f>
        <v>-6.1457142857142877E-2</v>
      </c>
      <c r="C184" s="7">
        <f ca="1">+'Historical Data'!C188/'Historical Data'!C187-1</f>
        <v>1.000773544768907E-2</v>
      </c>
      <c r="D184" s="7">
        <f ca="1">+'Historical Data'!D188/'Historical Data'!D187-1</f>
        <v>1.2009282074591399E-2</v>
      </c>
      <c r="E184" s="7">
        <f ca="1">+'Historical Data'!E188/'Historical Data'!E187-1</f>
        <v>-1.4335260115606929E-2</v>
      </c>
      <c r="F184" s="7">
        <f ca="1">+'Historical Data'!F188/'Historical Data'!F187-1</f>
        <v>-1.1443714991266063E-3</v>
      </c>
      <c r="G184" s="7">
        <f ca="1">+'Historical Data'!G188/'Historical Data'!G187-1</f>
        <v>1.1283379999165177E-3</v>
      </c>
      <c r="H184" s="7">
        <f ca="1">+'Historical Data'!H188/'Historical Data'!H187-1</f>
        <v>-1.6921231507397105E-2</v>
      </c>
      <c r="I184" s="7">
        <f ca="1">+'Historical Data'!I188/'Historical Data'!I187-1</f>
        <v>-9.9609861376281916E-4</v>
      </c>
      <c r="J184" s="7">
        <f ca="1">+'Historical Data'!J188/'Historical Data'!J187-1</f>
        <v>-2.3535564853556457E-2</v>
      </c>
      <c r="K184" s="7">
        <f ca="1">+'Historical Data'!K188/'Historical Data'!K187-1</f>
        <v>-3.1644340904678825E-2</v>
      </c>
      <c r="L184" s="7">
        <f ca="1">+'Historical Data'!L188/'Historical Data'!L187-1</f>
        <v>-1.9054878048779811E-3</v>
      </c>
      <c r="M184" s="7">
        <f ca="1">+'Historical Data'!M188/'Historical Data'!M187-1</f>
        <v>2.9364115026324633E-3</v>
      </c>
      <c r="N184" s="7">
        <f ca="1">+'Historical Data'!N188/'Historical Data'!N187-1</f>
        <v>2.0859149111937203E-2</v>
      </c>
      <c r="O184" s="7">
        <f ca="1">+'Historical Data'!O188/'Historical Data'!O187-1</f>
        <v>1.3644891693671557E-3</v>
      </c>
      <c r="P184" s="7">
        <f ca="1">+'Historical Data'!P188/'Historical Data'!P187-1</f>
        <v>-1.5035492705829712E-2</v>
      </c>
    </row>
    <row r="185" spans="1:16" x14ac:dyDescent="0.25">
      <c r="A185" vm="2753">
        <f ca="1"/>
        <v>45609</v>
      </c>
      <c r="B185" s="7">
        <f ca="1">+'Historical Data'!B189/'Historical Data'!B188-1</f>
        <v>5.3274072270084183E-3</v>
      </c>
      <c r="C185" s="7">
        <f ca="1">+'Historical Data'!C189/'Historical Data'!C188-1</f>
        <v>2.4843233928485864E-2</v>
      </c>
      <c r="D185" s="7">
        <f ca="1">+'Historical Data'!D189/'Historical Data'!D188-1</f>
        <v>5.1296598349999112E-3</v>
      </c>
      <c r="E185" s="7">
        <f ca="1">+'Historical Data'!E189/'Historical Data'!E188-1</f>
        <v>9.4351917012016617E-3</v>
      </c>
      <c r="F185" s="7">
        <f ca="1">+'Historical Data'!F189/'Historical Data'!F188-1</f>
        <v>4.4621321755908827E-3</v>
      </c>
      <c r="G185" s="7">
        <f ca="1">+'Historical Data'!G189/'Historical Data'!G188-1</f>
        <v>6.6789113374519093E-3</v>
      </c>
      <c r="H185" s="7">
        <f ca="1">+'Historical Data'!H189/'Historical Data'!H188-1</f>
        <v>-1.4316625180991305E-2</v>
      </c>
      <c r="I185" s="7">
        <f ca="1">+'Historical Data'!I189/'Historical Data'!I188-1</f>
        <v>9.3061902783548867E-3</v>
      </c>
      <c r="J185" s="7">
        <f ca="1">+'Historical Data'!J189/'Historical Data'!J188-1</f>
        <v>-9.1055168719872404E-3</v>
      </c>
      <c r="K185" s="7">
        <f ca="1">+'Historical Data'!K189/'Historical Data'!K188-1</f>
        <v>-2.0315423683507028E-2</v>
      </c>
      <c r="L185" s="7">
        <f ca="1">+'Historical Data'!L189/'Historical Data'!L188-1</f>
        <v>2.0236731576937617E-2</v>
      </c>
      <c r="M185" s="7">
        <f ca="1">+'Historical Data'!M189/'Historical Data'!M188-1</f>
        <v>-4.0383644623926962E-3</v>
      </c>
      <c r="N185" s="7">
        <f ca="1">+'Historical Data'!N189/'Historical Data'!N188-1</f>
        <v>-1.3621956976195171E-2</v>
      </c>
      <c r="O185" s="7">
        <f ca="1">+'Historical Data'!O189/'Historical Data'!O188-1</f>
        <v>8.0054505195026326E-3</v>
      </c>
      <c r="P185" s="7">
        <f ca="1">+'Historical Data'!P189/'Historical Data'!P188-1</f>
        <v>-1.4981273408239626E-2</v>
      </c>
    </row>
    <row r="186" spans="1:16" x14ac:dyDescent="0.25">
      <c r="A186" vm="2768">
        <f ca="1"/>
        <v>45610</v>
      </c>
      <c r="B186" s="7">
        <f ca="1">+'Historical Data'!B190/'Historical Data'!B189-1</f>
        <v>-5.7715600775193776E-2</v>
      </c>
      <c r="C186" s="7">
        <f ca="1">+'Historical Data'!C190/'Historical Data'!C189-1</f>
        <v>-1.2237272302662361E-2</v>
      </c>
      <c r="D186" s="7">
        <f ca="1">+'Historical Data'!D190/'Historical Data'!D189-1</f>
        <v>3.9746001881466597E-3</v>
      </c>
      <c r="E186" s="7">
        <f ca="1">+'Historical Data'!E190/'Historical Data'!E189-1</f>
        <v>3.0209920214825381E-3</v>
      </c>
      <c r="F186" s="7">
        <f ca="1">+'Historical Data'!F190/'Historical Data'!F189-1</f>
        <v>3.0015608116220616E-3</v>
      </c>
      <c r="G186" s="7">
        <f ca="1">+'Historical Data'!G190/'Historical Data'!G189-1</f>
        <v>2.9441034997512716E-3</v>
      </c>
      <c r="H186" s="7">
        <f ca="1">+'Historical Data'!H190/'Historical Data'!H189-1</f>
        <v>-2.0994602802581475E-2</v>
      </c>
      <c r="I186" s="7">
        <f ca="1">+'Historical Data'!I190/'Historical Data'!I189-1</f>
        <v>-7.4915617024780001E-3</v>
      </c>
      <c r="J186" s="7">
        <f ca="1">+'Historical Data'!J190/'Historical Data'!J189-1</f>
        <v>-5.4054054054064604E-4</v>
      </c>
      <c r="K186" s="7">
        <f ca="1">+'Historical Data'!K190/'Historical Data'!K189-1</f>
        <v>-8.45839017735317E-3</v>
      </c>
      <c r="L186" s="7">
        <f ca="1">+'Historical Data'!L190/'Historical Data'!L189-1</f>
        <v>-2.6197604790419105E-2</v>
      </c>
      <c r="M186" s="7">
        <f ca="1">+'Historical Data'!M190/'Historical Data'!M189-1</f>
        <v>-7.7040040547390332E-3</v>
      </c>
      <c r="N186" s="7">
        <f ca="1">+'Historical Data'!N190/'Historical Data'!N189-1</f>
        <v>3.3499692349763244E-3</v>
      </c>
      <c r="O186" s="7">
        <f ca="1">+'Historical Data'!O190/'Historical Data'!O189-1</f>
        <v>-2.1290976681311191E-2</v>
      </c>
      <c r="P186" s="7">
        <f ca="1">+'Historical Data'!P190/'Historical Data'!P189-1</f>
        <v>-1.8435303606406328E-2</v>
      </c>
    </row>
    <row r="187" spans="1:16" x14ac:dyDescent="0.25">
      <c r="A187" vm="2782">
        <f ca="1"/>
        <v>45611</v>
      </c>
      <c r="B187" s="7">
        <f ca="1">+'Historical Data'!B191/'Historical Data'!B190-1</f>
        <v>3.0657497268462119E-2</v>
      </c>
      <c r="C187" s="7">
        <f ca="1">+'Historical Data'!C191/'Historical Data'!C190-1</f>
        <v>-4.1942500472857858E-2</v>
      </c>
      <c r="D187" s="7">
        <f ca="1">+'Historical Data'!D191/'Historical Data'!D190-1</f>
        <v>-2.7852608400290468E-2</v>
      </c>
      <c r="E187" s="7">
        <f ca="1">+'Historical Data'!E191/'Historical Data'!E190-1</f>
        <v>-2.4378314369561838E-2</v>
      </c>
      <c r="F187" s="7">
        <f ca="1">+'Historical Data'!F191/'Historical Data'!F190-1</f>
        <v>1.4723485755326671E-2</v>
      </c>
      <c r="G187" s="7">
        <f ca="1">+'Historical Data'!G191/'Historical Data'!G190-1</f>
        <v>1.4222516227725635E-2</v>
      </c>
      <c r="H187" s="7">
        <f ca="1">+'Historical Data'!H191/'Historical Data'!H190-1</f>
        <v>-1.5510410520104267E-3</v>
      </c>
      <c r="I187" s="7">
        <f ca="1">+'Historical Data'!I191/'Historical Data'!I190-1</f>
        <v>-1.036828135368284E-2</v>
      </c>
      <c r="J187" s="7">
        <f ca="1">+'Historical Data'!J191/'Historical Data'!J190-1</f>
        <v>-1.6224986479176362E-3</v>
      </c>
      <c r="K187" s="7">
        <f ca="1">+'Historical Data'!K191/'Historical Data'!K190-1</f>
        <v>-1.9262520638414493E-3</v>
      </c>
      <c r="L187" s="7">
        <f ca="1">+'Historical Data'!L191/'Historical Data'!L190-1</f>
        <v>-4.6887009992313544E-2</v>
      </c>
      <c r="M187" s="7">
        <f ca="1">+'Historical Data'!M191/'Historical Data'!M190-1</f>
        <v>5.6185514352844468E-3</v>
      </c>
      <c r="N187" s="7">
        <f ca="1">+'Historical Data'!N191/'Historical Data'!N190-1</f>
        <v>-3.2570182611065701E-2</v>
      </c>
      <c r="O187" s="7">
        <f ca="1">+'Historical Data'!O191/'Historical Data'!O190-1</f>
        <v>-7.941988950276313E-3</v>
      </c>
      <c r="P187" s="7">
        <f ca="1">+'Historical Data'!P191/'Historical Data'!P190-1</f>
        <v>-3.2515553468716929E-2</v>
      </c>
    </row>
    <row r="188" spans="1:16" x14ac:dyDescent="0.25">
      <c r="A188" vm="2795">
        <f ca="1"/>
        <v>45614</v>
      </c>
      <c r="B188" s="7">
        <f ca="1">+'Historical Data'!B192/'Historical Data'!B191-1</f>
        <v>5.6186081317036507E-2</v>
      </c>
      <c r="C188" s="7">
        <f ca="1">+'Historical Data'!C192/'Historical Data'!C191-1</f>
        <v>-4.4913873945018334E-3</v>
      </c>
      <c r="D188" s="7">
        <f ca="1">+'Historical Data'!D192/'Historical Data'!D191-1</f>
        <v>1.8313253012047781E-3</v>
      </c>
      <c r="E188" s="7">
        <f ca="1">+'Historical Data'!E192/'Historical Data'!E191-1</f>
        <v>-9.6044750521121491E-3</v>
      </c>
      <c r="F188" s="7">
        <f ca="1">+'Historical Data'!F192/'Historical Data'!F191-1</f>
        <v>7.13695882977472E-3</v>
      </c>
      <c r="G188" s="7">
        <f ca="1">+'Historical Data'!G192/'Historical Data'!G191-1</f>
        <v>-1.1414129061187994E-3</v>
      </c>
      <c r="H188" s="7">
        <f ca="1">+'Historical Data'!H192/'Historical Data'!H191-1</f>
        <v>-4.3564155817841232E-3</v>
      </c>
      <c r="I188" s="7">
        <f ca="1">+'Historical Data'!I192/'Historical Data'!I191-1</f>
        <v>8.3815271142402281E-3</v>
      </c>
      <c r="J188" s="7">
        <f ca="1">+'Historical Data'!J192/'Historical Data'!J191-1</f>
        <v>2.7627302275189392E-2</v>
      </c>
      <c r="K188" s="7">
        <f ca="1">+'Historical Data'!K192/'Historical Data'!K191-1</f>
        <v>4.9627791563275903E-3</v>
      </c>
      <c r="L188" s="7">
        <f ca="1">+'Historical Data'!L192/'Historical Data'!L191-1</f>
        <v>2.4193548387096975E-3</v>
      </c>
      <c r="M188" s="7">
        <f ca="1">+'Historical Data'!M192/'Historical Data'!M191-1</f>
        <v>1.5694839496139812E-2</v>
      </c>
      <c r="N188" s="7">
        <f ca="1">+'Historical Data'!N192/'Historical Data'!N191-1</f>
        <v>-1.288913931539637E-2</v>
      </c>
      <c r="O188" s="7">
        <f ca="1">+'Historical Data'!O192/'Historical Data'!O191-1</f>
        <v>-2.610511660285364E-3</v>
      </c>
      <c r="P188" s="7">
        <f ca="1">+'Historical Data'!P192/'Historical Data'!P191-1</f>
        <v>5.0351856345545176E-3</v>
      </c>
    </row>
    <row r="189" spans="1:16" x14ac:dyDescent="0.25">
      <c r="A189" vm="2810">
        <f ca="1"/>
        <v>45615</v>
      </c>
      <c r="B189" s="7">
        <f ca="1">+'Historical Data'!B193/'Historical Data'!B192-1</f>
        <v>2.1432367007144126E-2</v>
      </c>
      <c r="C189" s="7">
        <f ca="1">+'Historical Data'!C193/'Historical Data'!C192-1</f>
        <v>1.4427367377293221E-2</v>
      </c>
      <c r="D189" s="7">
        <f ca="1">+'Historical Data'!D193/'Historical Data'!D192-1</f>
        <v>4.8826245911102184E-3</v>
      </c>
      <c r="E189" s="7">
        <f ca="1">+'Historical Data'!E193/'Historical Data'!E192-1</f>
        <v>-4.9287331823631986E-3</v>
      </c>
      <c r="F189" s="7">
        <f ca="1">+'Historical Data'!F193/'Historical Data'!F192-1</f>
        <v>5.8565153733480813E-5</v>
      </c>
      <c r="G189" s="7">
        <f ca="1">+'Historical Data'!G193/'Historical Data'!G192-1</f>
        <v>-7.9173978696486236E-3</v>
      </c>
      <c r="H189" s="7">
        <f ca="1">+'Historical Data'!H193/'Historical Data'!H192-1</f>
        <v>-2.1453404562028267E-2</v>
      </c>
      <c r="I189" s="7">
        <f ca="1">+'Historical Data'!I193/'Historical Data'!I192-1</f>
        <v>-1.3963926523148595E-2</v>
      </c>
      <c r="J189" s="7">
        <f ca="1">+'Historical Data'!J193/'Historical Data'!J192-1</f>
        <v>-2.6357406431205543E-3</v>
      </c>
      <c r="K189" s="7">
        <f ca="1">+'Historical Data'!K193/'Historical Data'!K192-1</f>
        <v>-3.2921810699589882E-3</v>
      </c>
      <c r="L189" s="7">
        <f ca="1">+'Historical Data'!L193/'Historical Data'!L192-1</f>
        <v>9.6540627514078992E-3</v>
      </c>
      <c r="M189" s="7">
        <f ca="1">+'Historical Data'!M193/'Historical Data'!M192-1</f>
        <v>-1.68525278791819E-2</v>
      </c>
      <c r="N189" s="7">
        <f ca="1">+'Historical Data'!N193/'Historical Data'!N192-1</f>
        <v>4.8947556189796515E-2</v>
      </c>
      <c r="O189" s="7">
        <f ca="1">+'Historical Data'!O193/'Historical Data'!O192-1</f>
        <v>-5.2346885360321505E-3</v>
      </c>
      <c r="P189" s="7">
        <f ca="1">+'Historical Data'!P193/'Historical Data'!P192-1</f>
        <v>-1.9315506730246401E-3</v>
      </c>
    </row>
    <row r="190" spans="1:16" x14ac:dyDescent="0.25">
      <c r="A190" vm="2825">
        <f ca="1"/>
        <v>45616</v>
      </c>
      <c r="B190" s="7">
        <f ca="1">+'Historical Data'!B194/'Historical Data'!B193-1</f>
        <v>-1.1473988439306471E-2</v>
      </c>
      <c r="C190" s="7">
        <f ca="1">+'Historical Data'!C194/'Historical Data'!C193-1</f>
        <v>-8.4551097209325521E-3</v>
      </c>
      <c r="D190" s="7">
        <f ca="1">+'Historical Data'!D194/'Historical Data'!D193-1</f>
        <v>-5.5051580937791611E-3</v>
      </c>
      <c r="E190" s="7">
        <f ca="1">+'Historical Data'!E194/'Historical Data'!E193-1</f>
        <v>-4.9263721552877948E-3</v>
      </c>
      <c r="F190" s="7">
        <f ca="1">+'Historical Data'!F194/'Historical Data'!F193-1</f>
        <v>7.6130241274308119E-4</v>
      </c>
      <c r="G190" s="7">
        <f ca="1">+'Historical Data'!G194/'Historical Data'!G193-1</f>
        <v>-9.5026533382698286E-3</v>
      </c>
      <c r="H190" s="7">
        <f ca="1">+'Historical Data'!H194/'Historical Data'!H193-1</f>
        <v>4.0727902946273931E-2</v>
      </c>
      <c r="I190" s="7">
        <f ca="1">+'Historical Data'!I194/'Historical Data'!I193-1</f>
        <v>1.4245974879878665E-2</v>
      </c>
      <c r="J190" s="7">
        <f ca="1">+'Historical Data'!J194/'Historical Data'!J193-1</f>
        <v>1.3742071881606588E-2</v>
      </c>
      <c r="K190" s="7">
        <f ca="1">+'Historical Data'!K194/'Historical Data'!K193-1</f>
        <v>1.6515276630884035E-3</v>
      </c>
      <c r="L190" s="7">
        <f ca="1">+'Historical Data'!L194/'Historical Data'!L193-1</f>
        <v>-6.3745019920318224E-3</v>
      </c>
      <c r="M190" s="7">
        <f ca="1">+'Historical Data'!M194/'Historical Data'!M193-1</f>
        <v>3.5096642929806077E-3</v>
      </c>
      <c r="N190" s="7">
        <f ca="1">+'Historical Data'!N194/'Historical Data'!N193-1</f>
        <v>-7.618529351744785E-3</v>
      </c>
      <c r="O190" s="7">
        <f ca="1">+'Historical Data'!O194/'Historical Data'!O193-1</f>
        <v>8.5949833362568562E-3</v>
      </c>
      <c r="P190" s="7">
        <f ca="1">+'Historical Data'!P194/'Historical Data'!P193-1</f>
        <v>-1.270033262775927E-2</v>
      </c>
    </row>
    <row r="191" spans="1:16" x14ac:dyDescent="0.25">
      <c r="A191" vm="2841">
        <f ca="1"/>
        <v>45617</v>
      </c>
      <c r="B191" s="7">
        <f ca="1">+'Historical Data'!B195/'Historical Data'!B194-1</f>
        <v>-6.9876911382041884E-3</v>
      </c>
      <c r="C191" s="7">
        <f ca="1">+'Historical Data'!C195/'Historical Data'!C194-1</f>
        <v>-2.2180599369085119E-2</v>
      </c>
      <c r="D191" s="7">
        <f ca="1">+'Historical Data'!D195/'Historical Data'!D194-1</f>
        <v>-6.3058076006642372E-3</v>
      </c>
      <c r="E191" s="7">
        <f ca="1">+'Historical Data'!E195/'Historical Data'!E194-1</f>
        <v>3.1372760049507509E-2</v>
      </c>
      <c r="F191" s="7">
        <f ca="1">+'Historical Data'!F195/'Historical Data'!F194-1</f>
        <v>1.0884194511089129E-2</v>
      </c>
      <c r="G191" s="7">
        <f ca="1">+'Historical Data'!G195/'Historical Data'!G194-1</f>
        <v>1.6529612094027701E-2</v>
      </c>
      <c r="H191" s="7">
        <f ca="1">+'Historical Data'!H195/'Historical Data'!H194-1</f>
        <v>-5.0124895920066193E-3</v>
      </c>
      <c r="I191" s="7">
        <f ca="1">+'Historical Data'!I195/'Historical Data'!I194-1</f>
        <v>1.338098404255339E-2</v>
      </c>
      <c r="J191" s="7">
        <f ca="1">+'Historical Data'!J195/'Historical Data'!J194-1</f>
        <v>-5.7351407716370595E-3</v>
      </c>
      <c r="K191" s="7">
        <f ca="1">+'Historical Data'!K195/'Historical Data'!K194-1</f>
        <v>5.4960153888432561E-3</v>
      </c>
      <c r="L191" s="7">
        <f ca="1">+'Historical Data'!L195/'Historical Data'!L194-1</f>
        <v>7.6182838813150244E-3</v>
      </c>
      <c r="M191" s="7">
        <f ca="1">+'Historical Data'!M195/'Historical Data'!M194-1</f>
        <v>3.1375133052866433E-2</v>
      </c>
      <c r="N191" s="7">
        <f ca="1">+'Historical Data'!N195/'Historical Data'!N194-1</f>
        <v>5.3464939337857231E-3</v>
      </c>
      <c r="O191" s="7">
        <f ca="1">+'Historical Data'!O195/'Historical Data'!O194-1</f>
        <v>1.0434782608697013E-3</v>
      </c>
      <c r="P191" s="7">
        <f ca="1">+'Historical Data'!P195/'Historical Data'!P194-1</f>
        <v>4.2266462480857747E-3</v>
      </c>
    </row>
    <row r="192" spans="1:16" x14ac:dyDescent="0.25">
      <c r="A192" vm="2857">
        <f ca="1"/>
        <v>45618</v>
      </c>
      <c r="B192" s="7">
        <f ca="1">+'Historical Data'!B196/'Historical Data'!B195-1</f>
        <v>3.8040277941349787E-2</v>
      </c>
      <c r="C192" s="7">
        <f ca="1">+'Historical Data'!C196/'Historical Data'!C195-1</f>
        <v>-6.3514467184191403E-3</v>
      </c>
      <c r="D192" s="7">
        <f ca="1">+'Historical Data'!D196/'Historical Data'!D195-1</f>
        <v>1.0003148690871155E-2</v>
      </c>
      <c r="E192" s="7">
        <f ca="1">+'Historical Data'!E196/'Historical Data'!E195-1</f>
        <v>1.2991756234999485E-2</v>
      </c>
      <c r="F192" s="7">
        <f ca="1">+'Historical Data'!F196/'Historical Data'!F195-1</f>
        <v>2.0434153400868293E-2</v>
      </c>
      <c r="G192" s="7">
        <f ca="1">+'Historical Data'!G196/'Historical Data'!G195-1</f>
        <v>1.548455630004919E-2</v>
      </c>
      <c r="H192" s="7">
        <f ca="1">+'Historical Data'!H196/'Historical Data'!H195-1</f>
        <v>-1.1079683341980617E-2</v>
      </c>
      <c r="I192" s="7">
        <f ca="1">+'Historical Data'!I196/'Historical Data'!I195-1</f>
        <v>-1.148199786762949E-3</v>
      </c>
      <c r="J192" s="7">
        <f ca="1">+'Historical Data'!J196/'Historical Data'!J195-1</f>
        <v>-5.2438384897757206E-4</v>
      </c>
      <c r="K192" s="7">
        <f ca="1">+'Historical Data'!K196/'Historical Data'!K195-1</f>
        <v>-1.8311013938234533E-2</v>
      </c>
      <c r="L192" s="7">
        <f ca="1">+'Historical Data'!L196/'Historical Data'!L195-1</f>
        <v>2.0692399522483029E-2</v>
      </c>
      <c r="M192" s="7">
        <f ca="1">+'Historical Data'!M196/'Historical Data'!M195-1</f>
        <v>1.5726361313153081E-3</v>
      </c>
      <c r="N192" s="7">
        <f ca="1">+'Historical Data'!N196/'Historical Data'!N195-1</f>
        <v>-3.2181086793481972E-2</v>
      </c>
      <c r="O192" s="7">
        <f ca="1">+'Historical Data'!O196/'Historical Data'!O195-1</f>
        <v>1.7199444058373814E-2</v>
      </c>
      <c r="P192" s="7">
        <f ca="1">+'Historical Data'!P196/'Historical Data'!P195-1</f>
        <v>1.76893985604476E-3</v>
      </c>
    </row>
    <row r="193" spans="1:16" x14ac:dyDescent="0.25">
      <c r="A193" vm="2872">
        <f ca="1"/>
        <v>45621</v>
      </c>
      <c r="B193" s="7">
        <f ca="1">+'Historical Data'!B197/'Historical Data'!B196-1</f>
        <v>-3.962446108463813E-2</v>
      </c>
      <c r="C193" s="7">
        <f ca="1">+'Historical Data'!C197/'Historical Data'!C196-1</f>
        <v>2.1966314935064846E-2</v>
      </c>
      <c r="D193" s="7">
        <f ca="1">+'Historical Data'!D197/'Historical Data'!D196-1</f>
        <v>4.2925659472423661E-3</v>
      </c>
      <c r="E193" s="7">
        <f ca="1">+'Historical Data'!E197/'Historical Data'!E196-1</f>
        <v>2.9384496523306547E-2</v>
      </c>
      <c r="F193" s="7">
        <f ca="1">+'Historical Data'!F197/'Historical Data'!F196-1</f>
        <v>6.2968005445880326E-3</v>
      </c>
      <c r="G193" s="7">
        <f ca="1">+'Historical Data'!G197/'Historical Data'!G196-1</f>
        <v>7.0006035003016276E-3</v>
      </c>
      <c r="H193" s="7">
        <f ca="1">+'Historical Data'!H197/'Historical Data'!H196-1</f>
        <v>2.5318597999560044E-2</v>
      </c>
      <c r="I193" s="7">
        <f ca="1">+'Historical Data'!I197/'Historical Data'!I196-1</f>
        <v>-1.4943755644962753E-2</v>
      </c>
      <c r="J193" s="7">
        <f ca="1">+'Historical Data'!J197/'Historical Data'!J196-1</f>
        <v>1.8887722980063026E-2</v>
      </c>
      <c r="K193" s="7">
        <f ca="1">+'Historical Data'!K197/'Historical Data'!K196-1</f>
        <v>4.1759465478841129E-3</v>
      </c>
      <c r="L193" s="7">
        <f ca="1">+'Historical Data'!L197/'Historical Data'!L196-1</f>
        <v>2.0272904483430887E-2</v>
      </c>
      <c r="M193" s="7">
        <f ca="1">+'Historical Data'!M197/'Historical Data'!M196-1</f>
        <v>-8.684985279685975E-3</v>
      </c>
      <c r="N193" s="7">
        <f ca="1">+'Historical Data'!N197/'Historical Data'!N196-1</f>
        <v>-4.1775272983444744E-2</v>
      </c>
      <c r="O193" s="7">
        <f ca="1">+'Historical Data'!O197/'Historical Data'!O196-1</f>
        <v>3.2450896669513618E-3</v>
      </c>
      <c r="P193" s="7">
        <f ca="1">+'Historical Data'!P197/'Historical Data'!P196-1</f>
        <v>3.5925226816051481E-3</v>
      </c>
    </row>
    <row r="194" spans="1:16" x14ac:dyDescent="0.25">
      <c r="A194" vm="2887">
        <f ca="1"/>
        <v>45622</v>
      </c>
      <c r="B194" s="7">
        <f ca="1">+'Historical Data'!B198/'Historical Data'!B197-1</f>
        <v>-1.0632328184528861E-3</v>
      </c>
      <c r="C194" s="7">
        <f ca="1">+'Historical Data'!C198/'Historical Data'!C197-1</f>
        <v>3.1819310002482171E-2</v>
      </c>
      <c r="D194" s="7">
        <f ca="1">+'Historical Data'!D198/'Historical Data'!D197-1</f>
        <v>2.1968050813056639E-2</v>
      </c>
      <c r="E194" s="7">
        <f ca="1">+'Historical Data'!E198/'Historical Data'!E197-1</f>
        <v>-8.9314753196066965E-3</v>
      </c>
      <c r="F194" s="7">
        <f ca="1">+'Historical Data'!F198/'Historical Data'!F197-1</f>
        <v>1.0823608997124978E-2</v>
      </c>
      <c r="G194" s="7">
        <f ca="1">+'Historical Data'!G198/'Historical Data'!G197-1</f>
        <v>-1.2785169203722857E-3</v>
      </c>
      <c r="H194" s="7">
        <f ca="1">+'Historical Data'!H198/'Historical Data'!H197-1</f>
        <v>1.5846029414190443E-3</v>
      </c>
      <c r="I194" s="7">
        <f ca="1">+'Historical Data'!I198/'Historical Data'!I197-1</f>
        <v>-1.6670834375260513E-2</v>
      </c>
      <c r="J194" s="7">
        <f ca="1">+'Historical Data'!J198/'Historical Data'!J197-1</f>
        <v>-2.574665293511913E-3</v>
      </c>
      <c r="K194" s="7">
        <f ca="1">+'Historical Data'!K198/'Historical Data'!K197-1</f>
        <v>-1.1644025505960665E-2</v>
      </c>
      <c r="L194" s="7">
        <f ca="1">+'Historical Data'!L198/'Historical Data'!L197-1</f>
        <v>-1.5284677111196077E-2</v>
      </c>
      <c r="M194" s="7">
        <f ca="1">+'Historical Data'!M198/'Historical Data'!M197-1</f>
        <v>2.8906598029995623E-2</v>
      </c>
      <c r="N194" s="7">
        <f ca="1">+'Historical Data'!N198/'Historical Data'!N197-1</f>
        <v>6.6166740185265027E-3</v>
      </c>
      <c r="O194" s="7">
        <f ca="1">+'Historical Data'!O198/'Historical Data'!O197-1</f>
        <v>1.4470548178413312E-2</v>
      </c>
      <c r="P194" s="7">
        <f ca="1">+'Historical Data'!P198/'Historical Data'!P197-1</f>
        <v>-4.853779881081044E-4</v>
      </c>
    </row>
    <row r="195" spans="1:16" x14ac:dyDescent="0.25">
      <c r="A195" vm="2902">
        <f ca="1"/>
        <v>45623</v>
      </c>
      <c r="B195" s="7">
        <f ca="1">+'Historical Data'!B199/'Historical Data'!B198-1</f>
        <v>-1.5788073204624165E-2</v>
      </c>
      <c r="C195" s="7">
        <f ca="1">+'Historical Data'!C199/'Historical Data'!C198-1</f>
        <v>-1.0199172519965383E-2</v>
      </c>
      <c r="D195" s="7">
        <f ca="1">+'Historical Data'!D199/'Historical Data'!D198-1</f>
        <v>-1.1682515946634275E-2</v>
      </c>
      <c r="E195" s="7">
        <f ca="1">+'Historical Data'!E199/'Historical Data'!E198-1</f>
        <v>-5.5031049628919693E-3</v>
      </c>
      <c r="F195" s="7">
        <f ca="1">+'Historical Data'!F199/'Historical Data'!F198-1</f>
        <v>2.7884669008981788E-4</v>
      </c>
      <c r="G195" s="7">
        <f ca="1">+'Historical Data'!G199/'Historical Data'!G198-1</f>
        <v>-7.2008641036924725E-4</v>
      </c>
      <c r="H195" s="7">
        <f ca="1">+'Historical Data'!H199/'Historical Data'!H198-1</f>
        <v>2.6203464130918341E-3</v>
      </c>
      <c r="I195" s="7">
        <f ca="1">+'Historical Data'!I199/'Historical Data'!I198-1</f>
        <v>-2.6277867254387299E-3</v>
      </c>
      <c r="J195" s="7">
        <f ca="1">+'Historical Data'!J199/'Historical Data'!J198-1</f>
        <v>2.0134228187919545E-2</v>
      </c>
      <c r="K195" s="7">
        <f ca="1">+'Historical Data'!K199/'Historical Data'!K198-1</f>
        <v>3.3941093969144465E-2</v>
      </c>
      <c r="L195" s="7">
        <f ca="1">+'Historical Data'!L199/'Historical Data'!L198-1</f>
        <v>2.3282887077997749E-3</v>
      </c>
      <c r="M195" s="7">
        <f ca="1">+'Historical Data'!M199/'Historical Data'!M198-1</f>
        <v>1.5875306682060497E-3</v>
      </c>
      <c r="N195" s="7">
        <f ca="1">+'Historical Data'!N199/'Historical Data'!N198-1</f>
        <v>-1.1539585159216936E-2</v>
      </c>
      <c r="O195" s="7">
        <f ca="1">+'Historical Data'!O199/'Historical Data'!O198-1</f>
        <v>-5.0344017452593759E-3</v>
      </c>
      <c r="P195" s="7">
        <f ca="1">+'Historical Data'!P199/'Historical Data'!P198-1</f>
        <v>-3.0775767876654259E-2</v>
      </c>
    </row>
    <row r="196" spans="1:16" x14ac:dyDescent="0.25">
      <c r="A196" vm="2917">
        <f ca="1"/>
        <v>45625</v>
      </c>
      <c r="B196" s="7">
        <f ca="1">+'Historical Data'!B200/'Historical Data'!B199-1</f>
        <v>3.6859022499925009E-2</v>
      </c>
      <c r="C196" s="7">
        <f ca="1">+'Historical Data'!C200/'Historical Data'!C199-1</f>
        <v>1.0450082628560287E-2</v>
      </c>
      <c r="D196" s="7">
        <f ca="1">+'Historical Data'!D200/'Historical Data'!D199-1</f>
        <v>1.1111373791341528E-3</v>
      </c>
      <c r="E196" s="7">
        <f ca="1">+'Historical Data'!E200/'Historical Data'!E199-1</f>
        <v>8.7318509493350405E-3</v>
      </c>
      <c r="F196" s="7">
        <f ca="1">+'Historical Data'!F200/'Historical Data'!F199-1</f>
        <v>-5.5753791257817653E-4</v>
      </c>
      <c r="G196" s="7">
        <f ca="1">+'Historical Data'!G200/'Historical Data'!G199-1</f>
        <v>-2.8023539773402995E-4</v>
      </c>
      <c r="H196" s="7">
        <f ca="1">+'Historical Data'!H200/'Historical Data'!H199-1</f>
        <v>2.9915513330485144E-3</v>
      </c>
      <c r="I196" s="7">
        <f ca="1">+'Historical Data'!I200/'Historical Data'!I199-1</f>
        <v>2.5497195308514797E-3</v>
      </c>
      <c r="J196" s="7">
        <f ca="1">+'Historical Data'!J200/'Historical Data'!J199-1</f>
        <v>1.4676113360323928E-2</v>
      </c>
      <c r="K196" s="7">
        <f ca="1">+'Historical Data'!K200/'Historical Data'!K199-1</f>
        <v>5.8057514921324049E-2</v>
      </c>
      <c r="L196" s="7">
        <f ca="1">+'Historical Data'!L200/'Historical Data'!L199-1</f>
        <v>1.4711575687185618E-2</v>
      </c>
      <c r="M196" s="7">
        <f ca="1">+'Historical Data'!M200/'Historical Data'!M199-1</f>
        <v>-3.8904899135446813E-3</v>
      </c>
      <c r="N196" s="7">
        <f ca="1">+'Historical Data'!N200/'Historical Data'!N199-1</f>
        <v>2.1501403871730496E-2</v>
      </c>
      <c r="O196" s="7">
        <f ca="1">+'Historical Data'!O200/'Historical Data'!O199-1</f>
        <v>-1.3493000505987451E-3</v>
      </c>
      <c r="P196" s="7">
        <f ca="1">+'Historical Data'!P200/'Historical Data'!P199-1</f>
        <v>1.509363061313973E-2</v>
      </c>
    </row>
    <row r="197" spans="1:16" x14ac:dyDescent="0.25">
      <c r="A197" vm="2932">
        <f ca="1"/>
        <v>45628</v>
      </c>
      <c r="B197" s="7">
        <f ca="1">+'Historical Data'!B201/'Historical Data'!B200-1</f>
        <v>3.456368061189008E-2</v>
      </c>
      <c r="C197" s="7">
        <f ca="1">+'Historical Data'!C201/'Historical Data'!C200-1</f>
        <v>1.3564866034922352E-2</v>
      </c>
      <c r="D197" s="7">
        <f ca="1">+'Historical Data'!D201/'Historical Data'!D200-1</f>
        <v>1.7758465970811876E-2</v>
      </c>
      <c r="E197" s="7">
        <f ca="1">+'Historical Data'!E201/'Historical Data'!E200-1</f>
        <v>-4.5797684952189055E-3</v>
      </c>
      <c r="F197" s="7">
        <f ca="1">+'Historical Data'!F201/'Historical Data'!F200-1</f>
        <v>2.4545353118374802E-3</v>
      </c>
      <c r="G197" s="7">
        <f ca="1">+'Historical Data'!G201/'Historical Data'!G200-1</f>
        <v>-1.3895563030594249E-2</v>
      </c>
      <c r="H197" s="7">
        <f ca="1">+'Historical Data'!H201/'Historical Data'!H200-1</f>
        <v>-2.7531956735498131E-3</v>
      </c>
      <c r="I197" s="7">
        <f ca="1">+'Historical Data'!I201/'Historical Data'!I200-1</f>
        <v>-9.3251949813499824E-4</v>
      </c>
      <c r="J197" s="7">
        <f ca="1">+'Historical Data'!J201/'Historical Data'!J200-1</f>
        <v>-1.9950124688279391E-3</v>
      </c>
      <c r="K197" s="7">
        <f ca="1">+'Historical Data'!K201/'Historical Data'!K200-1</f>
        <v>1.1025641025641075E-2</v>
      </c>
      <c r="L197" s="7">
        <f ca="1">+'Historical Data'!L201/'Historical Data'!L200-1</f>
        <v>-1.4879816863792472E-2</v>
      </c>
      <c r="M197" s="7">
        <f ca="1">+'Historical Data'!M201/'Historical Data'!M200-1</f>
        <v>-1.4465499783017477E-2</v>
      </c>
      <c r="N197" s="7">
        <f ca="1">+'Historical Data'!N201/'Historical Data'!N200-1</f>
        <v>2.7486437613020165E-3</v>
      </c>
      <c r="O197" s="7">
        <f ca="1">+'Historical Data'!O201/'Historical Data'!O200-1</f>
        <v>3.715588583009577E-3</v>
      </c>
      <c r="P197" s="7">
        <f ca="1">+'Historical Data'!P201/'Historical Data'!P200-1</f>
        <v>2.7332181638696884E-2</v>
      </c>
    </row>
    <row r="198" spans="1:16" x14ac:dyDescent="0.25">
      <c r="A198" vm="2946">
        <f ca="1"/>
        <v>45629</v>
      </c>
      <c r="B198" s="7">
        <f ca="1">+'Historical Data'!B202/'Historical Data'!B201-1</f>
        <v>-1.587834999579929E-2</v>
      </c>
      <c r="C198" s="7">
        <f ca="1">+'Historical Data'!C202/'Historical Data'!C201-1</f>
        <v>1.2956195719235009E-2</v>
      </c>
      <c r="D198" s="7">
        <f ca="1">+'Historical Data'!D202/'Historical Data'!D201-1</f>
        <v>5.104645227156368E-4</v>
      </c>
      <c r="E198" s="7">
        <f ca="1">+'Historical Data'!E202/'Historical Data'!E201-1</f>
        <v>-6.5726275342536944E-4</v>
      </c>
      <c r="F198" s="7">
        <f ca="1">+'Historical Data'!F202/'Historical Data'!F201-1</f>
        <v>-2.3817473567056213E-2</v>
      </c>
      <c r="G198" s="7">
        <f ca="1">+'Historical Data'!G202/'Historical Data'!G201-1</f>
        <v>-5.807106598984757E-3</v>
      </c>
      <c r="H198" s="7">
        <f ca="1">+'Historical Data'!H202/'Historical Data'!H201-1</f>
        <v>-5.4065601787943729E-3</v>
      </c>
      <c r="I198" s="7">
        <f ca="1">+'Historical Data'!I202/'Historical Data'!I201-1</f>
        <v>-1.5273652948663008E-3</v>
      </c>
      <c r="J198" s="7">
        <f ca="1">+'Historical Data'!J202/'Historical Data'!J201-1</f>
        <v>2.2988505747126409E-2</v>
      </c>
      <c r="K198" s="7">
        <f ca="1">+'Historical Data'!K202/'Historical Data'!K201-1</f>
        <v>1.039817397920384E-2</v>
      </c>
      <c r="L198" s="7">
        <f ca="1">+'Historical Data'!L202/'Historical Data'!L201-1</f>
        <v>-1.0069713400464808E-2</v>
      </c>
      <c r="M198" s="7">
        <f ca="1">+'Historical Data'!M202/'Historical Data'!M201-1</f>
        <v>-4.8436811977101701E-3</v>
      </c>
      <c r="N198" s="7">
        <f ca="1">+'Historical Data'!N202/'Historical Data'!N201-1</f>
        <v>1.1757916756834685E-2</v>
      </c>
      <c r="O198" s="7">
        <f ca="1">+'Historical Data'!O202/'Historical Data'!O201-1</f>
        <v>8.4132592966512654E-4</v>
      </c>
      <c r="P198" s="7">
        <f ca="1">+'Historical Data'!P202/'Historical Data'!P201-1</f>
        <v>9.8492583028046976E-3</v>
      </c>
    </row>
    <row r="199" spans="1:16" x14ac:dyDescent="0.25">
      <c r="A199" vm="2961">
        <f ca="1"/>
        <v>45630</v>
      </c>
      <c r="B199" s="7">
        <f ca="1">+'Historical Data'!B203/'Historical Data'!B202-1</f>
        <v>1.8524842069318703E-2</v>
      </c>
      <c r="C199" s="7">
        <f ca="1">+'Historical Data'!C203/'Historical Data'!C202-1</f>
        <v>2.2113943028485794E-2</v>
      </c>
      <c r="D199" s="7">
        <f ca="1">+'Historical Data'!D203/'Historical Data'!D202-1</f>
        <v>1.4424860853432309E-2</v>
      </c>
      <c r="E199" s="7">
        <f ca="1">+'Historical Data'!E203/'Historical Data'!E202-1</f>
        <v>-8.2211878984114195E-3</v>
      </c>
      <c r="F199" s="7">
        <f ca="1">+'Historical Data'!F203/'Historical Data'!F202-1</f>
        <v>-1.7671873218559897E-3</v>
      </c>
      <c r="G199" s="7">
        <f ca="1">+'Historical Data'!G203/'Historical Data'!G202-1</f>
        <v>-5.8001797238786956E-3</v>
      </c>
      <c r="H199" s="7">
        <f ca="1">+'Historical Data'!H203/'Historical Data'!H202-1</f>
        <v>9.1865902218990492E-3</v>
      </c>
      <c r="I199" s="7">
        <f ca="1">+'Historical Data'!I203/'Historical Data'!I202-1</f>
        <v>-2.8809382170476794E-2</v>
      </c>
      <c r="J199" s="7">
        <f ca="1">+'Historical Data'!J203/'Historical Data'!J202-1</f>
        <v>2.5403028822667206E-2</v>
      </c>
      <c r="K199" s="7">
        <f ca="1">+'Historical Data'!K203/'Historical Data'!K202-1</f>
        <v>1.1797188755020116E-2</v>
      </c>
      <c r="L199" s="7">
        <f ca="1">+'Historical Data'!L203/'Historical Data'!L202-1</f>
        <v>-1.2910798122065636E-2</v>
      </c>
      <c r="M199" s="7">
        <f ca="1">+'Historical Data'!M203/'Historical Data'!M202-1</f>
        <v>7.6204523107177291E-3</v>
      </c>
      <c r="N199" s="7">
        <f ca="1">+'Historical Data'!N203/'Historical Data'!N202-1</f>
        <v>3.4792528161984748E-2</v>
      </c>
      <c r="O199" s="7">
        <f ca="1">+'Historical Data'!O203/'Historical Data'!O202-1</f>
        <v>2.353732347007309E-3</v>
      </c>
      <c r="P199" s="7">
        <f ca="1">+'Historical Data'!P203/'Historical Data'!P202-1</f>
        <v>1.433244127267308E-2</v>
      </c>
    </row>
    <row r="200" spans="1:16" x14ac:dyDescent="0.25">
      <c r="A200" vm="2977">
        <f ca="1"/>
        <v>45631</v>
      </c>
      <c r="B200" s="7">
        <f ca="1">+'Historical Data'!B204/'Historical Data'!B203-1</f>
        <v>3.2296817813538992E-2</v>
      </c>
      <c r="C200" s="7">
        <f ca="1">+'Historical Data'!C204/'Historical Data'!C203-1</f>
        <v>1.0955262192886117E-2</v>
      </c>
      <c r="D200" s="7">
        <f ca="1">+'Historical Data'!D204/'Historical Data'!D203-1</f>
        <v>1.1887888070961417E-2</v>
      </c>
      <c r="E200" s="7">
        <f ca="1">+'Historical Data'!E204/'Historical Data'!E203-1</f>
        <v>-1.7420358609431918E-2</v>
      </c>
      <c r="F200" s="7">
        <f ca="1">+'Historical Data'!F204/'Historical Data'!F203-1</f>
        <v>5.2538404431499153E-3</v>
      </c>
      <c r="G200" s="7">
        <f ca="1">+'Historical Data'!G204/'Historical Data'!G203-1</f>
        <v>8.5456039441247356E-3</v>
      </c>
      <c r="H200" s="7">
        <f ca="1">+'Historical Data'!H204/'Historical Data'!H203-1</f>
        <v>-5.2096465233549938E-2</v>
      </c>
      <c r="I200" s="7">
        <f ca="1">+'Historical Data'!I204/'Historical Data'!I203-1</f>
        <v>4.3752187609380488E-3</v>
      </c>
      <c r="J200" s="7">
        <f ca="1">+'Historical Data'!J204/'Historical Data'!J203-1</f>
        <v>-4.2877560743210807E-3</v>
      </c>
      <c r="K200" s="7">
        <f ca="1">+'Historical Data'!K204/'Historical Data'!K203-1</f>
        <v>2.7288514016372556E-3</v>
      </c>
      <c r="L200" s="7">
        <f ca="1">+'Historical Data'!L204/'Historical Data'!L203-1</f>
        <v>1.8628616726119596E-2</v>
      </c>
      <c r="M200" s="7">
        <f ca="1">+'Historical Data'!M204/'Historical Data'!M203-1</f>
        <v>-3.5130519638936208E-3</v>
      </c>
      <c r="N200" s="7">
        <f ca="1">+'Historical Data'!N204/'Historical Data'!N203-1</f>
        <v>-5.5119195259734077E-4</v>
      </c>
      <c r="O200" s="7">
        <f ca="1">+'Historical Data'!O204/'Historical Data'!O203-1</f>
        <v>6.7091580006710672E-3</v>
      </c>
      <c r="P200" s="7">
        <f ca="1">+'Historical Data'!P204/'Historical Data'!P203-1</f>
        <v>-5.2767354596627847E-4</v>
      </c>
    </row>
    <row r="201" spans="1:16" x14ac:dyDescent="0.25">
      <c r="A201" vm="2993">
        <f ca="1"/>
        <v>45632</v>
      </c>
      <c r="B201" s="7">
        <f ca="1">+'Historical Data'!B205/'Historical Data'!B204-1</f>
        <v>5.339792687217515E-2</v>
      </c>
      <c r="C201" s="7">
        <f ca="1">+'Historical Data'!C205/'Historical Data'!C204-1</f>
        <v>2.9381092722738478E-2</v>
      </c>
      <c r="D201" s="7">
        <f ca="1">+'Historical Data'!D205/'Historical Data'!D204-1</f>
        <v>2.1463106050336744E-3</v>
      </c>
      <c r="E201" s="7">
        <f ca="1">+'Historical Data'!E205/'Historical Data'!E204-1</f>
        <v>-7.2681964489673678E-4</v>
      </c>
      <c r="F201" s="7">
        <f ca="1">+'Historical Data'!F205/'Historical Data'!F204-1</f>
        <v>-1.2554678179855783E-2</v>
      </c>
      <c r="G201" s="7">
        <f ca="1">+'Historical Data'!G205/'Historical Data'!G204-1</f>
        <v>7.6584650480691074E-3</v>
      </c>
      <c r="H201" s="7">
        <f ca="1">+'Historical Data'!H205/'Historical Data'!H204-1</f>
        <v>-5.0693472891514268E-2</v>
      </c>
      <c r="I201" s="7">
        <f ca="1">+'Historical Data'!I205/'Historical Data'!I204-1</f>
        <v>-1.0541906255445266E-2</v>
      </c>
      <c r="J201" s="7">
        <f ca="1">+'Historical Data'!J205/'Historical Data'!J204-1</f>
        <v>1.913875598086312E-3</v>
      </c>
      <c r="K201" s="7">
        <f ca="1">+'Historical Data'!K205/'Historical Data'!K204-1</f>
        <v>1.1380504700643224E-2</v>
      </c>
      <c r="L201" s="7">
        <f ca="1">+'Historical Data'!L205/'Historical Data'!L204-1</f>
        <v>1.1673151750972721E-3</v>
      </c>
      <c r="M201" s="7">
        <f ca="1">+'Historical Data'!M205/'Historical Data'!M204-1</f>
        <v>-2.8888997698672814E-3</v>
      </c>
      <c r="N201" s="7">
        <f ca="1">+'Historical Data'!N205/'Historical Data'!N204-1</f>
        <v>-1.8061491796498075E-2</v>
      </c>
      <c r="O201" s="7">
        <f ca="1">+'Historical Data'!O205/'Historical Data'!O204-1</f>
        <v>-2.1659446851050035E-3</v>
      </c>
      <c r="P201" s="7">
        <f ca="1">+'Historical Data'!P205/'Historical Data'!P204-1</f>
        <v>5.3147181322226844E-2</v>
      </c>
    </row>
    <row r="202" spans="1:16" x14ac:dyDescent="0.25">
      <c r="A202" vm="3009">
        <f ca="1"/>
        <v>45635</v>
      </c>
      <c r="B202" s="7">
        <f ca="1">+'Historical Data'!B206/'Historical Data'!B205-1</f>
        <v>1.4644673963311039E-3</v>
      </c>
      <c r="C202" s="7">
        <f ca="1">+'Historical Data'!C206/'Historical Data'!C205-1</f>
        <v>-4.140421970664665E-3</v>
      </c>
      <c r="D202" s="7">
        <f ca="1">+'Historical Data'!D206/'Historical Data'!D205-1</f>
        <v>5.5233672250152299E-3</v>
      </c>
      <c r="E202" s="7">
        <f ca="1">+'Historical Data'!E206/'Historical Data'!E205-1</f>
        <v>-2.2106192851205297E-2</v>
      </c>
      <c r="F202" s="7">
        <f ca="1">+'Historical Data'!F206/'Historical Data'!F205-1</f>
        <v>-1.7431826026924391E-2</v>
      </c>
      <c r="G202" s="7">
        <f ca="1">+'Historical Data'!G206/'Historical Data'!G205-1</f>
        <v>-1.4351552393273015E-2</v>
      </c>
      <c r="H202" s="7">
        <f ca="1">+'Historical Data'!H206/'Historical Data'!H205-1</f>
        <v>2.0013827735526402E-2</v>
      </c>
      <c r="I202" s="7">
        <f ca="1">+'Historical Data'!I206/'Historical Data'!I205-1</f>
        <v>-5.8994452760411376E-3</v>
      </c>
      <c r="J202" s="7">
        <f ca="1">+'Historical Data'!J206/'Historical Data'!J205-1</f>
        <v>7.6408787010506796E-3</v>
      </c>
      <c r="K202" s="7">
        <f ca="1">+'Historical Data'!K206/'Historical Data'!K205-1</f>
        <v>1.0518590998042976E-2</v>
      </c>
      <c r="L202" s="7">
        <f ca="1">+'Historical Data'!L206/'Historical Data'!L205-1</f>
        <v>1.4380101049358718E-2</v>
      </c>
      <c r="M202" s="7">
        <f ca="1">+'Historical Data'!M206/'Historical Data'!M205-1</f>
        <v>-2.2588882341386785E-2</v>
      </c>
      <c r="N202" s="7">
        <f ca="1">+'Historical Data'!N206/'Historical Data'!N205-1</f>
        <v>-2.5484414490311691E-2</v>
      </c>
      <c r="O202" s="7">
        <f ca="1">+'Historical Data'!O206/'Historical Data'!O205-1</f>
        <v>-1.5695441643012176E-2</v>
      </c>
      <c r="P202" s="7">
        <f ca="1">+'Historical Data'!P206/'Historical Data'!P205-1</f>
        <v>-3.2863588258229548E-3</v>
      </c>
    </row>
    <row r="203" spans="1:16" x14ac:dyDescent="0.25">
      <c r="A203" vm="3023">
        <f ca="1"/>
        <v>45636</v>
      </c>
      <c r="B203" s="7">
        <f ca="1">+'Historical Data'!B207/'Historical Data'!B206-1</f>
        <v>2.8733420559788669E-2</v>
      </c>
      <c r="C203" s="7">
        <f ca="1">+'Historical Data'!C207/'Historical Data'!C206-1</f>
        <v>-4.6441682515813154E-3</v>
      </c>
      <c r="D203" s="7">
        <f ca="1">+'Historical Data'!D207/'Historical Data'!D206-1</f>
        <v>-6.031119680731778E-3</v>
      </c>
      <c r="E203" s="7">
        <f ca="1">+'Historical Data'!E207/'Historical Data'!E206-1</f>
        <v>-1.2883517067339478E-2</v>
      </c>
      <c r="F203" s="7">
        <f ca="1">+'Historical Data'!F207/'Historical Data'!F206-1</f>
        <v>8.7241641782305202E-3</v>
      </c>
      <c r="G203" s="7">
        <f ca="1">+'Historical Data'!G207/'Historical Data'!G206-1</f>
        <v>-3.8964767646937348E-3</v>
      </c>
      <c r="H203" s="7">
        <f ca="1">+'Historical Data'!H207/'Historical Data'!H206-1</f>
        <v>8.151689201241652E-3</v>
      </c>
      <c r="I203" s="7">
        <f ca="1">+'Historical Data'!I207/'Historical Data'!I206-1</f>
        <v>-2.037201062887517E-3</v>
      </c>
      <c r="J203" s="7">
        <f ca="1">+'Historical Data'!J207/'Historical Data'!J206-1</f>
        <v>3.1753554502369497E-2</v>
      </c>
      <c r="K203" s="7">
        <f ca="1">+'Historical Data'!K207/'Historical Data'!K206-1</f>
        <v>-7.5042362624062608E-3</v>
      </c>
      <c r="L203" s="7">
        <f ca="1">+'Historical Data'!L207/'Historical Data'!L206-1</f>
        <v>-2.0306513409961702E-2</v>
      </c>
      <c r="M203" s="7">
        <f ca="1">+'Historical Data'!M207/'Historical Data'!M206-1</f>
        <v>-1.99959807073955E-2</v>
      </c>
      <c r="N203" s="7">
        <f ca="1">+'Historical Data'!N207/'Historical Data'!N206-1</f>
        <v>-2.6943303796556517E-2</v>
      </c>
      <c r="O203" s="7">
        <f ca="1">+'Historical Data'!O207/'Historical Data'!O206-1</f>
        <v>-3.9016115351994118E-3</v>
      </c>
      <c r="P203" s="7">
        <f ca="1">+'Historical Data'!P207/'Historical Data'!P206-1</f>
        <v>-3.9845758354755789E-2</v>
      </c>
    </row>
    <row r="204" spans="1:16" x14ac:dyDescent="0.25">
      <c r="A204" vm="3036">
        <f ca="1"/>
        <v>45637</v>
      </c>
      <c r="B204" s="7">
        <f ca="1">+'Historical Data'!B208/'Historical Data'!B207-1</f>
        <v>5.9303224519314579E-2</v>
      </c>
      <c r="C204" s="7">
        <f ca="1">+'Historical Data'!C208/'Historical Data'!C207-1</f>
        <v>2.3195876288659711E-2</v>
      </c>
      <c r="D204" s="7">
        <f ca="1">+'Historical Data'!D208/'Historical Data'!D207-1</f>
        <v>1.2767013285814199E-2</v>
      </c>
      <c r="E204" s="7">
        <f ca="1">+'Historical Data'!E208/'Historical Data'!E207-1</f>
        <v>9.1496232508059272E-4</v>
      </c>
      <c r="F204" s="7">
        <f ca="1">+'Historical Data'!F208/'Historical Data'!F207-1</f>
        <v>-9.5774320872997754E-3</v>
      </c>
      <c r="G204" s="7">
        <f ca="1">+'Historical Data'!G208/'Historical Data'!G207-1</f>
        <v>2.7587910730462184E-3</v>
      </c>
      <c r="H204" s="7">
        <f ca="1">+'Historical Data'!H208/'Historical Data'!H207-1</f>
        <v>-5.6016560802562121E-2</v>
      </c>
      <c r="I204" s="7">
        <f ca="1">+'Historical Data'!I208/'Historical Data'!I207-1</f>
        <v>-6.656607792668856E-3</v>
      </c>
      <c r="J204" s="7">
        <f ca="1">+'Historical Data'!J208/'Historical Data'!J207-1</f>
        <v>1.8373909049150372E-2</v>
      </c>
      <c r="K204" s="7">
        <f ca="1">+'Historical Data'!K208/'Historical Data'!K207-1</f>
        <v>-2.9268292682925745E-3</v>
      </c>
      <c r="L204" s="7">
        <f ca="1">+'Historical Data'!L208/'Historical Data'!L207-1</f>
        <v>-1.329683222526401E-2</v>
      </c>
      <c r="M204" s="7">
        <f ca="1">+'Historical Data'!M208/'Historical Data'!M207-1</f>
        <v>-9.0228647595611555E-3</v>
      </c>
      <c r="N204" s="7">
        <f ca="1">+'Historical Data'!N208/'Historical Data'!N207-1</f>
        <v>3.1391130524913047E-2</v>
      </c>
      <c r="O204" s="7">
        <f ca="1">+'Historical Data'!O208/'Historical Data'!O207-1</f>
        <v>-2.2138964577655962E-3</v>
      </c>
      <c r="P204" s="7">
        <f ca="1">+'Historical Data'!P208/'Historical Data'!P207-1</f>
        <v>6.6294162155869696E-2</v>
      </c>
    </row>
    <row r="205" spans="1:16" x14ac:dyDescent="0.25">
      <c r="A205" vm="3048">
        <f ca="1"/>
        <v>45638</v>
      </c>
      <c r="B205" s="7">
        <f ca="1">+'Historical Data'!B209/'Historical Data'!B208-1</f>
        <v>-1.5702615533111919E-2</v>
      </c>
      <c r="C205" s="7">
        <f ca="1">+'Historical Data'!C209/'Historical Data'!C208-1</f>
        <v>-5.6023625466863347E-3</v>
      </c>
      <c r="D205" s="7">
        <f ca="1">+'Historical Data'!D209/'Historical Data'!D208-1</f>
        <v>1.2695160248556991E-3</v>
      </c>
      <c r="E205" s="7">
        <f ca="1">+'Historical Data'!E209/'Historical Data'!E208-1</f>
        <v>-1.3685002957466219E-2</v>
      </c>
      <c r="F205" s="7">
        <f ca="1">+'Historical Data'!F209/'Historical Data'!F208-1</f>
        <v>1.289339506534537E-3</v>
      </c>
      <c r="G205" s="7">
        <f ca="1">+'Historical Data'!G209/'Historical Data'!G208-1</f>
        <v>-8.2125405494190007E-3</v>
      </c>
      <c r="H205" s="7">
        <f ca="1">+'Historical Data'!H209/'Historical Data'!H208-1</f>
        <v>-3.3306468239836517E-2</v>
      </c>
      <c r="I205" s="7">
        <f ca="1">+'Historical Data'!I209/'Historical Data'!I208-1</f>
        <v>-8.9349535382421408E-4</v>
      </c>
      <c r="J205" s="7">
        <f ca="1">+'Historical Data'!J209/'Historical Data'!J208-1</f>
        <v>9.4722598105547728E-3</v>
      </c>
      <c r="K205" s="7">
        <f ca="1">+'Historical Data'!K209/'Historical Data'!K208-1</f>
        <v>1.6634050880626194E-2</v>
      </c>
      <c r="L205" s="7">
        <f ca="1">+'Historical Data'!L209/'Historical Data'!L208-1</f>
        <v>5.5489496630996005E-3</v>
      </c>
      <c r="M205" s="7">
        <f ca="1">+'Historical Data'!M209/'Historical Data'!M208-1</f>
        <v>-5.1733057423694051E-3</v>
      </c>
      <c r="N205" s="7">
        <f ca="1">+'Historical Data'!N209/'Historical Data'!N208-1</f>
        <v>-1.4141124111693326E-2</v>
      </c>
      <c r="O205" s="7">
        <f ca="1">+'Historical Data'!O209/'Historical Data'!O208-1</f>
        <v>4.4376173408431363E-3</v>
      </c>
      <c r="P205" s="7">
        <f ca="1">+'Historical Data'!P209/'Historical Data'!P208-1</f>
        <v>-1.3864628820960623E-2</v>
      </c>
    </row>
    <row r="206" spans="1:16" x14ac:dyDescent="0.25">
      <c r="A206" vm="3064">
        <f ca="1"/>
        <v>45639</v>
      </c>
      <c r="B206" s="7">
        <f ca="1">+'Historical Data'!B210/'Historical Data'!B209-1</f>
        <v>4.3362831858407169E-2</v>
      </c>
      <c r="C206" s="7">
        <f ca="1">+'Historical Data'!C210/'Historical Data'!C209-1</f>
        <v>-6.5947504039830518E-3</v>
      </c>
      <c r="D206" s="7">
        <f ca="1">+'Historical Data'!D210/'Historical Data'!D209-1</f>
        <v>-5.0938695613489404E-3</v>
      </c>
      <c r="E206" s="7">
        <f ca="1">+'Historical Data'!E210/'Historical Data'!E209-1</f>
        <v>-6.4058879651084366E-3</v>
      </c>
      <c r="F206" s="7">
        <f ca="1">+'Historical Data'!F210/'Historical Data'!F209-1</f>
        <v>1.2291483757682631E-3</v>
      </c>
      <c r="G206" s="7">
        <f ca="1">+'Historical Data'!G210/'Historical Data'!G209-1</f>
        <v>-6.5830331635822192E-3</v>
      </c>
      <c r="H206" s="7">
        <f ca="1">+'Historical Data'!H210/'Historical Data'!H209-1</f>
        <v>9.1515433534978818E-3</v>
      </c>
      <c r="I206" s="7">
        <f ca="1">+'Historical Data'!I210/'Historical Data'!I209-1</f>
        <v>-8.7640851368269157E-3</v>
      </c>
      <c r="J206" s="7">
        <f ca="1">+'Historical Data'!J210/'Historical Data'!J209-1</f>
        <v>-3.0831099195710365E-2</v>
      </c>
      <c r="K206" s="7">
        <f ca="1">+'Historical Data'!K210/'Historical Data'!K209-1</f>
        <v>1.1068334937439861E-2</v>
      </c>
      <c r="L206" s="7">
        <f ca="1">+'Historical Data'!L210/'Historical Data'!L209-1</f>
        <v>8.2774931020890286E-3</v>
      </c>
      <c r="M206" s="7">
        <f ca="1">+'Historical Data'!M210/'Historical Data'!M209-1</f>
        <v>2.059282371294846E-2</v>
      </c>
      <c r="N206" s="7">
        <f ca="1">+'Historical Data'!N210/'Historical Data'!N209-1</f>
        <v>-2.249890782000874E-2</v>
      </c>
      <c r="O206" s="7">
        <f ca="1">+'Historical Data'!O210/'Historical Data'!O209-1</f>
        <v>-3.908241291418979E-3</v>
      </c>
      <c r="P206" s="7">
        <f ca="1">+'Historical Data'!P210/'Historical Data'!P209-1</f>
        <v>0.24432635890623278</v>
      </c>
    </row>
    <row r="207" spans="1:16" x14ac:dyDescent="0.25">
      <c r="A207" vm="3079">
        <f ca="1"/>
        <v>45642</v>
      </c>
      <c r="B207" s="7">
        <f ca="1">+'Historical Data'!B211/'Historical Data'!B210-1</f>
        <v>6.1412557595763584E-2</v>
      </c>
      <c r="C207" s="7">
        <f ca="1">+'Historical Data'!C211/'Historical Data'!C210-1</f>
        <v>2.4048184296139974E-2</v>
      </c>
      <c r="D207" s="7">
        <f ca="1">+'Historical Data'!D211/'Historical Data'!D210-1</f>
        <v>9.6585954792407502E-3</v>
      </c>
      <c r="E207" s="7">
        <f ca="1">+'Historical Data'!E211/'Historical Data'!E210-1</f>
        <v>1.4540466392316542E-3</v>
      </c>
      <c r="F207" s="7">
        <f ca="1">+'Historical Data'!F211/'Historical Data'!F210-1</f>
        <v>4.6767216181442528E-4</v>
      </c>
      <c r="G207" s="7">
        <f ca="1">+'Historical Data'!G211/'Historical Data'!G210-1</f>
        <v>-1.5003750937734317E-3</v>
      </c>
      <c r="H207" s="7">
        <f ca="1">+'Historical Data'!H211/'Historical Data'!H210-1</f>
        <v>-4.2230249000922204E-2</v>
      </c>
      <c r="I207" s="7">
        <f ca="1">+'Historical Data'!I211/'Historical Data'!I210-1</f>
        <v>-2.1382172500902241E-2</v>
      </c>
      <c r="J207" s="7">
        <f ca="1">+'Historical Data'!J211/'Historical Data'!J210-1</f>
        <v>-9.2208390963578468E-3</v>
      </c>
      <c r="K207" s="7">
        <f ca="1">+'Historical Data'!K211/'Historical Data'!K210-1</f>
        <v>-1.3802950975725925E-2</v>
      </c>
      <c r="L207" s="7">
        <f ca="1">+'Historical Data'!L211/'Historical Data'!L210-1</f>
        <v>-1.2900703674745828E-2</v>
      </c>
      <c r="M207" s="7">
        <f ca="1">+'Historical Data'!M211/'Historical Data'!M210-1</f>
        <v>-6.3181493936613764E-3</v>
      </c>
      <c r="N207" s="7">
        <f ca="1">+'Historical Data'!N211/'Historical Data'!N210-1</f>
        <v>-1.6759776536312887E-2</v>
      </c>
      <c r="O207" s="7">
        <f ca="1">+'Historical Data'!O211/'Historical Data'!O210-1</f>
        <v>-4.6059365404298447E-3</v>
      </c>
      <c r="P207" s="7">
        <f ca="1">+'Historical Data'!P211/'Historical Data'!P210-1</f>
        <v>0.11209964412811391</v>
      </c>
    </row>
    <row r="208" spans="1:16" x14ac:dyDescent="0.25">
      <c r="A208" vm="3094">
        <f ca="1"/>
        <v>45643</v>
      </c>
      <c r="B208" s="7">
        <f ca="1">+'Historical Data'!B212/'Historical Data'!B211-1</f>
        <v>3.6369919225951453E-2</v>
      </c>
      <c r="C208" s="7">
        <f ca="1">+'Historical Data'!C212/'Historical Data'!C211-1</f>
        <v>-7.6417807925127645E-3</v>
      </c>
      <c r="D208" s="7">
        <f ca="1">+'Historical Data'!D212/'Historical Data'!D211-1</f>
        <v>6.3553223056311836E-3</v>
      </c>
      <c r="E208" s="7">
        <f ca="1">+'Historical Data'!E212/'Historical Data'!E211-1</f>
        <v>-6.1364819329916553E-3</v>
      </c>
      <c r="F208" s="7">
        <f ca="1">+'Historical Data'!F212/'Historical Data'!F211-1</f>
        <v>-4.7329671613881574E-3</v>
      </c>
      <c r="G208" s="7">
        <f ca="1">+'Historical Data'!G212/'Historical Data'!G211-1</f>
        <v>-5.0922447616662536E-3</v>
      </c>
      <c r="H208" s="7">
        <f ca="1">+'Historical Data'!H212/'Historical Data'!H211-1</f>
        <v>-2.6038114343029162E-2</v>
      </c>
      <c r="I208" s="7">
        <f ca="1">+'Historical Data'!I212/'Historical Data'!I211-1</f>
        <v>-4.240803908914903E-3</v>
      </c>
      <c r="J208" s="7">
        <f ca="1">+'Historical Data'!J212/'Historical Data'!J211-1</f>
        <v>1.1167985109353351E-2</v>
      </c>
      <c r="K208" s="7">
        <f ca="1">+'Historical Data'!K212/'Historical Data'!K211-1</f>
        <v>4.8262548262556493E-4</v>
      </c>
      <c r="L208" s="7">
        <f ca="1">+'Historical Data'!L212/'Historical Data'!L211-1</f>
        <v>4.6732673267326774E-2</v>
      </c>
      <c r="M208" s="7">
        <f ca="1">+'Historical Data'!M212/'Historical Data'!M211-1</f>
        <v>-8.3068403240693645E-3</v>
      </c>
      <c r="N208" s="7">
        <f ca="1">+'Historical Data'!N212/'Historical Data'!N211-1</f>
        <v>-1.2196969696969817E-2</v>
      </c>
      <c r="O208" s="7">
        <f ca="1">+'Historical Data'!O212/'Historical Data'!O211-1</f>
        <v>2.9134532990573447E-3</v>
      </c>
      <c r="P208" s="7">
        <f ca="1">+'Historical Data'!P212/'Historical Data'!P211-1</f>
        <v>-3.9080000000000004E-2</v>
      </c>
    </row>
    <row r="209" spans="1:16" x14ac:dyDescent="0.25">
      <c r="A209" vm="3109">
        <f ca="1"/>
        <v>45644</v>
      </c>
      <c r="B209" s="7">
        <f ca="1">+'Historical Data'!B213/'Historical Data'!B212-1</f>
        <v>-8.2794981869712014E-2</v>
      </c>
      <c r="C209" s="7">
        <f ca="1">+'Historical Data'!C213/'Historical Data'!C212-1</f>
        <v>-4.5987454034176922E-2</v>
      </c>
      <c r="D209" s="7">
        <f ca="1">+'Historical Data'!D213/'Historical Data'!D212-1</f>
        <v>-3.7561061479558178E-2</v>
      </c>
      <c r="E209" s="7">
        <f ca="1">+'Historical Data'!E213/'Historical Data'!E212-1</f>
        <v>-3.894815182336886E-2</v>
      </c>
      <c r="F209" s="7">
        <f ca="1">+'Historical Data'!F213/'Historical Data'!F212-1</f>
        <v>-7.3386954734926402E-3</v>
      </c>
      <c r="G209" s="7">
        <f ca="1">+'Historical Data'!G213/'Historical Data'!G212-1</f>
        <v>-3.3520724953851389E-2</v>
      </c>
      <c r="H209" s="7">
        <f ca="1">+'Historical Data'!H213/'Historical Data'!H212-1</f>
        <v>2.9246992914813141E-2</v>
      </c>
      <c r="I209" s="7">
        <f ca="1">+'Historical Data'!I213/'Historical Data'!I212-1</f>
        <v>-1.4720859179705559E-2</v>
      </c>
      <c r="J209" s="7">
        <f ca="1">+'Historical Data'!J213/'Historical Data'!J212-1</f>
        <v>-3.7735849056603765E-2</v>
      </c>
      <c r="K209" s="7">
        <f ca="1">+'Historical Data'!K213/'Historical Data'!K212-1</f>
        <v>-1.8572117703810953E-2</v>
      </c>
      <c r="L209" s="7">
        <f ca="1">+'Historical Data'!L213/'Historical Data'!L212-1</f>
        <v>-2.0431328036322305E-2</v>
      </c>
      <c r="M209" s="7">
        <f ca="1">+'Historical Data'!M213/'Historical Data'!M212-1</f>
        <v>-2.1458117890382655E-2</v>
      </c>
      <c r="N209" s="7">
        <f ca="1">+'Historical Data'!N213/'Historical Data'!N212-1</f>
        <v>-1.135056369353471E-2</v>
      </c>
      <c r="O209" s="7">
        <f ca="1">+'Historical Data'!O213/'Historical Data'!O212-1</f>
        <v>-1.6917293233082775E-2</v>
      </c>
      <c r="P209" s="7">
        <f ca="1">+'Historical Data'!P213/'Historical Data'!P212-1</f>
        <v>-6.9142072180826686E-2</v>
      </c>
    </row>
    <row r="210" spans="1:16" x14ac:dyDescent="0.25">
      <c r="A210" vm="3123">
        <f ca="1"/>
        <v>45645</v>
      </c>
      <c r="B210" s="7">
        <f ca="1">+'Historical Data'!B214/'Historical Data'!B213-1</f>
        <v>-8.9973416944992834E-3</v>
      </c>
      <c r="C210" s="7">
        <f ca="1">+'Historical Data'!C214/'Historical Data'!C213-1</f>
        <v>1.2561218937057861E-2</v>
      </c>
      <c r="D210" s="7">
        <f ca="1">+'Historical Data'!D214/'Historical Data'!D213-1</f>
        <v>-8.2306408468413306E-4</v>
      </c>
      <c r="E210" s="7">
        <f ca="1">+'Historical Data'!E214/'Historical Data'!E213-1</f>
        <v>-1.8011816669534886E-2</v>
      </c>
      <c r="F210" s="7">
        <f ca="1">+'Historical Data'!F214/'Historical Data'!F213-1</f>
        <v>6.5057960728642783E-4</v>
      </c>
      <c r="G210" s="7">
        <f ca="1">+'Historical Data'!G214/'Historical Data'!G213-1</f>
        <v>1.1242783348526242E-2</v>
      </c>
      <c r="H210" s="7">
        <f ca="1">+'Historical Data'!H214/'Historical Data'!H213-1</f>
        <v>-2.0951732970463488E-2</v>
      </c>
      <c r="I210" s="7">
        <f ca="1">+'Historical Data'!I214/'Historical Data'!I213-1</f>
        <v>-8.5510242435632433E-3</v>
      </c>
      <c r="J210" s="7">
        <f ca="1">+'Historical Data'!J214/'Historical Data'!J213-1</f>
        <v>-1.1956001912960312E-2</v>
      </c>
      <c r="K210" s="7">
        <f ca="1">+'Historical Data'!K214/'Historical Data'!K213-1</f>
        <v>-5.6524944703857383E-3</v>
      </c>
      <c r="L210" s="7">
        <f ca="1">+'Historical Data'!L214/'Historical Data'!L213-1</f>
        <v>-4.6349942062572369E-3</v>
      </c>
      <c r="M210" s="7">
        <f ca="1">+'Historical Data'!M214/'Historical Data'!M213-1</f>
        <v>2.8533685601055403E-3</v>
      </c>
      <c r="N210" s="7">
        <f ca="1">+'Historical Data'!N214/'Historical Data'!N213-1</f>
        <v>1.3730509657901013E-2</v>
      </c>
      <c r="O210" s="7">
        <f ca="1">+'Historical Data'!O214/'Historical Data'!O213-1</f>
        <v>1.7382235355467568E-3</v>
      </c>
      <c r="P210" s="7">
        <f ca="1">+'Historical Data'!P214/'Historical Data'!P213-1</f>
        <v>-2.3700921205616732E-2</v>
      </c>
    </row>
    <row r="211" spans="1:16" x14ac:dyDescent="0.25">
      <c r="A211" vm="3138">
        <f ca="1"/>
        <v>45646</v>
      </c>
      <c r="B211" s="7">
        <f ca="1">+'Historical Data'!B215/'Historical Data'!B214-1</f>
        <v>-3.4642455923149296E-2</v>
      </c>
      <c r="C211" s="7">
        <f ca="1">+'Historical Data'!C215/'Historical Data'!C214-1</f>
        <v>7.2999238658246757E-3</v>
      </c>
      <c r="D211" s="7">
        <f ca="1">+'Historical Data'!D215/'Historical Data'!D214-1</f>
        <v>-9.8391414777010411E-4</v>
      </c>
      <c r="E211" s="7">
        <f ca="1">+'Historical Data'!E215/'Historical Data'!E214-1</f>
        <v>9.0250598749928024E-3</v>
      </c>
      <c r="F211" s="7">
        <f ca="1">+'Historical Data'!F215/'Historical Data'!F214-1</f>
        <v>-6.678881730598718E-3</v>
      </c>
      <c r="G211" s="7">
        <f ca="1">+'Historical Data'!G215/'Historical Data'!G214-1</f>
        <v>1.9917582417582347E-2</v>
      </c>
      <c r="H211" s="7">
        <f ca="1">+'Historical Data'!H215/'Historical Data'!H214-1</f>
        <v>2.2238119570771486E-2</v>
      </c>
      <c r="I211" s="7">
        <f ca="1">+'Historical Data'!I215/'Historical Data'!I214-1</f>
        <v>3.4119988626670761E-3</v>
      </c>
      <c r="J211" s="7">
        <f ca="1">+'Historical Data'!J215/'Historical Data'!J214-1</f>
        <v>1.742497579864466E-2</v>
      </c>
      <c r="K211" s="7">
        <f ca="1">+'Historical Data'!K215/'Historical Data'!K214-1</f>
        <v>-9.8863074641619697E-4</v>
      </c>
      <c r="L211" s="7">
        <f ca="1">+'Historical Data'!L215/'Historical Data'!L214-1</f>
        <v>2.2894838960030972E-2</v>
      </c>
      <c r="M211" s="7">
        <f ca="1">+'Historical Data'!M215/'Historical Data'!M214-1</f>
        <v>1.9864060277148488E-2</v>
      </c>
      <c r="N211" s="7">
        <f ca="1">+'Historical Data'!N215/'Historical Data'!N214-1</f>
        <v>3.0762167125803375E-2</v>
      </c>
      <c r="O211" s="7">
        <f ca="1">+'Historical Data'!O215/'Historical Data'!O214-1</f>
        <v>1.5443345479784876E-2</v>
      </c>
      <c r="P211" s="7">
        <f ca="1">+'Historical Data'!P215/'Historical Data'!P214-1</f>
        <v>1.1313668010260125E-2</v>
      </c>
    </row>
    <row r="212" spans="1:16" x14ac:dyDescent="0.25">
      <c r="A212" vm="3151">
        <f ca="1"/>
        <v>45649</v>
      </c>
      <c r="B212" s="7">
        <f ca="1">+'Historical Data'!B216/'Historical Data'!B215-1</f>
        <v>2.2657103500688835E-2</v>
      </c>
      <c r="C212" s="7">
        <f ca="1">+'Historical Data'!C216/'Historical Data'!C215-1</f>
        <v>6.224435354793556E-4</v>
      </c>
      <c r="D212" s="7">
        <f ca="1">+'Historical Data'!D216/'Historical Data'!D215-1</f>
        <v>-3.0920751259735368E-3</v>
      </c>
      <c r="E212" s="7">
        <f ca="1">+'Historical Data'!E216/'Historical Data'!E215-1</f>
        <v>-1.8236026283036111E-3</v>
      </c>
      <c r="F212" s="7">
        <f ca="1">+'Historical Data'!F216/'Historical Data'!F215-1</f>
        <v>2.9751279305023637E-4</v>
      </c>
      <c r="G212" s="7">
        <f ca="1">+'Historical Data'!G216/'Historical Data'!G215-1</f>
        <v>3.3249158249157862E-3</v>
      </c>
      <c r="H212" s="7">
        <f ca="1">+'Historical Data'!H216/'Historical Data'!H215-1</f>
        <v>1.2416771639373714E-2</v>
      </c>
      <c r="I212" s="7">
        <f ca="1">+'Historical Data'!I216/'Historical Data'!I215-1</f>
        <v>4.0615849626899347E-3</v>
      </c>
      <c r="J212" s="7">
        <f ca="1">+'Historical Data'!J216/'Historical Data'!J215-1</f>
        <v>6.6603235014273121E-3</v>
      </c>
      <c r="K212" s="7">
        <f ca="1">+'Historical Data'!K216/'Historical Data'!K215-1</f>
        <v>-8.9064819396338368E-3</v>
      </c>
      <c r="L212" s="7">
        <f ca="1">+'Historical Data'!L216/'Historical Data'!L215-1</f>
        <v>1.3277693474962105E-2</v>
      </c>
      <c r="M212" s="7">
        <f ca="1">+'Historical Data'!M216/'Historical Data'!M215-1</f>
        <v>3.6164496796864398E-4</v>
      </c>
      <c r="N212" s="7">
        <f ca="1">+'Historical Data'!N216/'Historical Data'!N215-1</f>
        <v>3.6896807720861124E-2</v>
      </c>
      <c r="O212" s="7">
        <f ca="1">+'Historical Data'!O216/'Historical Data'!O215-1</f>
        <v>7.8605604921393457E-3</v>
      </c>
      <c r="P212" s="7">
        <f ca="1">+'Historical Data'!P216/'Historical Data'!P215-1</f>
        <v>5.2357443724806441E-2</v>
      </c>
    </row>
    <row r="213" spans="1:16" x14ac:dyDescent="0.25">
      <c r="A213" vm="3167">
        <f ca="1"/>
        <v>45650</v>
      </c>
      <c r="B213" s="7">
        <f ca="1">+'Historical Data'!B217/'Historical Data'!B216-1</f>
        <v>7.3571760334417036E-2</v>
      </c>
      <c r="C213" s="7">
        <f ca="1">+'Historical Data'!C217/'Historical Data'!C216-1</f>
        <v>1.7728605705145339E-2</v>
      </c>
      <c r="D213" s="7">
        <f ca="1">+'Historical Data'!D217/'Historical Data'!D216-1</f>
        <v>9.3739230327398726E-3</v>
      </c>
      <c r="E213" s="7">
        <f ca="1">+'Historical Data'!E217/'Historical Data'!E216-1</f>
        <v>4.8718246143140131E-3</v>
      </c>
      <c r="F213" s="7">
        <f ca="1">+'Historical Data'!F217/'Historical Data'!F216-1</f>
        <v>4.9372434715364566E-3</v>
      </c>
      <c r="G213" s="7">
        <f ca="1">+'Historical Data'!G217/'Historical Data'!G216-1</f>
        <v>1.6443642770250566E-2</v>
      </c>
      <c r="H213" s="7">
        <f ca="1">+'Historical Data'!H217/'Historical Data'!H216-1</f>
        <v>-4.739898092189776E-4</v>
      </c>
      <c r="I213" s="7">
        <f ca="1">+'Historical Data'!I217/'Historical Data'!I216-1</f>
        <v>9.4073377234260569E-4</v>
      </c>
      <c r="J213" s="7">
        <f ca="1">+'Historical Data'!J217/'Historical Data'!J216-1</f>
        <v>-9.4517958412099201E-4</v>
      </c>
      <c r="K213" s="7">
        <f ca="1">+'Historical Data'!K217/'Historical Data'!K216-1</f>
        <v>2.2466300549175422E-3</v>
      </c>
      <c r="L213" s="7">
        <f ca="1">+'Historical Data'!L217/'Historical Data'!L216-1</f>
        <v>1.123174840883534E-3</v>
      </c>
      <c r="M213" s="7">
        <f ca="1">+'Historical Data'!M217/'Historical Data'!M216-1</f>
        <v>9.7608841605123509E-3</v>
      </c>
      <c r="N213" s="7">
        <f ca="1">+'Historical Data'!N217/'Historical Data'!N216-1</f>
        <v>3.9378535118494984E-3</v>
      </c>
      <c r="O213" s="7">
        <f ca="1">+'Historical Data'!O217/'Historical Data'!O216-1</f>
        <v>1.4750762970498599E-2</v>
      </c>
      <c r="P213" s="7">
        <f ca="1">+'Historical Data'!P217/'Historical Data'!P216-1</f>
        <v>3.1547234775123778E-2</v>
      </c>
    </row>
    <row r="214" spans="1:16" x14ac:dyDescent="0.25">
      <c r="A214" vm="3183">
        <f ca="1"/>
        <v>45652</v>
      </c>
      <c r="B214" s="7">
        <f ca="1">+'Historical Data'!B218/'Historical Data'!B217-1</f>
        <v>-1.7630007787488022E-2</v>
      </c>
      <c r="C214" s="7">
        <f ca="1">+'Historical Data'!C218/'Historical Data'!C217-1</f>
        <v>-8.7317179655097554E-3</v>
      </c>
      <c r="D214" s="7">
        <f ca="1">+'Historical Data'!D218/'Historical Data'!D217-1</f>
        <v>-2.7769558190881005E-3</v>
      </c>
      <c r="E214" s="7">
        <f ca="1">+'Historical Data'!E218/'Historical Data'!E217-1</f>
        <v>-2.914694678517793E-3</v>
      </c>
      <c r="F214" s="7">
        <f ca="1">+'Historical Data'!F218/'Historical Data'!F217-1</f>
        <v>7.2214987569552136E-3</v>
      </c>
      <c r="G214" s="7">
        <f ca="1">+'Historical Data'!G218/'Historical Data'!G217-1</f>
        <v>3.425364202880532E-3</v>
      </c>
      <c r="H214" s="7">
        <f ca="1">+'Historical Data'!H218/'Historical Data'!H217-1</f>
        <v>9.9782651649871212E-3</v>
      </c>
      <c r="I214" s="7">
        <f ca="1">+'Historical Data'!I218/'Historical Data'!I217-1</f>
        <v>8.4586466165403884E-4</v>
      </c>
      <c r="J214" s="7">
        <f ca="1">+'Historical Data'!J218/'Historical Data'!J217-1</f>
        <v>1.8921475875117721E-3</v>
      </c>
      <c r="K214" s="7">
        <f ca="1">+'Historical Data'!K218/'Historical Data'!K217-1</f>
        <v>6.2266500622665255E-3</v>
      </c>
      <c r="L214" s="7">
        <f ca="1">+'Historical Data'!L218/'Historical Data'!L217-1</f>
        <v>-6.7314884068810921E-3</v>
      </c>
      <c r="M214" s="7">
        <f ca="1">+'Historical Data'!M218/'Historical Data'!M217-1</f>
        <v>5.1145662847784656E-4</v>
      </c>
      <c r="N214" s="7">
        <f ca="1">+'Historical Data'!N218/'Historical Data'!N217-1</f>
        <v>-2.068178576522528E-3</v>
      </c>
      <c r="O214" s="7">
        <f ca="1">+'Historical Data'!O218/'Historical Data'!O217-1</f>
        <v>2.1720969089389364E-3</v>
      </c>
      <c r="P214" s="7">
        <f ca="1">+'Historical Data'!P218/'Historical Data'!P217-1</f>
        <v>2.3698264352469911E-2</v>
      </c>
    </row>
    <row r="215" spans="1:16" x14ac:dyDescent="0.25">
      <c r="A215" vm="3197">
        <f ca="1"/>
        <v>45653</v>
      </c>
      <c r="B215" s="7">
        <f ca="1">+'Historical Data'!B219/'Historical Data'!B218-1</f>
        <v>-4.9479224010745781E-2</v>
      </c>
      <c r="C215" s="7">
        <f ca="1">+'Historical Data'!C219/'Historical Data'!C218-1</f>
        <v>-1.4534243558687598E-2</v>
      </c>
      <c r="D215" s="7">
        <f ca="1">+'Historical Data'!D219/'Historical Data'!D218-1</f>
        <v>-1.7301590924653665E-2</v>
      </c>
      <c r="E215" s="7">
        <f ca="1">+'Historical Data'!E219/'Historical Data'!E218-1</f>
        <v>-6.4252843622469857E-3</v>
      </c>
      <c r="F215" s="7">
        <f ca="1">+'Historical Data'!F219/'Historical Data'!F218-1</f>
        <v>-3.7023977433003896E-3</v>
      </c>
      <c r="G215" s="7">
        <f ca="1">+'Historical Data'!G219/'Historical Data'!G218-1</f>
        <v>-8.102327876943316E-3</v>
      </c>
      <c r="H215" s="7">
        <f ca="1">+'Historical Data'!H219/'Historical Data'!H218-1</f>
        <v>-2.2693925462192732E-3</v>
      </c>
      <c r="I215" s="7">
        <f ca="1">+'Historical Data'!I219/'Historical Data'!I218-1</f>
        <v>-9.3905531035720635E-5</v>
      </c>
      <c r="J215" s="7">
        <f ca="1">+'Historical Data'!J219/'Historical Data'!J218-1</f>
        <v>1.3220018885741425E-2</v>
      </c>
      <c r="K215" s="7">
        <f ca="1">+'Historical Data'!K219/'Historical Data'!K218-1</f>
        <v>-1.4851485148513754E-3</v>
      </c>
      <c r="L215" s="7">
        <f ca="1">+'Historical Data'!L219/'Historical Data'!L218-1</f>
        <v>2.2590361445784524E-3</v>
      </c>
      <c r="M215" s="7">
        <f ca="1">+'Historical Data'!M219/'Historical Data'!M218-1</f>
        <v>-9.3037521725795047E-3</v>
      </c>
      <c r="N215" s="7">
        <f ca="1">+'Historical Data'!N219/'Historical Data'!N218-1</f>
        <v>-2.086757664546568E-2</v>
      </c>
      <c r="O215" s="7">
        <f ca="1">+'Historical Data'!O219/'Historical Data'!O218-1</f>
        <v>-6.1687229076358152E-3</v>
      </c>
      <c r="P215" s="7">
        <f ca="1">+'Historical Data'!P219/'Historical Data'!P218-1</f>
        <v>-1.4713074665797299E-2</v>
      </c>
    </row>
    <row r="216" spans="1:16" x14ac:dyDescent="0.25">
      <c r="A216" vm="3213">
        <f ca="1"/>
        <v>45656</v>
      </c>
      <c r="B216" s="7">
        <f ca="1">+'Historical Data'!B220/'Historical Data'!B219-1</f>
        <v>-3.3012092850854824E-2</v>
      </c>
      <c r="C216" s="7">
        <f ca="1">+'Historical Data'!C220/'Historical Data'!C219-1</f>
        <v>-1.0949720670391017E-2</v>
      </c>
      <c r="D216" s="7">
        <f ca="1">+'Historical Data'!D220/'Historical Data'!D219-1</f>
        <v>-1.3239495505539711E-2</v>
      </c>
      <c r="E216" s="7">
        <f ca="1">+'Historical Data'!E220/'Historical Data'!E219-1</f>
        <v>-1.3224970141862635E-2</v>
      </c>
      <c r="F216" s="7">
        <f ca="1">+'Historical Data'!F220/'Historical Data'!F219-1</f>
        <v>-1.4392732849643153E-2</v>
      </c>
      <c r="G216" s="7">
        <f ca="1">+'Historical Data'!G220/'Historical Data'!G219-1</f>
        <v>-7.6709375129576651E-3</v>
      </c>
      <c r="H216" s="7">
        <f ca="1">+'Historical Data'!H220/'Historical Data'!H219-1</f>
        <v>-4.2942018470950583E-3</v>
      </c>
      <c r="I216" s="7">
        <f ca="1">+'Historical Data'!I220/'Historical Data'!I219-1</f>
        <v>-6.7618332081141874E-3</v>
      </c>
      <c r="J216" s="7">
        <f ca="1">+'Historical Data'!J220/'Historical Data'!J219-1</f>
        <v>-1.164958061509791E-2</v>
      </c>
      <c r="K216" s="7">
        <f ca="1">+'Historical Data'!K220/'Historical Data'!K219-1</f>
        <v>-5.9494298463064199E-3</v>
      </c>
      <c r="L216" s="7">
        <f ca="1">+'Historical Data'!L220/'Historical Data'!L219-1</f>
        <v>-7.5131480090157021E-3</v>
      </c>
      <c r="M216" s="7">
        <f ca="1">+'Historical Data'!M220/'Historical Data'!M219-1</f>
        <v>-6.4499484004127972E-3</v>
      </c>
      <c r="N216" s="7">
        <f ca="1">+'Historical Data'!N220/'Historical Data'!N219-1</f>
        <v>3.5033939128532587E-3</v>
      </c>
      <c r="O216" s="7">
        <f ca="1">+'Historical Data'!O220/'Historical Data'!O219-1</f>
        <v>-7.0457976849521708E-3</v>
      </c>
      <c r="P216" s="7">
        <f ca="1">+'Historical Data'!P220/'Historical Data'!P219-1</f>
        <v>-2.5522233712512832E-2</v>
      </c>
    </row>
    <row r="217" spans="1:16" x14ac:dyDescent="0.25">
      <c r="A217" vm="3229">
        <f ca="1"/>
        <v>45657</v>
      </c>
      <c r="B217" s="7">
        <f ca="1">+'Historical Data'!B221/'Historical Data'!B220-1</f>
        <v>-3.2510002156153517E-2</v>
      </c>
      <c r="C217" s="7">
        <f ca="1">+'Historical Data'!C221/'Historical Data'!C220-1</f>
        <v>-8.6308178942613445E-3</v>
      </c>
      <c r="D217" s="7">
        <f ca="1">+'Historical Data'!D221/'Historical Data'!D220-1</f>
        <v>-7.8384294894427997E-3</v>
      </c>
      <c r="E217" s="7">
        <f ca="1">+'Historical Data'!E221/'Historical Data'!E220-1</f>
        <v>3.4833948339483278E-3</v>
      </c>
      <c r="F217" s="7">
        <f ca="1">+'Historical Data'!F221/'Historical Data'!F220-1</f>
        <v>3.3514872224549297E-3</v>
      </c>
      <c r="G217" s="7">
        <f ca="1">+'Historical Data'!G221/'Historical Data'!G220-1</f>
        <v>1.6296172488718952E-3</v>
      </c>
      <c r="H217" s="7">
        <f ca="1">+'Historical Data'!H221/'Historical Data'!H220-1</f>
        <v>-3.8204017329657169E-3</v>
      </c>
      <c r="I217" s="7">
        <f ca="1">+'Historical Data'!I221/'Historical Data'!I220-1</f>
        <v>1.7114220877458175E-2</v>
      </c>
      <c r="J217" s="7">
        <f ca="1">+'Historical Data'!J221/'Historical Data'!J220-1</f>
        <v>-2.3573785950024018E-3</v>
      </c>
      <c r="K217" s="7">
        <f ca="1">+'Historical Data'!K221/'Historical Data'!K220-1</f>
        <v>-6.6084788029925345E-3</v>
      </c>
      <c r="L217" s="7">
        <f ca="1">+'Historical Data'!L221/'Historical Data'!L220-1</f>
        <v>4.1635124905374798E-3</v>
      </c>
      <c r="M217" s="7">
        <f ca="1">+'Historical Data'!M221/'Historical Data'!M220-1</f>
        <v>1.2464294988314695E-3</v>
      </c>
      <c r="N217" s="7">
        <f ca="1">+'Historical Data'!N221/'Historical Data'!N220-1</f>
        <v>-2.3274419957815207E-2</v>
      </c>
      <c r="O217" s="7">
        <f ca="1">+'Historical Data'!O221/'Historical Data'!O220-1</f>
        <v>1.6894745734075123E-4</v>
      </c>
      <c r="P217" s="7">
        <f ca="1">+'Historical Data'!P221/'Historical Data'!P220-1</f>
        <v>-1.5875711011121507E-2</v>
      </c>
    </row>
    <row r="218" spans="1:16" x14ac:dyDescent="0.25">
      <c r="A218" vm="3244">
        <f ca="1"/>
        <v>45659</v>
      </c>
      <c r="B218" s="7">
        <f ca="1">+'Historical Data'!B222/'Historical Data'!B221-1</f>
        <v>-6.0816164817749652E-2</v>
      </c>
      <c r="C218" s="7">
        <f ca="1">+'Historical Data'!C222/'Historical Data'!C221-1</f>
        <v>3.7832171019644978E-3</v>
      </c>
      <c r="D218" s="7">
        <f ca="1">+'Historical Data'!D222/'Historical Data'!D221-1</f>
        <v>-6.9276393831554373E-3</v>
      </c>
      <c r="E218" s="7">
        <f ca="1">+'Historical Data'!E222/'Historical Data'!E221-1</f>
        <v>-1.9915865031035707E-2</v>
      </c>
      <c r="F218" s="7">
        <f ca="1">+'Historical Data'!F222/'Historical Data'!F221-1</f>
        <v>-9.9612287503728636E-3</v>
      </c>
      <c r="G218" s="7">
        <f ca="1">+'Historical Data'!G222/'Historical Data'!G221-1</f>
        <v>1.2097951691627529E-3</v>
      </c>
      <c r="H218" s="7">
        <f ca="1">+'Historical Data'!H222/'Historical Data'!H221-1</f>
        <v>-2.6687225714625562E-3</v>
      </c>
      <c r="I218" s="7">
        <f ca="1">+'Historical Data'!I222/'Historical Data'!I221-1</f>
        <v>-2.4170307706609107E-3</v>
      </c>
      <c r="J218" s="7">
        <f ca="1">+'Historical Data'!J222/'Historical Data'!J221-1</f>
        <v>-3.3081285444234165E-3</v>
      </c>
      <c r="K218" s="7">
        <f ca="1">+'Historical Data'!K222/'Historical Data'!K221-1</f>
        <v>2.5982176477971519E-2</v>
      </c>
      <c r="L218" s="7">
        <f ca="1">+'Historical Data'!L222/'Historical Data'!L221-1</f>
        <v>3.0154542027891473E-3</v>
      </c>
      <c r="M218" s="7">
        <f ca="1">+'Historical Data'!M222/'Historical Data'!M221-1</f>
        <v>-4.3570724622646884E-3</v>
      </c>
      <c r="N218" s="7">
        <f ca="1">+'Historical Data'!N222/'Historical Data'!N221-1</f>
        <v>2.9935214833569201E-2</v>
      </c>
      <c r="O218" s="7">
        <f ca="1">+'Historical Data'!O222/'Historical Data'!O221-1</f>
        <v>-1.6891891891892552E-3</v>
      </c>
      <c r="P218" s="7">
        <f ca="1">+'Historical Data'!P222/'Historical Data'!P221-1</f>
        <v>6.0386473429940857E-4</v>
      </c>
    </row>
    <row r="219" spans="1:16" x14ac:dyDescent="0.25">
      <c r="A219" vm="3260">
        <f ca="1"/>
        <v>45660</v>
      </c>
      <c r="B219" s="7">
        <f ca="1">+'Historical Data'!B223/'Historical Data'!B222-1</f>
        <v>8.2155663362159848E-2</v>
      </c>
      <c r="C219" s="7">
        <f ca="1">+'Historical Data'!C223/'Historical Data'!C222-1</f>
        <v>1.802742711833627E-2</v>
      </c>
      <c r="D219" s="7">
        <f ca="1">+'Historical Data'!D223/'Historical Data'!D222-1</f>
        <v>1.1395671078407998E-2</v>
      </c>
      <c r="E219" s="7">
        <f ca="1">+'Historical Data'!E223/'Historical Data'!E222-1</f>
        <v>1.0145275543282484E-2</v>
      </c>
      <c r="F219" s="7">
        <f ca="1">+'Historical Data'!F223/'Historical Data'!F222-1</f>
        <v>-5.1210989275816132E-3</v>
      </c>
      <c r="G219" s="7">
        <f ca="1">+'Historical Data'!G223/'Historical Data'!G222-1</f>
        <v>1.3666666666666716E-2</v>
      </c>
      <c r="H219" s="7">
        <f ca="1">+'Historical Data'!H223/'Historical Data'!H222-1</f>
        <v>1.6828209549860196E-2</v>
      </c>
      <c r="I219" s="7">
        <f ca="1">+'Historical Data'!I223/'Historical Data'!I222-1</f>
        <v>5.1253378063553789E-3</v>
      </c>
      <c r="J219" s="7">
        <f ca="1">+'Historical Data'!J223/'Historical Data'!J222-1</f>
        <v>1.0905642484589917E-2</v>
      </c>
      <c r="K219" s="7">
        <f ca="1">+'Historical Data'!K223/'Historical Data'!K222-1</f>
        <v>-2.4467824810370242E-4</v>
      </c>
      <c r="L219" s="7">
        <f ca="1">+'Historical Data'!L223/'Historical Data'!L222-1</f>
        <v>-7.5159714393080446E-4</v>
      </c>
      <c r="M219" s="7">
        <f ca="1">+'Historical Data'!M223/'Historical Data'!M222-1</f>
        <v>-2.604845011721757E-3</v>
      </c>
      <c r="N219" s="7">
        <f ca="1">+'Historical Data'!N223/'Historical Data'!N222-1</f>
        <v>4.4537632853734355E-2</v>
      </c>
      <c r="O219" s="7">
        <f ca="1">+'Historical Data'!O223/'Historical Data'!O222-1</f>
        <v>-4.0609137055838129E-3</v>
      </c>
      <c r="P219" s="7">
        <f ca="1">+'Historical Data'!P223/'Historical Data'!P222-1</f>
        <v>2.4571083714113318E-3</v>
      </c>
    </row>
    <row r="220" spans="1:16" x14ac:dyDescent="0.25">
      <c r="A220" vm="3275">
        <f ca="1"/>
        <v>45663</v>
      </c>
      <c r="B220" s="7">
        <f ca="1">+'Historical Data'!B224/'Historical Data'!B223-1</f>
        <v>1.4862099210604107E-3</v>
      </c>
      <c r="C220" s="7">
        <f ca="1">+'Historical Data'!C224/'Historical Data'!C223-1</f>
        <v>1.525491770373355E-2</v>
      </c>
      <c r="D220" s="7">
        <f ca="1">+'Historical Data'!D224/'Historical Data'!D223-1</f>
        <v>1.0629502775481248E-2</v>
      </c>
      <c r="E220" s="7">
        <f ca="1">+'Historical Data'!E224/'Historical Data'!E223-1</f>
        <v>3.8034111844058582E-3</v>
      </c>
      <c r="F220" s="7">
        <f ca="1">+'Historical Data'!F224/'Historical Data'!F223-1</f>
        <v>-2.7432931629625124E-2</v>
      </c>
      <c r="G220" s="7">
        <f ca="1">+'Historical Data'!G224/'Historical Data'!G223-1</f>
        <v>-9.9884906280829355E-3</v>
      </c>
      <c r="H220" s="7">
        <f ca="1">+'Historical Data'!H224/'Historical Data'!H223-1</f>
        <v>1.306042884990255E-3</v>
      </c>
      <c r="I220" s="7">
        <f ca="1">+'Historical Data'!I224/'Historical Data'!I223-1</f>
        <v>-1.1125533098461649E-3</v>
      </c>
      <c r="J220" s="7">
        <f ca="1">+'Historical Data'!J224/'Historical Data'!J223-1</f>
        <v>-1.9699812382739323E-2</v>
      </c>
      <c r="K220" s="7">
        <f ca="1">+'Historical Data'!K224/'Historical Data'!K223-1</f>
        <v>9.7895252080273387E-3</v>
      </c>
      <c r="L220" s="7">
        <f ca="1">+'Historical Data'!L224/'Historical Data'!L223-1</f>
        <v>1.1282437006393309E-2</v>
      </c>
      <c r="M220" s="7">
        <f ca="1">+'Historical Data'!M224/'Historical Data'!M223-1</f>
        <v>-2.8937059284408373E-2</v>
      </c>
      <c r="N220" s="7">
        <f ca="1">+'Historical Data'!N224/'Historical Data'!N223-1</f>
        <v>3.4332387346854176E-2</v>
      </c>
      <c r="O220" s="7">
        <f ca="1">+'Historical Data'!O224/'Historical Data'!O223-1</f>
        <v>-1.5290519877675379E-3</v>
      </c>
      <c r="P220" s="7">
        <f ca="1">+'Historical Data'!P224/'Historical Data'!P223-1</f>
        <v>1.6598580950333286E-2</v>
      </c>
    </row>
    <row r="221" spans="1:16" x14ac:dyDescent="0.25">
      <c r="A221" vm="3289">
        <f ca="1"/>
        <v>45664</v>
      </c>
      <c r="B221" s="7">
        <f ca="1">+'Historical Data'!B225/'Historical Data'!B224-1</f>
        <v>-4.0603332927867664E-2</v>
      </c>
      <c r="C221" s="7">
        <f ca="1">+'Historical Data'!C225/'Historical Data'!C224-1</f>
        <v>-2.4164140415623203E-2</v>
      </c>
      <c r="D221" s="7">
        <f ca="1">+'Historical Data'!D225/'Historical Data'!D224-1</f>
        <v>-1.2808227182423804E-2</v>
      </c>
      <c r="E221" s="7">
        <f ca="1">+'Historical Data'!E225/'Historical Data'!E224-1</f>
        <v>-1.0123734533183382E-2</v>
      </c>
      <c r="F221" s="7">
        <f ca="1">+'Historical Data'!F225/'Historical Data'!F224-1</f>
        <v>4.3586550435865679E-3</v>
      </c>
      <c r="G221" s="7">
        <f ca="1">+'Historical Data'!G225/'Historical Data'!G224-1</f>
        <v>9.6325513805273211E-3</v>
      </c>
      <c r="H221" s="7">
        <f ca="1">+'Historical Data'!H225/'Historical Data'!H224-1</f>
        <v>1.1291295968229864E-3</v>
      </c>
      <c r="I221" s="7">
        <f ca="1">+'Historical Data'!I225/'Historical Data'!I224-1</f>
        <v>9.3744198997587347E-3</v>
      </c>
      <c r="J221" s="7">
        <f ca="1">+'Historical Data'!J225/'Historical Data'!J224-1</f>
        <v>4.7846889952163352E-4</v>
      </c>
      <c r="K221" s="7">
        <f ca="1">+'Historical Data'!K225/'Historical Data'!K224-1</f>
        <v>-1.0421715947649068E-2</v>
      </c>
      <c r="L221" s="7">
        <f ca="1">+'Historical Data'!L225/'Historical Data'!L224-1</f>
        <v>8.9252510226849324E-3</v>
      </c>
      <c r="M221" s="7">
        <f ca="1">+'Historical Data'!M225/'Historical Data'!M224-1</f>
        <v>6.9926308428813755E-4</v>
      </c>
      <c r="N221" s="7">
        <f ca="1">+'Historical Data'!N225/'Historical Data'!N224-1</f>
        <v>-6.2169577728702574E-2</v>
      </c>
      <c r="O221" s="7">
        <f ca="1">+'Historical Data'!O225/'Historical Data'!O224-1</f>
        <v>2.7224774544836183E-3</v>
      </c>
      <c r="P221" s="7">
        <f ca="1">+'Historical Data'!P225/'Historical Data'!P224-1</f>
        <v>-3.2866630007190922E-2</v>
      </c>
    </row>
    <row r="222" spans="1:16" x14ac:dyDescent="0.25">
      <c r="A222" vm="3304">
        <f ca="1"/>
        <v>45665</v>
      </c>
      <c r="B222" s="7">
        <f ca="1">+'Historical Data'!B226/'Historical Data'!B225-1</f>
        <v>1.4707373973019688E-3</v>
      </c>
      <c r="C222" s="7">
        <f ca="1">+'Historical Data'!C226/'Historical Data'!C225-1</f>
        <v>9.0045472963762307E-5</v>
      </c>
      <c r="D222" s="7">
        <f ca="1">+'Historical Data'!D226/'Historical Data'!D225-1</f>
        <v>5.1850273456921503E-3</v>
      </c>
      <c r="E222" s="7">
        <f ca="1">+'Historical Data'!E226/'Historical Data'!E225-1</f>
        <v>9.3899521531102259E-3</v>
      </c>
      <c r="F222" s="7">
        <f ca="1">+'Historical Data'!F226/'Historical Data'!F225-1</f>
        <v>4.9597024178549276E-3</v>
      </c>
      <c r="G222" s="7">
        <f ca="1">+'Historical Data'!G226/'Historical Data'!G225-1</f>
        <v>-1.6449397540807542E-4</v>
      </c>
      <c r="H222" s="7">
        <f ca="1">+'Historical Data'!H226/'Historical Data'!H225-1</f>
        <v>1.9970831307729586E-2</v>
      </c>
      <c r="I222" s="7">
        <f ca="1">+'Historical Data'!I226/'Historical Data'!I225-1</f>
        <v>-1.6735632183907945E-2</v>
      </c>
      <c r="J222" s="7">
        <f ca="1">+'Historical Data'!J226/'Historical Data'!J225-1</f>
        <v>-6.6953610712577882E-3</v>
      </c>
      <c r="K222" s="7">
        <f ca="1">+'Historical Data'!K226/'Historical Data'!K225-1</f>
        <v>9.7967180994373848E-4</v>
      </c>
      <c r="L222" s="7">
        <f ca="1">+'Historical Data'!L226/'Historical Data'!L225-1</f>
        <v>-9.9520825654256795E-3</v>
      </c>
      <c r="M222" s="7">
        <f ca="1">+'Historical Data'!M226/'Historical Data'!M225-1</f>
        <v>3.0961083637927489E-2</v>
      </c>
      <c r="N222" s="7">
        <f ca="1">+'Historical Data'!N226/'Historical Data'!N225-1</f>
        <v>-2.1407164264286571E-4</v>
      </c>
      <c r="O222" s="7">
        <f ca="1">+'Historical Data'!O226/'Historical Data'!O225-1</f>
        <v>4.5817071101306173E-3</v>
      </c>
      <c r="P222" s="7">
        <f ca="1">+'Historical Data'!P226/'Historical Data'!P225-1</f>
        <v>2.9303708887333801E-3</v>
      </c>
    </row>
    <row r="223" spans="1:16" x14ac:dyDescent="0.25">
      <c r="A223" vm="3317">
        <f ca="1"/>
        <v>45667</v>
      </c>
      <c r="B223" s="7">
        <f ca="1">+'Historical Data'!B227/'Historical Data'!B226-1</f>
        <v>-5.0640603635987436E-4</v>
      </c>
      <c r="C223" s="7">
        <f ca="1">+'Historical Data'!C227/'Historical Data'!C226-1</f>
        <v>-1.4360959798316308E-2</v>
      </c>
      <c r="D223" s="7">
        <f ca="1">+'Historical Data'!D227/'Historical Data'!D226-1</f>
        <v>-1.3213680045223275E-2</v>
      </c>
      <c r="E223" s="7">
        <f ca="1">+'Historical Data'!E227/'Historical Data'!E226-1</f>
        <v>-2.1864075368845159E-2</v>
      </c>
      <c r="F223" s="7">
        <f ca="1">+'Historical Data'!F227/'Historical Data'!F226-1</f>
        <v>-2.1838371375693999E-2</v>
      </c>
      <c r="G223" s="7">
        <f ca="1">+'Historical Data'!G227/'Historical Data'!G226-1</f>
        <v>-1.340846460741163E-2</v>
      </c>
      <c r="H223" s="7">
        <f ca="1">+'Historical Data'!H227/'Historical Data'!H226-1</f>
        <v>-7.3019141310148861E-3</v>
      </c>
      <c r="I223" s="7">
        <f ca="1">+'Historical Data'!I227/'Historical Data'!I226-1</f>
        <v>-3.6472458617787806E-3</v>
      </c>
      <c r="J223" s="7">
        <f ca="1">+'Historical Data'!J227/'Historical Data'!J226-1</f>
        <v>-2.0221473278767332E-2</v>
      </c>
      <c r="K223" s="7">
        <f ca="1">+'Historical Data'!K227/'Historical Data'!K226-1</f>
        <v>-1.0276486420357056E-2</v>
      </c>
      <c r="L223" s="7">
        <f ca="1">+'Historical Data'!L227/'Historical Data'!L226-1</f>
        <v>-5.2122114668652353E-3</v>
      </c>
      <c r="M223" s="7">
        <f ca="1">+'Historical Data'!M227/'Historical Data'!M226-1</f>
        <v>-5.6360792492179401E-2</v>
      </c>
      <c r="N223" s="7">
        <f ca="1">+'Historical Data'!N227/'Historical Data'!N226-1</f>
        <v>-2.997644707729652E-2</v>
      </c>
      <c r="O223" s="7">
        <f ca="1">+'Historical Data'!O227/'Historical Data'!O226-1</f>
        <v>-7.7702702702703297E-3</v>
      </c>
      <c r="P223" s="7">
        <f ca="1">+'Historical Data'!P227/'Historical Data'!P226-1</f>
        <v>-2.1804544066983511E-2</v>
      </c>
    </row>
    <row r="224" spans="1:16" x14ac:dyDescent="0.25">
      <c r="A224" vm="3331">
        <f ca="1"/>
        <v>45670</v>
      </c>
      <c r="B224" s="7">
        <f ca="1">+'Historical Data'!B228/'Historical Data'!B227-1</f>
        <v>2.1710492982722762E-2</v>
      </c>
      <c r="C224" s="7">
        <f ca="1">+'Historical Data'!C228/'Historical Data'!C227-1</f>
        <v>-2.1923814743765035E-3</v>
      </c>
      <c r="D224" s="7">
        <f ca="1">+'Historical Data'!D228/'Historical Data'!D227-1</f>
        <v>-4.2009786370688085E-3</v>
      </c>
      <c r="E224" s="7">
        <f ca="1">+'Historical Data'!E228/'Historical Data'!E227-1</f>
        <v>1.8051853646716687E-2</v>
      </c>
      <c r="F224" s="7">
        <f ca="1">+'Historical Data'!F228/'Historical Data'!F227-1</f>
        <v>1.765893037336097E-3</v>
      </c>
      <c r="G224" s="7">
        <f ca="1">+'Historical Data'!G228/'Historical Data'!G227-1</f>
        <v>1.809313378079791E-2</v>
      </c>
      <c r="H224" s="7">
        <f ca="1">+'Historical Data'!H228/'Historical Data'!H227-1</f>
        <v>3.9274808427279151E-2</v>
      </c>
      <c r="I224" s="7">
        <f ca="1">+'Historical Data'!I228/'Historical Data'!I227-1</f>
        <v>2.5811901633189471E-2</v>
      </c>
      <c r="J224" s="7">
        <f ca="1">+'Historical Data'!J228/'Historical Data'!J227-1</f>
        <v>-6.8796068796068699E-3</v>
      </c>
      <c r="K224" s="7">
        <f ca="1">+'Historical Data'!K228/'Historical Data'!K227-1</f>
        <v>-1.6316440049443881E-2</v>
      </c>
      <c r="L224" s="7">
        <f ca="1">+'Historical Data'!L228/'Historical Data'!L227-1</f>
        <v>2.9940119760478723E-3</v>
      </c>
      <c r="M224" s="7">
        <f ca="1">+'Historical Data'!M228/'Historical Data'!M227-1</f>
        <v>8.5640090612739694E-3</v>
      </c>
      <c r="N224" s="7">
        <f ca="1">+'Historical Data'!N228/'Historical Data'!N227-1</f>
        <v>-1.9718931645942184E-2</v>
      </c>
      <c r="O224" s="7">
        <f ca="1">+'Historical Data'!O228/'Historical Data'!O227-1</f>
        <v>3.4048348655080218E-4</v>
      </c>
      <c r="P224" s="7">
        <f ca="1">+'Historical Data'!P228/'Historical Data'!P227-1</f>
        <v>4.3689536801747586E-3</v>
      </c>
    </row>
    <row r="225" spans="1:16" x14ac:dyDescent="0.25">
      <c r="A225" vm="3347">
        <f ca="1"/>
        <v>45671</v>
      </c>
      <c r="B225" s="7">
        <f ca="1">+'Historical Data'!B229/'Historical Data'!B228-1</f>
        <v>-1.7232401874488601E-2</v>
      </c>
      <c r="C225" s="7">
        <f ca="1">+'Historical Data'!C229/'Historical Data'!C228-1</f>
        <v>-3.2042479172389449E-3</v>
      </c>
      <c r="D225" s="7">
        <f ca="1">+'Historical Data'!D229/'Historical Data'!D228-1</f>
        <v>-3.6434238596322333E-3</v>
      </c>
      <c r="E225" s="7">
        <f ca="1">+'Historical Data'!E229/'Historical Data'!E228-1</f>
        <v>1.6422706176365542E-2</v>
      </c>
      <c r="F225" s="7">
        <f ca="1">+'Historical Data'!F229/'Historical Data'!F228-1</f>
        <v>5.666079073281427E-3</v>
      </c>
      <c r="G225" s="7">
        <f ca="1">+'Historical Data'!G229/'Historical Data'!G228-1</f>
        <v>1.3349166700790338E-2</v>
      </c>
      <c r="H225" s="7">
        <f ca="1">+'Historical Data'!H229/'Historical Data'!H228-1</f>
        <v>4.8046716191743055E-3</v>
      </c>
      <c r="I225" s="7">
        <f ca="1">+'Historical Data'!I229/'Historical Data'!I228-1</f>
        <v>3.9344862292980398E-3</v>
      </c>
      <c r="J225" s="7">
        <f ca="1">+'Historical Data'!J229/'Historical Data'!J228-1</f>
        <v>-1.6328550222662108E-2</v>
      </c>
      <c r="K225" s="7">
        <f ca="1">+'Historical Data'!K229/'Historical Data'!K228-1</f>
        <v>1.1058054787635108E-2</v>
      </c>
      <c r="L225" s="7">
        <f ca="1">+'Historical Data'!L229/'Historical Data'!L228-1</f>
        <v>-1.4552238805970119E-2</v>
      </c>
      <c r="M225" s="7">
        <f ca="1">+'Historical Data'!M229/'Historical Data'!M228-1</f>
        <v>2.3392133231072698E-2</v>
      </c>
      <c r="N225" s="7">
        <f ca="1">+'Historical Data'!N229/'Historical Data'!N228-1</f>
        <v>-1.103355100202652E-2</v>
      </c>
      <c r="O225" s="7">
        <f ca="1">+'Historical Data'!O229/'Historical Data'!O228-1</f>
        <v>9.7004765146357919E-3</v>
      </c>
      <c r="P225" s="7">
        <f ca="1">+'Historical Data'!P229/'Historical Data'!P228-1</f>
        <v>-2.61884681965463E-3</v>
      </c>
    </row>
    <row r="226" spans="1:16" x14ac:dyDescent="0.25">
      <c r="A226" vm="3362">
        <f ca="1"/>
        <v>45672</v>
      </c>
      <c r="B226" s="7">
        <f ca="1">+'Historical Data'!B230/'Historical Data'!B229-1</f>
        <v>8.0381471389645798E-2</v>
      </c>
      <c r="C226" s="7">
        <f ca="1">+'Historical Data'!C230/'Historical Data'!C229-1</f>
        <v>2.5670462894930246E-2</v>
      </c>
      <c r="D226" s="7">
        <f ca="1">+'Historical Data'!D230/'Historical Data'!D229-1</f>
        <v>2.5597228570741093E-2</v>
      </c>
      <c r="E226" s="7">
        <f ca="1">+'Historical Data'!E230/'Historical Data'!E229-1</f>
        <v>1.5484135347149097E-2</v>
      </c>
      <c r="F226" s="7">
        <f ca="1">+'Historical Data'!F230/'Historical Data'!F229-1</f>
        <v>-5.6341555026917511E-4</v>
      </c>
      <c r="G226" s="7">
        <f ca="1">+'Historical Data'!G230/'Historical Data'!G229-1</f>
        <v>1.9719561967107113E-2</v>
      </c>
      <c r="H226" s="7">
        <f ca="1">+'Historical Data'!H230/'Historical Data'!H229-1</f>
        <v>-5.8851657041980587E-4</v>
      </c>
      <c r="I226" s="7">
        <f ca="1">+'Historical Data'!I230/'Historical Data'!I229-1</f>
        <v>1.6314254465913391E-2</v>
      </c>
      <c r="J226" s="7">
        <f ca="1">+'Historical Data'!J230/'Historical Data'!J229-1</f>
        <v>3.118712273641866E-2</v>
      </c>
      <c r="K226" s="7">
        <f ca="1">+'Historical Data'!K230/'Historical Data'!K229-1</f>
        <v>-1.2677106636838187E-2</v>
      </c>
      <c r="L226" s="7">
        <f ca="1">+'Historical Data'!L230/'Historical Data'!L229-1</f>
        <v>-7.1942446043166131E-3</v>
      </c>
      <c r="M226" s="7">
        <f ca="1">+'Historical Data'!M230/'Historical Data'!M229-1</f>
        <v>6.5306996413467822E-3</v>
      </c>
      <c r="N226" s="7">
        <f ca="1">+'Historical Data'!N230/'Historical Data'!N229-1</f>
        <v>3.4001214329083318E-2</v>
      </c>
      <c r="O226" s="7">
        <f ca="1">+'Historical Data'!O230/'Historical Data'!O229-1</f>
        <v>1.0955671666947664E-2</v>
      </c>
      <c r="P226" s="7">
        <f ca="1">+'Historical Data'!P230/'Historical Data'!P229-1</f>
        <v>1.4686248331108098E-2</v>
      </c>
    </row>
    <row r="227" spans="1:16" x14ac:dyDescent="0.25">
      <c r="A227" vm="3376">
        <f ca="1"/>
        <v>45673</v>
      </c>
      <c r="B227" s="7">
        <f ca="1">+'Historical Data'!B231/'Historical Data'!B230-1</f>
        <v>-3.3627574611181266E-2</v>
      </c>
      <c r="C227" s="7">
        <f ca="1">+'Historical Data'!C231/'Historical Data'!C230-1</f>
        <v>-1.2043877322587826E-2</v>
      </c>
      <c r="D227" s="7">
        <f ca="1">+'Historical Data'!D231/'Historical Data'!D230-1</f>
        <v>-4.0580798010837471E-3</v>
      </c>
      <c r="E227" s="7">
        <f ca="1">+'Historical Data'!E231/'Historical Data'!E230-1</f>
        <v>2.0868763151068004E-2</v>
      </c>
      <c r="F227" s="7">
        <f ca="1">+'Historical Data'!F231/'Historical Data'!F230-1</f>
        <v>5.3241465706233004E-3</v>
      </c>
      <c r="G227" s="7">
        <f ca="1">+'Historical Data'!G231/'Historical Data'!G230-1</f>
        <v>7.60848028531802E-3</v>
      </c>
      <c r="H227" s="7">
        <f ca="1">+'Historical Data'!H231/'Historical Data'!H230-1</f>
        <v>-6.0413676346104284E-2</v>
      </c>
      <c r="I227" s="7">
        <f ca="1">+'Historical Data'!I231/'Historical Data'!I230-1</f>
        <v>-1.703883059815392E-3</v>
      </c>
      <c r="J227" s="7">
        <f ca="1">+'Historical Data'!J231/'Historical Data'!J230-1</f>
        <v>-8.2926829268293867E-3</v>
      </c>
      <c r="K227" s="7">
        <f ca="1">+'Historical Data'!K231/'Historical Data'!K230-1</f>
        <v>1.6112789526686822E-2</v>
      </c>
      <c r="L227" s="7">
        <f ca="1">+'Historical Data'!L231/'Historical Data'!L230-1</f>
        <v>1.0297482837528626E-2</v>
      </c>
      <c r="M227" s="7">
        <f ca="1">+'Historical Data'!M231/'Historical Data'!M230-1</f>
        <v>1.6327181832686222E-2</v>
      </c>
      <c r="N227" s="7">
        <f ca="1">+'Historical Data'!N231/'Historical Data'!N230-1</f>
        <v>-1.9597768643570324E-2</v>
      </c>
      <c r="O227" s="7">
        <f ca="1">+'Historical Data'!O231/'Historical Data'!O230-1</f>
        <v>-2.6675558519505538E-3</v>
      </c>
      <c r="P227" s="7">
        <f ca="1">+'Historical Data'!P231/'Historical Data'!P230-1</f>
        <v>6.184210526315681E-3</v>
      </c>
    </row>
    <row r="228" spans="1:16" x14ac:dyDescent="0.25">
      <c r="A228" vm="3391">
        <f ca="1"/>
        <v>45674</v>
      </c>
      <c r="B228" s="7">
        <f ca="1">+'Historical Data'!B232/'Historical Data'!B231-1</f>
        <v>3.0641341646126419E-2</v>
      </c>
      <c r="C228" s="7">
        <f ca="1">+'Historical Data'!C232/'Historical Data'!C231-1</f>
        <v>2.3928215353938187E-2</v>
      </c>
      <c r="D228" s="7">
        <f ca="1">+'Historical Data'!D232/'Historical Data'!D231-1</f>
        <v>1.0480945875924519E-2</v>
      </c>
      <c r="E228" s="7">
        <f ca="1">+'Historical Data'!E232/'Historical Data'!E231-1</f>
        <v>-5.3646553914787898E-4</v>
      </c>
      <c r="F228" s="7">
        <f ca="1">+'Historical Data'!F232/'Historical Data'!F231-1</f>
        <v>3.9252336448598601E-3</v>
      </c>
      <c r="G228" s="7">
        <f ca="1">+'Historical Data'!G232/'Historical Data'!G231-1</f>
        <v>1.9231525543713435E-2</v>
      </c>
      <c r="H228" s="7">
        <f ca="1">+'Historical Data'!H232/'Historical Data'!H231-1</f>
        <v>-1.6255704185353936E-3</v>
      </c>
      <c r="I228" s="7">
        <f ca="1">+'Historical Data'!I232/'Historical Data'!I231-1</f>
        <v>8.9831117499101776E-3</v>
      </c>
      <c r="J228" s="7">
        <f ca="1">+'Historical Data'!J232/'Historical Data'!J231-1</f>
        <v>1.5248401377275123E-2</v>
      </c>
      <c r="K228" s="7">
        <f ca="1">+'Historical Data'!K232/'Historical Data'!K231-1</f>
        <v>2.3290386521308104E-2</v>
      </c>
      <c r="L228" s="7">
        <f ca="1">+'Historical Data'!L232/'Historical Data'!L231-1</f>
        <v>-7.1725179312946974E-3</v>
      </c>
      <c r="M228" s="7">
        <f ca="1">+'Historical Data'!M232/'Historical Data'!M231-1</f>
        <v>-1.1512297226582868E-2</v>
      </c>
      <c r="N228" s="7">
        <f ca="1">+'Historical Data'!N232/'Historical Data'!N231-1</f>
        <v>3.0994983903571249E-2</v>
      </c>
      <c r="O228" s="7">
        <f ca="1">+'Historical Data'!O232/'Historical Data'!O231-1</f>
        <v>6.8538950183885117E-3</v>
      </c>
      <c r="P228" s="7">
        <f ca="1">+'Historical Data'!P232/'Historical Data'!P231-1</f>
        <v>3.5002833355128438E-2</v>
      </c>
    </row>
    <row r="229" spans="1:16" x14ac:dyDescent="0.25">
      <c r="A229" vm="3407">
        <f ca="1"/>
        <v>45678</v>
      </c>
      <c r="B229" s="7">
        <f ca="1">+'Historical Data'!B233/'Historical Data'!B232-1</f>
        <v>-5.6975381008206316E-3</v>
      </c>
      <c r="C229" s="7">
        <f ca="1">+'Historical Data'!C233/'Historical Data'!C232-1</f>
        <v>2.1111799592812286E-2</v>
      </c>
      <c r="D229" s="7">
        <f ca="1">+'Historical Data'!D233/'Historical Data'!D232-1</f>
        <v>-1.2353448476796203E-3</v>
      </c>
      <c r="E229" s="7">
        <f ca="1">+'Historical Data'!E233/'Historical Data'!E232-1</f>
        <v>2.1300638454149867E-2</v>
      </c>
      <c r="F229" s="7">
        <f ca="1">+'Historical Data'!F233/'Historical Data'!F232-1</f>
        <v>3.6616396698319065E-3</v>
      </c>
      <c r="G229" s="7">
        <f ca="1">+'Historical Data'!G233/'Historical Data'!G232-1</f>
        <v>1.4932860009260418E-2</v>
      </c>
      <c r="H229" s="7">
        <f ca="1">+'Historical Data'!H233/'Historical Data'!H232-1</f>
        <v>2.9876804770872623E-2</v>
      </c>
      <c r="I229" s="7">
        <f ca="1">+'Historical Data'!I233/'Historical Data'!I232-1</f>
        <v>-7.5676638176637168E-3</v>
      </c>
      <c r="J229" s="7">
        <f ca="1">+'Historical Data'!J233/'Historical Data'!J232-1</f>
        <v>1.2596899224806002E-2</v>
      </c>
      <c r="K229" s="7">
        <f ca="1">+'Historical Data'!K233/'Historical Data'!K232-1</f>
        <v>3.1234866828087293E-2</v>
      </c>
      <c r="L229" s="7">
        <f ca="1">+'Historical Data'!L233/'Historical Data'!L232-1</f>
        <v>1.2927756653992484E-2</v>
      </c>
      <c r="M229" s="7">
        <f ca="1">+'Historical Data'!M233/'Historical Data'!M232-1</f>
        <v>4.4997353096876136E-3</v>
      </c>
      <c r="N229" s="7">
        <f ca="1">+'Historical Data'!N233/'Historical Data'!N232-1</f>
        <v>2.265630673153729E-2</v>
      </c>
      <c r="O229" s="7">
        <f ca="1">+'Historical Data'!O233/'Historical Data'!O232-1</f>
        <v>1.3282417399966828E-2</v>
      </c>
      <c r="P229" s="7">
        <f ca="1">+'Historical Data'!P233/'Historical Data'!P232-1</f>
        <v>1.2087264150943522E-2</v>
      </c>
    </row>
    <row r="230" spans="1:16" x14ac:dyDescent="0.25">
      <c r="A230" vm="3420">
        <f ca="1"/>
        <v>45679</v>
      </c>
      <c r="B230" s="7">
        <f ca="1">+'Historical Data'!B234/'Historical Data'!B233-1</f>
        <v>-2.1128587261536991E-2</v>
      </c>
      <c r="C230" s="7">
        <f ca="1">+'Historical Data'!C234/'Historical Data'!C233-1</f>
        <v>1.8638117116726471E-2</v>
      </c>
      <c r="D230" s="7">
        <f ca="1">+'Historical Data'!D234/'Historical Data'!D233-1</f>
        <v>4.1306884480746708E-2</v>
      </c>
      <c r="E230" s="7">
        <f ca="1">+'Historical Data'!E234/'Historical Data'!E233-1</f>
        <v>-1.0455853064837317E-2</v>
      </c>
      <c r="F230" s="7">
        <f ca="1">+'Historical Data'!F234/'Historical Data'!F233-1</f>
        <v>1.8674251793223018E-2</v>
      </c>
      <c r="G230" s="7">
        <f ca="1">+'Historical Data'!G234/'Historical Data'!G233-1</f>
        <v>-7.2235106261642201E-4</v>
      </c>
      <c r="H230" s="7">
        <f ca="1">+'Historical Data'!H234/'Historical Data'!H233-1</f>
        <v>-1.0038286443551314E-2</v>
      </c>
      <c r="I230" s="7">
        <f ca="1">+'Historical Data'!I234/'Historical Data'!I233-1</f>
        <v>-1.7403785771956559E-2</v>
      </c>
      <c r="J230" s="7">
        <f ca="1">+'Historical Data'!J234/'Historical Data'!J233-1</f>
        <v>9.5693779904326703E-4</v>
      </c>
      <c r="K230" s="7">
        <f ca="1">+'Historical Data'!K234/'Historical Data'!K233-1</f>
        <v>6.1047194177037412E-3</v>
      </c>
      <c r="L230" s="7">
        <f ca="1">+'Historical Data'!L234/'Historical Data'!L233-1</f>
        <v>-2.3648648648648574E-2</v>
      </c>
      <c r="M230" s="7">
        <f ca="1">+'Historical Data'!M234/'Historical Data'!M233-1</f>
        <v>-2.371541501976282E-2</v>
      </c>
      <c r="N230" s="7">
        <f ca="1">+'Historical Data'!N234/'Historical Data'!N233-1</f>
        <v>4.43087410352907E-2</v>
      </c>
      <c r="O230" s="7">
        <f ca="1">+'Historical Data'!O234/'Historical Data'!O233-1</f>
        <v>9.8312305423562396E-3</v>
      </c>
      <c r="P230" s="7">
        <f ca="1">+'Historical Data'!P234/'Historical Data'!P233-1</f>
        <v>2.4967749989597277E-3</v>
      </c>
    </row>
    <row r="231" spans="1:16" x14ac:dyDescent="0.25">
      <c r="A231" vm="3434">
        <f ca="1"/>
        <v>45680</v>
      </c>
      <c r="B231" s="7">
        <f ca="1">+'Historical Data'!B235/'Historical Data'!B234-1</f>
        <v>-6.57657006576573E-3</v>
      </c>
      <c r="C231" s="7">
        <f ca="1">+'Historical Data'!C235/'Historical Data'!C234-1</f>
        <v>1.744606612484656E-3</v>
      </c>
      <c r="D231" s="7">
        <f ca="1">+'Historical Data'!D235/'Historical Data'!D234-1</f>
        <v>1.1429852084265946E-3</v>
      </c>
      <c r="E231" s="7">
        <f ca="1">+'Historical Data'!E235/'Historical Data'!E234-1</f>
        <v>9.4202493430983747E-3</v>
      </c>
      <c r="F231" s="7">
        <f ca="1">+'Historical Data'!F235/'Historical Data'!F234-1</f>
        <v>8.5589413621462995E-3</v>
      </c>
      <c r="G231" s="7">
        <f ca="1">+'Historical Data'!G235/'Historical Data'!G234-1</f>
        <v>1.1832293410439787E-2</v>
      </c>
      <c r="H231" s="7">
        <f ca="1">+'Historical Data'!H235/'Historical Data'!H234-1</f>
        <v>1.9337335488339713E-2</v>
      </c>
      <c r="I231" s="7">
        <f ca="1">+'Historical Data'!I235/'Historical Data'!I234-1</f>
        <v>5.6605496211084017E-3</v>
      </c>
      <c r="J231" s="7">
        <f ca="1">+'Historical Data'!J235/'Historical Data'!J234-1</f>
        <v>2.1510516252390088E-2</v>
      </c>
      <c r="K231" s="7">
        <f ca="1">+'Historical Data'!K235/'Historical Data'!K234-1</f>
        <v>1.2835472578763163E-2</v>
      </c>
      <c r="L231" s="7">
        <f ca="1">+'Historical Data'!L235/'Historical Data'!L234-1</f>
        <v>1.6532103037293355E-2</v>
      </c>
      <c r="M231" s="7">
        <f ca="1">+'Historical Data'!M235/'Historical Data'!M234-1</f>
        <v>-3.184885290148487E-3</v>
      </c>
      <c r="N231" s="7">
        <f ca="1">+'Historical Data'!N235/'Historical Data'!N234-1</f>
        <v>1.0199224858911116E-3</v>
      </c>
      <c r="O231" s="7">
        <f ca="1">+'Historical Data'!O235/'Historical Data'!O234-1</f>
        <v>9.7355184163556707E-3</v>
      </c>
      <c r="P231" s="7">
        <f ca="1">+'Historical Data'!P235/'Historical Data'!P234-1</f>
        <v>-2.6150844713793697E-3</v>
      </c>
    </row>
    <row r="232" spans="1:16" x14ac:dyDescent="0.25">
      <c r="A232" vm="3450">
        <f ca="1"/>
        <v>45681</v>
      </c>
      <c r="B232" s="7">
        <f ca="1">+'Historical Data'!B236/'Historical Data'!B235-1</f>
        <v>-1.406469760900142E-2</v>
      </c>
      <c r="C232" s="7">
        <f ca="1">+'Historical Data'!C236/'Historical Data'!C235-1</f>
        <v>-2.4212046555093236E-3</v>
      </c>
      <c r="D232" s="7">
        <f ca="1">+'Historical Data'!D236/'Historical Data'!D235-1</f>
        <v>-5.932260303104897E-3</v>
      </c>
      <c r="E232" s="7">
        <f ca="1">+'Historical Data'!E236/'Historical Data'!E235-1</f>
        <v>-2.6584697183684725E-3</v>
      </c>
      <c r="F232" s="7">
        <f ca="1">+'Historical Data'!F236/'Historical Data'!F235-1</f>
        <v>-1.2217875413782719E-2</v>
      </c>
      <c r="G232" s="7">
        <f ca="1">+'Historical Data'!G236/'Historical Data'!G235-1</f>
        <v>-4.1737168640721967E-3</v>
      </c>
      <c r="H232" s="7">
        <f ca="1">+'Historical Data'!H236/'Historical Data'!H235-1</f>
        <v>5.1720557977990023E-3</v>
      </c>
      <c r="I232" s="7">
        <f ca="1">+'Historical Data'!I236/'Historical Data'!I235-1</f>
        <v>-1.3527008624602876E-2</v>
      </c>
      <c r="J232" s="7">
        <f ca="1">+'Historical Data'!J236/'Historical Data'!J235-1</f>
        <v>-2.526906878802071E-2</v>
      </c>
      <c r="K232" s="7">
        <f ca="1">+'Historical Data'!K236/'Historical Data'!K235-1</f>
        <v>5.7603686635945284E-3</v>
      </c>
      <c r="L232" s="7">
        <f ca="1">+'Historical Data'!L236/'Historical Data'!L235-1</f>
        <v>-1.3237518910741319E-2</v>
      </c>
      <c r="M232" s="7">
        <f ca="1">+'Historical Data'!M236/'Historical Data'!M235-1</f>
        <v>7.6356547167768518E-3</v>
      </c>
      <c r="N232" s="7">
        <f ca="1">+'Historical Data'!N236/'Historical Data'!N235-1</f>
        <v>-3.1245754652900359E-2</v>
      </c>
      <c r="O232" s="7">
        <f ca="1">+'Historical Data'!O236/'Historical Data'!O235-1</f>
        <v>0</v>
      </c>
      <c r="P232" s="7">
        <f ca="1">+'Historical Data'!P236/'Historical Data'!P235-1</f>
        <v>1.8395205593474184E-2</v>
      </c>
    </row>
    <row r="233" spans="1:16" x14ac:dyDescent="0.25">
      <c r="A233" vm="3464">
        <f ca="1"/>
        <v>45684</v>
      </c>
      <c r="B233" s="7">
        <f ca="1">+'Historical Data'!B237/'Historical Data'!B236-1</f>
        <v>-2.3193467460278394E-2</v>
      </c>
      <c r="C233" s="7">
        <f ca="1">+'Historical Data'!C237/'Historical Data'!C236-1</f>
        <v>2.4270811156057448E-3</v>
      </c>
      <c r="D233" s="7">
        <f ca="1">+'Historical Data'!D237/'Historical Data'!D236-1</f>
        <v>-2.1393505382155564E-2</v>
      </c>
      <c r="E233" s="7">
        <f ca="1">+'Historical Data'!E237/'Historical Data'!E236-1</f>
        <v>1.1162015826738925E-2</v>
      </c>
      <c r="F233" s="7">
        <f ca="1">+'Historical Data'!F237/'Historical Data'!F236-1</f>
        <v>3.3755788447477508E-2</v>
      </c>
      <c r="G233" s="7">
        <f ca="1">+'Historical Data'!G237/'Historical Data'!G236-1</f>
        <v>3.8136233197403335E-3</v>
      </c>
      <c r="H233" s="7">
        <f ca="1">+'Historical Data'!H237/'Historical Data'!H236-1</f>
        <v>2.0675668062571484E-2</v>
      </c>
      <c r="I233" s="7">
        <f ca="1">+'Historical Data'!I237/'Historical Data'!I236-1</f>
        <v>1.3896558071047282E-2</v>
      </c>
      <c r="J233" s="7">
        <f ca="1">+'Historical Data'!J237/'Historical Data'!J236-1</f>
        <v>8.1613058089295976E-3</v>
      </c>
      <c r="K233" s="7">
        <f ca="1">+'Historical Data'!K237/'Historical Data'!K236-1</f>
        <v>-4.1237113402061709E-3</v>
      </c>
      <c r="L233" s="7">
        <f ca="1">+'Historical Data'!L237/'Historical Data'!L236-1</f>
        <v>2.951322345726326E-2</v>
      </c>
      <c r="M233" s="7">
        <f ca="1">+'Historical Data'!M237/'Historical Data'!M236-1</f>
        <v>3.826516902241095E-2</v>
      </c>
      <c r="N233" s="7">
        <f ca="1">+'Historical Data'!N237/'Historical Data'!N236-1</f>
        <v>-0.16968167157481417</v>
      </c>
      <c r="O233" s="7">
        <f ca="1">+'Historical Data'!O237/'Historical Data'!O236-1</f>
        <v>-5.0618672665916686E-2</v>
      </c>
      <c r="P233" s="7">
        <f ca="1">+'Historical Data'!P237/'Historical Data'!P236-1</f>
        <v>-0.17396812423375563</v>
      </c>
    </row>
    <row r="234" spans="1:16" x14ac:dyDescent="0.25">
      <c r="A234" vm="3477">
        <f ca="1"/>
        <v>45685</v>
      </c>
      <c r="B234" s="7">
        <f ca="1">+'Historical Data'!B238/'Historical Data'!B237-1</f>
        <v>2.3668639053253671E-3</v>
      </c>
      <c r="C234" s="7">
        <f ca="1">+'Historical Data'!C238/'Historical Data'!C237-1</f>
        <v>1.1596295981649796E-2</v>
      </c>
      <c r="D234" s="7">
        <f ca="1">+'Historical Data'!D238/'Historical Data'!D237-1</f>
        <v>2.9086892488954241E-2</v>
      </c>
      <c r="E234" s="7">
        <f ca="1">+'Historical Data'!E238/'Historical Data'!E237-1</f>
        <v>0</v>
      </c>
      <c r="F234" s="7">
        <f ca="1">+'Historical Data'!F238/'Historical Data'!F237-1</f>
        <v>-2.0452670045974286E-2</v>
      </c>
      <c r="G234" s="7">
        <f ca="1">+'Historical Data'!G238/'Historical Data'!G237-1</f>
        <v>4.8523603535826076E-3</v>
      </c>
      <c r="H234" s="7">
        <f ca="1">+'Historical Data'!H238/'Historical Data'!H237-1</f>
        <v>-1.9134530468059019E-3</v>
      </c>
      <c r="I234" s="7">
        <f ca="1">+'Historical Data'!I238/'Historical Data'!I237-1</f>
        <v>-1.9333756921121825E-2</v>
      </c>
      <c r="J234" s="7">
        <f ca="1">+'Historical Data'!J238/'Historical Data'!J237-1</f>
        <v>3.8571428571428479E-2</v>
      </c>
      <c r="K234" s="7">
        <f ca="1">+'Historical Data'!K238/'Historical Data'!K237-1</f>
        <v>9.2017483321837901E-4</v>
      </c>
      <c r="L234" s="7">
        <f ca="1">+'Historical Data'!L238/'Historical Data'!L237-1</f>
        <v>-4.0953090096798039E-3</v>
      </c>
      <c r="M234" s="7">
        <f ca="1">+'Historical Data'!M238/'Historical Data'!M237-1</f>
        <v>-1.1543040530048065E-2</v>
      </c>
      <c r="N234" s="7">
        <f ca="1">+'Historical Data'!N238/'Historical Data'!N237-1</f>
        <v>8.9258571187299518E-2</v>
      </c>
      <c r="O234" s="7">
        <f ca="1">+'Historical Data'!O238/'Historical Data'!O237-1</f>
        <v>5.924170616113722E-3</v>
      </c>
      <c r="P234" s="7">
        <f ca="1">+'Historical Data'!P238/'Historical Data'!P237-1</f>
        <v>2.5874437243358361E-2</v>
      </c>
    </row>
    <row r="235" spans="1:16" x14ac:dyDescent="0.25">
      <c r="A235" vm="3491">
        <f ca="1"/>
        <v>45686</v>
      </c>
      <c r="B235" s="7">
        <f ca="1">+'Historical Data'!B239/'Historical Data'!B238-1</f>
        <v>-2.2582833027707139E-2</v>
      </c>
      <c r="C235" s="7">
        <f ca="1">+'Historical Data'!C239/'Historical Data'!C238-1</f>
        <v>-4.5349569598992501E-3</v>
      </c>
      <c r="D235" s="7">
        <f ca="1">+'Historical Data'!D239/'Historical Data'!D238-1</f>
        <v>-1.08899821109123E-2</v>
      </c>
      <c r="E235" s="7">
        <f ca="1">+'Historical Data'!E239/'Historical Data'!E238-1</f>
        <v>-1.0324848285141575E-2</v>
      </c>
      <c r="F235" s="7">
        <f ca="1">+'Historical Data'!F239/'Historical Data'!F238-1</f>
        <v>2.406883687344763E-4</v>
      </c>
      <c r="G235" s="7">
        <f ca="1">+'Historical Data'!G239/'Historical Data'!G238-1</f>
        <v>-2.0962791045893159E-3</v>
      </c>
      <c r="H235" s="7">
        <f ca="1">+'Historical Data'!H239/'Historical Data'!H238-1</f>
        <v>-8.0740303790001189E-3</v>
      </c>
      <c r="I235" s="7">
        <f ca="1">+'Historical Data'!I239/'Historical Data'!I238-1</f>
        <v>5.8311736393927838E-3</v>
      </c>
      <c r="J235" s="7">
        <f ca="1">+'Historical Data'!J239/'Historical Data'!J238-1</f>
        <v>1.4672168729940482E-2</v>
      </c>
      <c r="K235" s="7">
        <f ca="1">+'Historical Data'!K239/'Historical Data'!K238-1</f>
        <v>-7.584463341760439E-3</v>
      </c>
      <c r="L235" s="7">
        <f ca="1">+'Historical Data'!L239/'Historical Data'!L238-1</f>
        <v>-4.8598130841120968E-3</v>
      </c>
      <c r="M235" s="7">
        <f ca="1">+'Historical Data'!M239/'Historical Data'!M238-1</f>
        <v>-7.8550481776296088E-4</v>
      </c>
      <c r="N235" s="7">
        <f ca="1">+'Historical Data'!N239/'Historical Data'!N238-1</f>
        <v>-4.1010931079928703E-2</v>
      </c>
      <c r="O235" s="7">
        <f ca="1">+'Historical Data'!O239/'Historical Data'!O238-1</f>
        <v>2.0191822311963481E-3</v>
      </c>
      <c r="P235" s="7">
        <f ca="1">+'Historical Data'!P239/'Historical Data'!P238-1</f>
        <v>-4.8707561728396076E-3</v>
      </c>
    </row>
    <row r="236" spans="1:16" x14ac:dyDescent="0.25">
      <c r="A236" vm="3506">
        <f ca="1"/>
        <v>45687</v>
      </c>
      <c r="B236" s="7">
        <f ca="1">+'Historical Data'!B240/'Historical Data'!B239-1</f>
        <v>2.873297352865567E-2</v>
      </c>
      <c r="C236" s="7">
        <f ca="1">+'Historical Data'!C240/'Historical Data'!C239-1</f>
        <v>-1.0250137090310862E-2</v>
      </c>
      <c r="D236" s="7">
        <f ca="1">+'Historical Data'!D240/'Historical Data'!D239-1</f>
        <v>-6.1809056586711209E-2</v>
      </c>
      <c r="E236" s="7">
        <f ca="1">+'Historical Data'!E240/'Historical Data'!E239-1</f>
        <v>1.4261535473488518E-2</v>
      </c>
      <c r="F236" s="7">
        <f ca="1">+'Historical Data'!F240/'Historical Data'!F239-1</f>
        <v>7.0985983276183884E-3</v>
      </c>
      <c r="G236" s="7">
        <f ca="1">+'Historical Data'!G240/'Historical Data'!G239-1</f>
        <v>6.1895115912673493E-3</v>
      </c>
      <c r="H236" s="7">
        <f ca="1">+'Historical Data'!H240/'Historical Data'!H239-1</f>
        <v>1.3882178033822745E-2</v>
      </c>
      <c r="I236" s="7">
        <f ca="1">+'Historical Data'!I240/'Historical Data'!I239-1</f>
        <v>8.2819545412715634E-3</v>
      </c>
      <c r="J236" s="7">
        <f ca="1">+'Historical Data'!J240/'Historical Data'!J239-1</f>
        <v>7.6818798011748513E-3</v>
      </c>
      <c r="K236" s="7">
        <f ca="1">+'Historical Data'!K240/'Historical Data'!K239-1</f>
        <v>-9.2635479388603059E-4</v>
      </c>
      <c r="L236" s="7">
        <f ca="1">+'Historical Data'!L240/'Historical Data'!L239-1</f>
        <v>1.0894064613072851E-2</v>
      </c>
      <c r="M236" s="7">
        <f ca="1">+'Historical Data'!M240/'Historical Data'!M239-1</f>
        <v>1.5827262722079682E-2</v>
      </c>
      <c r="N236" s="7">
        <f ca="1">+'Historical Data'!N240/'Historical Data'!N239-1</f>
        <v>7.6798706548100171E-3</v>
      </c>
      <c r="O236" s="7">
        <f ca="1">+'Historical Data'!O240/'Historical Data'!O239-1</f>
        <v>1.5449202350965585E-2</v>
      </c>
      <c r="P236" s="7">
        <f ca="1">+'Historical Data'!P240/'Historical Data'!P239-1</f>
        <v>4.5117518778774013E-2</v>
      </c>
    </row>
    <row r="237" spans="1:16" x14ac:dyDescent="0.25">
      <c r="A237" vm="3522">
        <f ca="1"/>
        <v>45688</v>
      </c>
      <c r="B237" s="7">
        <f ca="1">+'Historical Data'!B241/'Historical Data'!B240-1</f>
        <v>1.0792445288298369E-2</v>
      </c>
      <c r="C237" s="7">
        <f ca="1">+'Historical Data'!C241/'Historical Data'!C240-1</f>
        <v>1.2956017729287561E-2</v>
      </c>
      <c r="D237" s="7">
        <f ca="1">+'Historical Data'!D241/'Historical Data'!D240-1</f>
        <v>1.6867876334369925E-4</v>
      </c>
      <c r="E237" s="7">
        <f ca="1">+'Historical Data'!E241/'Historical Data'!E240-1</f>
        <v>-2.0216112706879952E-2</v>
      </c>
      <c r="F237" s="7">
        <f ca="1">+'Historical Data'!F241/'Historical Data'!F240-1</f>
        <v>-8.482169523923222E-3</v>
      </c>
      <c r="G237" s="7">
        <f ca="1">+'Historical Data'!G241/'Historical Data'!G240-1</f>
        <v>-3.4671736942176734E-3</v>
      </c>
      <c r="H237" s="7">
        <f ca="1">+'Historical Data'!H241/'Historical Data'!H240-1</f>
        <v>-5.6454717084883921E-3</v>
      </c>
      <c r="I237" s="7">
        <f ca="1">+'Historical Data'!I241/'Historical Data'!I240-1</f>
        <v>-2.5006844939308159E-2</v>
      </c>
      <c r="J237" s="7">
        <f ca="1">+'Historical Data'!J241/'Historical Data'!J240-1</f>
        <v>-1.3004484304932729E-2</v>
      </c>
      <c r="K237" s="7">
        <f ca="1">+'Historical Data'!K241/'Historical Data'!K240-1</f>
        <v>2.3180343069073572E-4</v>
      </c>
      <c r="L237" s="7">
        <f ca="1">+'Historical Data'!L241/'Historical Data'!L240-1</f>
        <v>-1.449275362318847E-2</v>
      </c>
      <c r="M237" s="7">
        <f ca="1">+'Historical Data'!M241/'Historical Data'!M240-1</f>
        <v>-7.738740133106381E-3</v>
      </c>
      <c r="N237" s="7">
        <f ca="1">+'Historical Data'!N241/'Historical Data'!N240-1</f>
        <v>-3.6742880064179806E-2</v>
      </c>
      <c r="O237" s="7">
        <f ca="1">+'Historical Data'!O241/'Historical Data'!O240-1</f>
        <v>2.149826360178686E-3</v>
      </c>
      <c r="P237" s="7">
        <f ca="1">+'Historical Data'!P241/'Historical Data'!P240-1</f>
        <v>2.6013168876936055E-2</v>
      </c>
    </row>
    <row r="238" spans="1:16" x14ac:dyDescent="0.25">
      <c r="A238" vm="3538">
        <f ca="1"/>
        <v>45691</v>
      </c>
      <c r="B238" s="7">
        <f ca="1">+'Historical Data'!B242/'Historical Data'!B241-1</f>
        <v>-5.1705388037567968E-2</v>
      </c>
      <c r="C238" s="7">
        <f ca="1">+'Historical Data'!C242/'Historical Data'!C241-1</f>
        <v>-1.0939077751599413E-3</v>
      </c>
      <c r="D238" s="7">
        <f ca="1">+'Historical Data'!D242/'Historical Data'!D241-1</f>
        <v>-9.9744615236351253E-3</v>
      </c>
      <c r="E238" s="7">
        <f ca="1">+'Historical Data'!E242/'Historical Data'!E241-1</f>
        <v>-1.4518650882288098E-3</v>
      </c>
      <c r="F238" s="7">
        <f ca="1">+'Historical Data'!F242/'Historical Data'!F241-1</f>
        <v>1.6687752274233247E-2</v>
      </c>
      <c r="G238" s="7">
        <f ca="1">+'Historical Data'!G242/'Historical Data'!G241-1</f>
        <v>-1.8331462775907914E-3</v>
      </c>
      <c r="H238" s="7">
        <f ca="1">+'Historical Data'!H242/'Historical Data'!H241-1</f>
        <v>1.0488672602259941E-2</v>
      </c>
      <c r="I238" s="7">
        <f ca="1">+'Historical Data'!I242/'Historical Data'!I241-1</f>
        <v>2.4337732846579918E-3</v>
      </c>
      <c r="J238" s="7">
        <f ca="1">+'Historical Data'!J242/'Historical Data'!J241-1</f>
        <v>-5.4520672421627392E-3</v>
      </c>
      <c r="K238" s="7">
        <f ca="1">+'Historical Data'!K242/'Historical Data'!K241-1</f>
        <v>-8.5747392815758161E-3</v>
      </c>
      <c r="L238" s="7">
        <f ca="1">+'Historical Data'!L242/'Historical Data'!L241-1</f>
        <v>-1.2066365007541435E-2</v>
      </c>
      <c r="M238" s="7">
        <f ca="1">+'Historical Data'!M242/'Historical Data'!M241-1</f>
        <v>-1.8197889044871962E-3</v>
      </c>
      <c r="N238" s="7">
        <f ca="1">+'Historical Data'!N242/'Historical Data'!N241-1</f>
        <v>-2.8400099941700674E-2</v>
      </c>
      <c r="O238" s="7">
        <f ca="1">+'Historical Data'!O242/'Historical Data'!O241-1</f>
        <v>7.2607260726071932E-3</v>
      </c>
      <c r="P238" s="7">
        <f ca="1">+'Historical Data'!P242/'Historical Data'!P241-1</f>
        <v>-1.5998553803046156E-2</v>
      </c>
    </row>
    <row r="239" spans="1:16" x14ac:dyDescent="0.25">
      <c r="A239" vm="3554">
        <f ca="1"/>
        <v>45692</v>
      </c>
      <c r="B239" s="7">
        <f ca="1">+'Historical Data'!B243/'Historical Data'!B242-1</f>
        <v>2.223206839032521E-2</v>
      </c>
      <c r="C239" s="7">
        <f ca="1">+'Historical Data'!C243/'Historical Data'!C242-1</f>
        <v>1.9543425153736083E-2</v>
      </c>
      <c r="D239" s="7">
        <f ca="1">+'Historical Data'!D243/'Historical Data'!D242-1</f>
        <v>3.5286673805119406E-3</v>
      </c>
      <c r="E239" s="7">
        <f ca="1">+'Historical Data'!E243/'Historical Data'!E242-1</f>
        <v>-1.3980539089586408E-4</v>
      </c>
      <c r="F239" s="7">
        <f ca="1">+'Historical Data'!F243/'Historical Data'!F242-1</f>
        <v>-3.7331121118747701E-3</v>
      </c>
      <c r="G239" s="7">
        <f ca="1">+'Historical Data'!G243/'Historical Data'!G242-1</f>
        <v>4.2352235673326355E-3</v>
      </c>
      <c r="H239" s="7">
        <f ca="1">+'Historical Data'!H243/'Historical Data'!H242-1</f>
        <v>-4.9801160202851413E-3</v>
      </c>
      <c r="I239" s="7">
        <f ca="1">+'Historical Data'!I243/'Historical Data'!I242-1</f>
        <v>2.6799887944719325E-2</v>
      </c>
      <c r="J239" s="7">
        <f ca="1">+'Historical Data'!J243/'Historical Data'!J242-1</f>
        <v>2.8780264961169477E-2</v>
      </c>
      <c r="K239" s="7">
        <f ca="1">+'Historical Data'!K243/'Historical Data'!K242-1</f>
        <v>5.3763440860215006E-3</v>
      </c>
      <c r="L239" s="7">
        <f ca="1">+'Historical Data'!L243/'Historical Data'!L242-1</f>
        <v>-1.2595419847328149E-2</v>
      </c>
      <c r="M239" s="7">
        <f ca="1">+'Historical Data'!M243/'Historical Data'!M242-1</f>
        <v>-5.7818522762786984E-3</v>
      </c>
      <c r="N239" s="7">
        <f ca="1">+'Historical Data'!N243/'Historical Data'!N242-1</f>
        <v>1.705811760672038E-2</v>
      </c>
      <c r="O239" s="7">
        <f ca="1">+'Historical Data'!O243/'Historical Data'!O242-1</f>
        <v>4.9148099606814988E-3</v>
      </c>
      <c r="P239" s="7">
        <f ca="1">+'Historical Data'!P243/'Historical Data'!P242-1</f>
        <v>2.1586368437973791E-2</v>
      </c>
    </row>
    <row r="240" spans="1:16" x14ac:dyDescent="0.25">
      <c r="A240" vm="3569">
        <f ca="1"/>
        <v>45693</v>
      </c>
      <c r="B240" s="7">
        <f ca="1">+'Historical Data'!B244/'Historical Data'!B243-1</f>
        <v>-3.5797149486244573E-2</v>
      </c>
      <c r="C240" s="7">
        <f ca="1">+'Historical Data'!C244/'Historical Data'!C243-1</f>
        <v>-2.4332810047095865E-2</v>
      </c>
      <c r="D240" s="7">
        <f ca="1">+'Historical Data'!D244/'Historical Data'!D243-1</f>
        <v>2.2310061352668331E-3</v>
      </c>
      <c r="E240" s="7">
        <f ca="1">+'Historical Data'!E244/'Historical Data'!E243-1</f>
        <v>1.9267876618473734E-2</v>
      </c>
      <c r="F240" s="7">
        <f ca="1">+'Historical Data'!F244/'Historical Data'!F243-1</f>
        <v>5.234045084161032E-3</v>
      </c>
      <c r="G240" s="7">
        <f ca="1">+'Historical Data'!G244/'Historical Data'!G243-1</f>
        <v>9.2931253265657876E-3</v>
      </c>
      <c r="H240" s="7">
        <f ca="1">+'Historical Data'!H244/'Historical Data'!H243-1</f>
        <v>-1.034008616738491E-2</v>
      </c>
      <c r="I240" s="7">
        <f ca="1">+'Historical Data'!I244/'Historical Data'!I243-1</f>
        <v>-7.2753728628593972E-4</v>
      </c>
      <c r="J240" s="7">
        <f ca="1">+'Historical Data'!J244/'Historical Data'!J243-1</f>
        <v>1.7761989342806483E-2</v>
      </c>
      <c r="K240" s="7">
        <f ca="1">+'Historical Data'!K244/'Historical Data'!K243-1</f>
        <v>1.0927691234596582E-2</v>
      </c>
      <c r="L240" s="7">
        <f ca="1">+'Historical Data'!L244/'Historical Data'!L243-1</f>
        <v>2.2033243138770864E-2</v>
      </c>
      <c r="M240" s="7">
        <f ca="1">+'Historical Data'!M244/'Historical Data'!M243-1</f>
        <v>1.1211819563053282E-2</v>
      </c>
      <c r="N240" s="7">
        <f ca="1">+'Historical Data'!N244/'Historical Data'!N243-1</f>
        <v>5.2085967130214961E-2</v>
      </c>
      <c r="O240" s="7">
        <f ca="1">+'Historical Data'!O244/'Historical Data'!O243-1</f>
        <v>2.0052168242582269E-2</v>
      </c>
      <c r="P240" s="7">
        <f ca="1">+'Historical Data'!P244/'Historical Data'!P243-1</f>
        <v>4.3024771838331199E-2</v>
      </c>
    </row>
    <row r="241" spans="1:16" x14ac:dyDescent="0.25">
      <c r="A241" vm="3582">
        <f ca="1"/>
        <v>45694</v>
      </c>
      <c r="B241" s="7">
        <f ca="1">+'Historical Data'!B245/'Historical Data'!B244-1</f>
        <v>-1.0180606605494913E-2</v>
      </c>
      <c r="C241" s="7">
        <f ca="1">+'Historical Data'!C245/'Historical Data'!C244-1</f>
        <v>1.1263073209975882E-2</v>
      </c>
      <c r="D241" s="7">
        <f ca="1">+'Historical Data'!D245/'Historical Data'!D244-1</f>
        <v>6.1216095235789858E-3</v>
      </c>
      <c r="E241" s="7">
        <f ca="1">+'Historical Data'!E245/'Historical Data'!E244-1</f>
        <v>2.0302897278314802E-3</v>
      </c>
      <c r="F241" s="7">
        <f ca="1">+'Historical Data'!F245/'Historical Data'!F244-1</f>
        <v>-7.6918525531033399E-4</v>
      </c>
      <c r="G241" s="7">
        <f ca="1">+'Historical Data'!G245/'Historical Data'!G244-1</f>
        <v>2.3924860407499082E-2</v>
      </c>
      <c r="H241" s="7">
        <f ca="1">+'Historical Data'!H245/'Historical Data'!H244-1</f>
        <v>-1.8098960745447479E-2</v>
      </c>
      <c r="I241" s="7">
        <f ca="1">+'Historical Data'!I245/'Historical Data'!I244-1</f>
        <v>-1.319621405169269E-2</v>
      </c>
      <c r="J241" s="7">
        <f ca="1">+'Historical Data'!J245/'Historical Data'!J244-1</f>
        <v>3.9267015706805353E-3</v>
      </c>
      <c r="K241" s="7">
        <f ca="1">+'Historical Data'!K245/'Historical Data'!K244-1</f>
        <v>4.5998160073601468E-4</v>
      </c>
      <c r="L241" s="7">
        <f ca="1">+'Historical Data'!L245/'Historical Data'!L244-1</f>
        <v>-2.3071104387292096E-2</v>
      </c>
      <c r="M241" s="7">
        <f ca="1">+'Historical Data'!M245/'Historical Data'!M244-1</f>
        <v>-5.8546189316615038E-3</v>
      </c>
      <c r="N241" s="7">
        <f ca="1">+'Historical Data'!N245/'Historical Data'!N244-1</f>
        <v>3.0841945045261721E-2</v>
      </c>
      <c r="O241" s="7">
        <f ca="1">+'Historical Data'!O245/'Historical Data'!O244-1</f>
        <v>-4.7946300143838494E-3</v>
      </c>
      <c r="P241" s="7">
        <f ca="1">+'Historical Data'!P245/'Historical Data'!P244-1</f>
        <v>-2.7586206896551557E-3</v>
      </c>
    </row>
    <row r="242" spans="1:16" x14ac:dyDescent="0.25">
      <c r="A242" vm="3596">
        <f ca="1"/>
        <v>45695</v>
      </c>
      <c r="B242" s="7">
        <f ca="1">+'Historical Data'!B246/'Historical Data'!B245-1</f>
        <v>-3.3928189784141916E-2</v>
      </c>
      <c r="C242" s="7">
        <f ca="1">+'Historical Data'!C246/'Historical Data'!C245-1</f>
        <v>-4.0530921576016454E-2</v>
      </c>
      <c r="D242" s="7">
        <f ca="1">+'Historical Data'!D246/'Historical Data'!D245-1</f>
        <v>-1.4597662450098636E-2</v>
      </c>
      <c r="E242" s="7">
        <f ca="1">+'Historical Data'!E246/'Historical Data'!E245-1</f>
        <v>-1.2732051913915021E-2</v>
      </c>
      <c r="F242" s="7">
        <f ca="1">+'Historical Data'!F246/'Historical Data'!F245-1</f>
        <v>-5.3884414969208594E-3</v>
      </c>
      <c r="G242" s="7">
        <f ca="1">+'Historical Data'!G246/'Historical Data'!G245-1</f>
        <v>-3.9725532683277942E-3</v>
      </c>
      <c r="H242" s="7">
        <f ca="1">+'Historical Data'!H246/'Historical Data'!H245-1</f>
        <v>-5.6788166930797912E-3</v>
      </c>
      <c r="I242" s="7">
        <f ca="1">+'Historical Data'!I246/'Historical Data'!I245-1</f>
        <v>4.2423683482430974E-3</v>
      </c>
      <c r="J242" s="7">
        <f ca="1">+'Historical Data'!J246/'Historical Data'!J245-1</f>
        <v>-1.9122120817036126E-2</v>
      </c>
      <c r="K242" s="7">
        <f ca="1">+'Historical Data'!K246/'Historical Data'!K245-1</f>
        <v>-1.5632183908045993E-2</v>
      </c>
      <c r="L242" s="7">
        <f ca="1">+'Historical Data'!L246/'Historical Data'!L245-1</f>
        <v>-3.4843205574912606E-3</v>
      </c>
      <c r="M242" s="7">
        <f ca="1">+'Historical Data'!M246/'Historical Data'!M245-1</f>
        <v>-8.5470085470085166E-3</v>
      </c>
      <c r="N242" s="7">
        <f ca="1">+'Historical Data'!N246/'Historical Data'!N245-1</f>
        <v>9.0146098849859246E-3</v>
      </c>
      <c r="O242" s="7">
        <f ca="1">+'Historical Data'!O246/'Historical Data'!O245-1</f>
        <v>0</v>
      </c>
      <c r="P242" s="7">
        <f ca="1">+'Historical Data'!P246/'Historical Data'!P245-1</f>
        <v>-2.805152143845091E-2</v>
      </c>
    </row>
    <row r="243" spans="1:16" x14ac:dyDescent="0.25">
      <c r="A243" vm="3610">
        <f ca="1"/>
        <v>45698</v>
      </c>
      <c r="B243" s="7">
        <f ca="1">+'Historical Data'!B247/'Historical Data'!B246-1</f>
        <v>-3.0114484818317577E-2</v>
      </c>
      <c r="C243" s="7">
        <f ca="1">+'Historical Data'!C247/'Historical Data'!C246-1</f>
        <v>1.7412175430940424E-2</v>
      </c>
      <c r="D243" s="7">
        <f ca="1">+'Historical Data'!D247/'Historical Data'!D246-1</f>
        <v>6.028065893837864E-3</v>
      </c>
      <c r="E243" s="7">
        <f ca="1">+'Historical Data'!E247/'Historical Data'!E246-1</f>
        <v>-3.9104750811215228E-3</v>
      </c>
      <c r="F243" s="7">
        <f ca="1">+'Historical Data'!F247/'Historical Data'!F246-1</f>
        <v>-2.6195153896528822E-3</v>
      </c>
      <c r="G243" s="7">
        <f ca="1">+'Historical Data'!G247/'Historical Data'!G246-1</f>
        <v>-1.7258883248730927E-2</v>
      </c>
      <c r="H243" s="7">
        <f ca="1">+'Historical Data'!H247/'Historical Data'!H246-1</f>
        <v>1.2029675730034439E-2</v>
      </c>
      <c r="I243" s="7">
        <f ca="1">+'Historical Data'!I247/'Historical Data'!I246-1</f>
        <v>1.9101845899531567E-2</v>
      </c>
      <c r="J243" s="7">
        <f ca="1">+'Historical Data'!J247/'Historical Data'!J246-1</f>
        <v>-6.645990252547529E-3</v>
      </c>
      <c r="K243" s="7">
        <f ca="1">+'Historical Data'!K247/'Historical Data'!K246-1</f>
        <v>6.3054647361047156E-3</v>
      </c>
      <c r="L243" s="7">
        <f ca="1">+'Historical Data'!L247/'Historical Data'!L246-1</f>
        <v>5.050505050505194E-3</v>
      </c>
      <c r="M243" s="7">
        <f ca="1">+'Historical Data'!M247/'Historical Data'!M246-1</f>
        <v>-1.9238856181665209E-2</v>
      </c>
      <c r="N243" s="7">
        <f ca="1">+'Historical Data'!N247/'Historical Data'!N246-1</f>
        <v>2.8727664818237741E-2</v>
      </c>
      <c r="O243" s="7">
        <f ca="1">+'Historical Data'!O247/'Historical Data'!O246-1</f>
        <v>8.6719126385097489E-3</v>
      </c>
      <c r="P243" s="7">
        <f ca="1">+'Historical Data'!P247/'Historical Data'!P246-1</f>
        <v>4.5226130653266194E-2</v>
      </c>
    </row>
    <row r="244" spans="1:16" x14ac:dyDescent="0.25">
      <c r="A244" vm="3624">
        <f ca="1"/>
        <v>45699</v>
      </c>
      <c r="B244" s="7">
        <f ca="1">+'Historical Data'!B248/'Historical Data'!B247-1</f>
        <v>-6.3382088786245849E-2</v>
      </c>
      <c r="C244" s="7">
        <f ca="1">+'Historical Data'!C248/'Historical Data'!C247-1</f>
        <v>-1.6299219353178573E-3</v>
      </c>
      <c r="D244" s="7">
        <f ca="1">+'Historical Data'!D248/'Historical Data'!D247-1</f>
        <v>-1.8921934889137848E-3</v>
      </c>
      <c r="E244" s="7">
        <f ca="1">+'Historical Data'!E248/'Historical Data'!E247-1</f>
        <v>6.153246463971529E-3</v>
      </c>
      <c r="F244" s="7">
        <f ca="1">+'Historical Data'!F248/'Historical Data'!F247-1</f>
        <v>1.1341252313018524E-2</v>
      </c>
      <c r="G244" s="7">
        <f ca="1">+'Historical Data'!G248/'Historical Data'!G247-1</f>
        <v>1.4573494687130983E-2</v>
      </c>
      <c r="H244" s="7">
        <f ca="1">+'Historical Data'!H248/'Historical Data'!H247-1</f>
        <v>1.0311791064363529E-3</v>
      </c>
      <c r="I244" s="7">
        <f ca="1">+'Historical Data'!I248/'Historical Data'!I247-1</f>
        <v>6.3080111741913303E-3</v>
      </c>
      <c r="J244" s="7">
        <f ca="1">+'Historical Data'!J248/'Historical Data'!J247-1</f>
        <v>-2.6761819803747811E-3</v>
      </c>
      <c r="K244" s="7">
        <f ca="1">+'Historical Data'!K248/'Historical Data'!K247-1</f>
        <v>7.6583894174981904E-3</v>
      </c>
      <c r="L244" s="7">
        <f ca="1">+'Historical Data'!L248/'Historical Data'!L247-1</f>
        <v>-1.3142636258214102E-2</v>
      </c>
      <c r="M244" s="7">
        <f ca="1">+'Historical Data'!M248/'Historical Data'!M247-1</f>
        <v>1.5274949083503131E-2</v>
      </c>
      <c r="N244" s="7">
        <f ca="1">+'Historical Data'!N248/'Historical Data'!N247-1</f>
        <v>-5.7647675376205632E-3</v>
      </c>
      <c r="O244" s="7">
        <f ca="1">+'Historical Data'!O248/'Historical Data'!O247-1</f>
        <v>-6.0499920394841977E-3</v>
      </c>
      <c r="P244" s="7">
        <f ca="1">+'Historical Data'!P248/'Historical Data'!P247-1</f>
        <v>0</v>
      </c>
    </row>
    <row r="245" spans="1:16" x14ac:dyDescent="0.25">
      <c r="A245" vm="3639">
        <f ca="1"/>
        <v>45700</v>
      </c>
      <c r="B245" s="7">
        <f ca="1">+'Historical Data'!B249/'Historical Data'!B248-1</f>
        <v>2.4383561643835483E-2</v>
      </c>
      <c r="C245" s="7">
        <f ca="1">+'Historical Data'!C249/'Historical Data'!C248-1</f>
        <v>-1.6454717305378841E-2</v>
      </c>
      <c r="D245" s="7">
        <f ca="1">+'Historical Data'!D249/'Historical Data'!D248-1</f>
        <v>-5.8331713007971908E-3</v>
      </c>
      <c r="E245" s="7">
        <f ca="1">+'Historical Data'!E249/'Historical Data'!E248-1</f>
        <v>-1.6243739103965482E-2</v>
      </c>
      <c r="F245" s="7">
        <f ca="1">+'Historical Data'!F249/'Historical Data'!F248-1</f>
        <v>8.8532137165797664E-4</v>
      </c>
      <c r="G245" s="7">
        <f ca="1">+'Historical Data'!G249/'Historical Data'!G248-1</f>
        <v>1.6727881013853807E-3</v>
      </c>
      <c r="H245" s="7">
        <f ca="1">+'Historical Data'!H249/'Historical Data'!H248-1</f>
        <v>-1.2211567275996371E-2</v>
      </c>
      <c r="I245" s="7">
        <f ca="1">+'Historical Data'!I249/'Historical Data'!I248-1</f>
        <v>-3.8685412375750072E-2</v>
      </c>
      <c r="J245" s="7">
        <f ca="1">+'Historical Data'!J249/'Historical Data'!J248-1</f>
        <v>-1.744186046511631E-2</v>
      </c>
      <c r="K245" s="7">
        <f ca="1">+'Historical Data'!K249/'Historical Data'!K248-1</f>
        <v>2.1649009672961794E-2</v>
      </c>
      <c r="L245" s="7">
        <f ca="1">+'Historical Data'!L249/'Historical Data'!L248-1</f>
        <v>-2.3501762632198719E-3</v>
      </c>
      <c r="M245" s="7">
        <f ca="1">+'Historical Data'!M249/'Historical Data'!M248-1</f>
        <v>-5.2789948793752206E-4</v>
      </c>
      <c r="N245" s="7">
        <f ca="1">+'Historical Data'!N249/'Historical Data'!N248-1</f>
        <v>-1.2500000000000178E-2</v>
      </c>
      <c r="O245" s="7">
        <f ca="1">+'Historical Data'!O249/'Historical Data'!O248-1</f>
        <v>1.6017940092905025E-3</v>
      </c>
      <c r="P245" s="7">
        <f ca="1">+'Historical Data'!P249/'Historical Data'!P248-1</f>
        <v>5.5735194009529643E-3</v>
      </c>
    </row>
    <row r="246" spans="1:16" x14ac:dyDescent="0.25">
      <c r="A246" vm="3654">
        <f ca="1"/>
        <v>45701</v>
      </c>
      <c r="B246" s="7">
        <f ca="1">+'Historical Data'!B250/'Historical Data'!B249-1</f>
        <v>5.7739740275177587E-2</v>
      </c>
      <c r="C246" s="7">
        <f ca="1">+'Historical Data'!C250/'Historical Data'!C249-1</f>
        <v>6.2901323548683052E-3</v>
      </c>
      <c r="D246" s="7">
        <f ca="1">+'Historical Data'!D250/'Historical Data'!D249-1</f>
        <v>3.667123019753582E-3</v>
      </c>
      <c r="E246" s="7">
        <f ca="1">+'Historical Data'!E250/'Historical Data'!E249-1</f>
        <v>1.5836849507735673E-2</v>
      </c>
      <c r="F246" s="7">
        <f ca="1">+'Historical Data'!F250/'Historical Data'!F249-1</f>
        <v>8.4915674018162246E-3</v>
      </c>
      <c r="G246" s="7">
        <f ca="1">+'Historical Data'!G250/'Historical Data'!G249-1</f>
        <v>3.1584679615175304E-3</v>
      </c>
      <c r="H246" s="7">
        <f ca="1">+'Historical Data'!H250/'Historical Data'!H249-1</f>
        <v>7.1672354948804085E-3</v>
      </c>
      <c r="I246" s="7">
        <f ca="1">+'Historical Data'!I250/'Historical Data'!I249-1</f>
        <v>7.2659524918490259E-3</v>
      </c>
      <c r="J246" s="7">
        <f ca="1">+'Historical Data'!J250/'Historical Data'!J249-1</f>
        <v>5.5530268548020123E-2</v>
      </c>
      <c r="K246" s="7">
        <f ca="1">+'Historical Data'!K250/'Historical Data'!K249-1</f>
        <v>-7.8899909828674675E-3</v>
      </c>
      <c r="L246" s="7">
        <f ca="1">+'Historical Data'!L250/'Historical Data'!L249-1</f>
        <v>6.6745190420103295E-3</v>
      </c>
      <c r="M246" s="7">
        <f ca="1">+'Historical Data'!M250/'Historical Data'!M249-1</f>
        <v>1.8169333967147372E-2</v>
      </c>
      <c r="N246" s="7">
        <f ca="1">+'Historical Data'!N250/'Historical Data'!N249-1</f>
        <v>3.1645569620253111E-2</v>
      </c>
      <c r="O246" s="7">
        <f ca="1">+'Historical Data'!O250/'Historical Data'!O249-1</f>
        <v>2.0949944026867229E-2</v>
      </c>
      <c r="P246" s="7">
        <f ca="1">+'Historical Data'!P250/'Historical Data'!P249-1</f>
        <v>-2.3270573302305309E-3</v>
      </c>
    </row>
    <row r="247" spans="1:16" x14ac:dyDescent="0.25">
      <c r="A247" vm="3667">
        <f ca="1"/>
        <v>45702</v>
      </c>
      <c r="B247" s="7">
        <f ca="1">+'Historical Data'!B251/'Historical Data'!B250-1</f>
        <v>-2.8094622689223137E-4</v>
      </c>
      <c r="C247" s="7">
        <f ca="1">+'Historical Data'!C251/'Historical Data'!C250-1</f>
        <v>-7.3360246559881492E-3</v>
      </c>
      <c r="D247" s="7">
        <f ca="1">+'Historical Data'!D251/'Historical Data'!D250-1</f>
        <v>-5.1395722706679692E-3</v>
      </c>
      <c r="E247" s="7">
        <f ca="1">+'Historical Data'!E251/'Historical Data'!E250-1</f>
        <v>-1.1823996898623679E-2</v>
      </c>
      <c r="F247" s="7">
        <f ca="1">+'Historical Data'!F251/'Historical Data'!F250-1</f>
        <v>-4.7538299614080404E-2</v>
      </c>
      <c r="G247" s="7">
        <f ca="1">+'Historical Data'!G251/'Historical Data'!G250-1</f>
        <v>9.7712796757365439E-4</v>
      </c>
      <c r="H247" s="7">
        <f ca="1">+'Historical Data'!H251/'Historical Data'!H250-1</f>
        <v>-1.4439549681840358E-2</v>
      </c>
      <c r="I247" s="7">
        <f ca="1">+'Historical Data'!I251/'Historical Data'!I250-1</f>
        <v>1.0172939979653517E-3</v>
      </c>
      <c r="J247" s="7">
        <f ca="1">+'Historical Data'!J251/'Historical Data'!J250-1</f>
        <v>4.0965933592065573E-2</v>
      </c>
      <c r="K247" s="7">
        <f ca="1">+'Historical Data'!K251/'Historical Data'!K250-1</f>
        <v>1.8177686889344624E-3</v>
      </c>
      <c r="L247" s="7">
        <f ca="1">+'Historical Data'!L251/'Historical Data'!L250-1</f>
        <v>-4.2901716068642903E-3</v>
      </c>
      <c r="M247" s="7">
        <f ca="1">+'Historical Data'!M251/'Historical Data'!M250-1</f>
        <v>-2.6663899984437522E-2</v>
      </c>
      <c r="N247" s="7">
        <f ca="1">+'Historical Data'!N251/'Historical Data'!N250-1</f>
        <v>2.6313844334392877E-2</v>
      </c>
      <c r="O247" s="7">
        <f ca="1">+'Historical Data'!O251/'Historical Data'!O250-1</f>
        <v>1.6134085213032501E-2</v>
      </c>
      <c r="P247" s="7">
        <f ca="1">+'Historical Data'!P251/'Historical Data'!P250-1</f>
        <v>-1.1704834605598013E-2</v>
      </c>
    </row>
    <row r="248" spans="1:16" x14ac:dyDescent="0.25">
      <c r="A248" vm="3682">
        <f ca="1"/>
        <v>45706</v>
      </c>
      <c r="B248" s="7">
        <f ca="1">+'Historical Data'!B252/'Historical Data'!B251-1</f>
        <v>-4.8617356115107091E-3</v>
      </c>
      <c r="C248" s="7">
        <f ca="1">+'Historical Data'!C252/'Historical Data'!C251-1</f>
        <v>-8.8770334091307079E-3</v>
      </c>
      <c r="D248" s="7">
        <f ca="1">+'Historical Data'!D252/'Historical Data'!D251-1</f>
        <v>2.9625639644492718E-3</v>
      </c>
      <c r="E248" s="7">
        <f ca="1">+'Historical Data'!E252/'Historical Data'!E251-1</f>
        <v>-1.0844588914420195E-2</v>
      </c>
      <c r="F248" s="7">
        <f ca="1">+'Historical Data'!F252/'Historical Data'!F251-1</f>
        <v>1.5593345202283837E-2</v>
      </c>
      <c r="G248" s="7">
        <f ca="1">+'Historical Data'!G252/'Historical Data'!G251-1</f>
        <v>1.2147944611157424E-2</v>
      </c>
      <c r="H248" s="7">
        <f ca="1">+'Historical Data'!H252/'Historical Data'!H251-1</f>
        <v>-4.3513972990009697E-2</v>
      </c>
      <c r="I248" s="7">
        <f ca="1">+'Historical Data'!I252/'Historical Data'!I251-1</f>
        <v>1.7553584626755381E-2</v>
      </c>
      <c r="J248" s="7">
        <f ca="1">+'Historical Data'!J252/'Historical Data'!J251-1</f>
        <v>1.5741507870753901E-2</v>
      </c>
      <c r="K248" s="7">
        <f ca="1">+'Historical Data'!K252/'Historical Data'!K251-1</f>
        <v>2.4495350419596162E-2</v>
      </c>
      <c r="L248" s="7">
        <f ca="1">+'Historical Data'!L252/'Historical Data'!L251-1</f>
        <v>1.1750881316097139E-3</v>
      </c>
      <c r="M248" s="7">
        <f ca="1">+'Historical Data'!M252/'Historical Data'!M251-1</f>
        <v>7.0351223151947639E-3</v>
      </c>
      <c r="N248" s="7">
        <f ca="1">+'Historical Data'!N252/'Historical Data'!N251-1</f>
        <v>3.961109110551142E-3</v>
      </c>
      <c r="O248" s="7">
        <f ca="1">+'Historical Data'!O252/'Historical Data'!O251-1</f>
        <v>-4.3163249576075868E-3</v>
      </c>
      <c r="P248" s="7">
        <f ca="1">+'Historical Data'!P252/'Historical Data'!P251-1</f>
        <v>-1.9352900789563976E-2</v>
      </c>
    </row>
    <row r="249" spans="1:16" x14ac:dyDescent="0.25">
      <c r="A249" vm="3697">
        <f ca="1"/>
        <v>45707</v>
      </c>
      <c r="B249" s="7">
        <f ca="1">+'Historical Data'!B253/'Historical Data'!B252-1</f>
        <v>1.8214679054531002E-2</v>
      </c>
      <c r="C249" s="7">
        <f ca="1">+'Historical Data'!C253/'Historical Data'!C252-1</f>
        <v>-8.8241782484010933E-5</v>
      </c>
      <c r="D249" s="7">
        <f ca="1">+'Historical Data'!D253/'Historical Data'!D252-1</f>
        <v>1.2523191094619746E-2</v>
      </c>
      <c r="E249" s="7">
        <f ca="1">+'Historical Data'!E253/'Historical Data'!E252-1</f>
        <v>-3.2295532451344089E-3</v>
      </c>
      <c r="F249" s="7">
        <f ca="1">+'Historical Data'!F253/'Historical Data'!F252-1</f>
        <v>6.4075439763042752E-3</v>
      </c>
      <c r="G249" s="7">
        <f ca="1">+'Historical Data'!G253/'Historical Data'!G252-1</f>
        <v>-2.5004465083050542E-3</v>
      </c>
      <c r="H249" s="7">
        <f ca="1">+'Historical Data'!H253/'Historical Data'!H252-1</f>
        <v>2.0589938689513421E-2</v>
      </c>
      <c r="I249" s="7">
        <f ca="1">+'Historical Data'!I253/'Historical Data'!I252-1</f>
        <v>1.4526965680043968E-3</v>
      </c>
      <c r="J249" s="7">
        <f ca="1">+'Historical Data'!J253/'Historical Data'!J252-1</f>
        <v>8.1566068515497303E-3</v>
      </c>
      <c r="K249" s="7">
        <f ca="1">+'Historical Data'!K253/'Historical Data'!K252-1</f>
        <v>-2.6455612131946027E-2</v>
      </c>
      <c r="L249" s="7">
        <f ca="1">+'Historical Data'!L253/'Historical Data'!L252-1</f>
        <v>1.2910798122065748E-2</v>
      </c>
      <c r="M249" s="7">
        <f ca="1">+'Historical Data'!M253/'Historical Data'!M252-1</f>
        <v>1.4024874305371915E-2</v>
      </c>
      <c r="N249" s="7">
        <f ca="1">+'Historical Data'!N253/'Historical Data'!N252-1</f>
        <v>-1.2195121951220633E-3</v>
      </c>
      <c r="O249" s="7">
        <f ca="1">+'Historical Data'!O253/'Historical Data'!O252-1</f>
        <v>3.8705681994117835E-3</v>
      </c>
      <c r="P249" s="7">
        <f ca="1">+'Historical Data'!P253/'Historical Data'!P252-1</f>
        <v>8.7515862250020504E-4</v>
      </c>
    </row>
    <row r="250" spans="1:16" x14ac:dyDescent="0.25">
      <c r="A250" vm="3711">
        <f ca="1"/>
        <v>45708</v>
      </c>
      <c r="B250" s="7">
        <f ca="1">+'Historical Data'!B254/'Historical Data'!B253-1</f>
        <v>-1.708453516751729E-2</v>
      </c>
      <c r="C250" s="7">
        <f ca="1">+'Historical Data'!C254/'Historical Data'!C253-1</f>
        <v>-1.6546794334377668E-2</v>
      </c>
      <c r="D250" s="7">
        <f ca="1">+'Historical Data'!D254/'Historical Data'!D253-1</f>
        <v>3.2789256696483804E-3</v>
      </c>
      <c r="E250" s="7">
        <f ca="1">+'Historical Data'!E254/'Historical Data'!E253-1</f>
        <v>-5.2010800056843109E-3</v>
      </c>
      <c r="F250" s="7">
        <f ca="1">+'Historical Data'!F254/'Historical Data'!F253-1</f>
        <v>4.3245840591026319E-3</v>
      </c>
      <c r="G250" s="7">
        <f ca="1">+'Historical Data'!G254/'Historical Data'!G253-1</f>
        <v>-4.4583706356311481E-2</v>
      </c>
      <c r="H250" s="7">
        <f ca="1">+'Historical Data'!H254/'Historical Data'!H253-1</f>
        <v>-1.6867564182842854E-2</v>
      </c>
      <c r="I250" s="7">
        <f ca="1">+'Historical Data'!I254/'Historical Data'!I253-1</f>
        <v>1.5412511332729029E-2</v>
      </c>
      <c r="J250" s="7">
        <f ca="1">+'Historical Data'!J254/'Historical Data'!J253-1</f>
        <v>8.090614886731462E-3</v>
      </c>
      <c r="K250" s="7">
        <f ca="1">+'Historical Data'!K254/'Historical Data'!K253-1</f>
        <v>-1.671404206935756E-2</v>
      </c>
      <c r="L250" s="7">
        <f ca="1">+'Historical Data'!L254/'Historical Data'!L253-1</f>
        <v>3.8624951718801981E-4</v>
      </c>
      <c r="M250" s="7">
        <f ca="1">+'Historical Data'!M254/'Historical Data'!M253-1</f>
        <v>-1.2630480167014513E-2</v>
      </c>
      <c r="N250" s="7">
        <f ca="1">+'Historical Data'!N254/'Historical Data'!N253-1</f>
        <v>6.3204769087124024E-3</v>
      </c>
      <c r="O250" s="7">
        <f ca="1">+'Historical Data'!O254/'Historical Data'!O253-1</f>
        <v>-2.6218383713757509E-3</v>
      </c>
      <c r="P250" s="7">
        <f ca="1">+'Historical Data'!P254/'Historical Data'!P253-1</f>
        <v>-8.7002142263803428E-3</v>
      </c>
    </row>
    <row r="251" spans="1:16" x14ac:dyDescent="0.25">
      <c r="A251" vm="3724">
        <f ca="1"/>
        <v>45709</v>
      </c>
      <c r="B251" s="7">
        <f ca="1">+'Historical Data'!B255/'Historical Data'!B254-1</f>
        <v>-4.683972911963874E-2</v>
      </c>
      <c r="C251" s="7">
        <f ca="1">+'Historical Data'!C255/'Historical Data'!C254-1</f>
        <v>-2.8266331658291399E-2</v>
      </c>
      <c r="D251" s="7">
        <f ca="1">+'Historical Data'!D255/'Historical Data'!D254-1</f>
        <v>-1.9032513877874746E-2</v>
      </c>
      <c r="E251" s="7">
        <f ca="1">+'Historical Data'!E255/'Historical Data'!E254-1</f>
        <v>-1.5570538826352731E-2</v>
      </c>
      <c r="F251" s="7">
        <f ca="1">+'Historical Data'!F255/'Historical Data'!F254-1</f>
        <v>1.8061120746366788E-2</v>
      </c>
      <c r="G251" s="7">
        <f ca="1">+'Historical Data'!G255/'Historical Data'!G254-1</f>
        <v>-9.5952023988006285E-3</v>
      </c>
      <c r="H251" s="7">
        <f ca="1">+'Historical Data'!H255/'Historical Data'!H254-1</f>
        <v>-7.1653198519167183E-2</v>
      </c>
      <c r="I251" s="7">
        <f ca="1">+'Historical Data'!I255/'Historical Data'!I254-1</f>
        <v>-1.1696428571428608E-2</v>
      </c>
      <c r="J251" s="7">
        <f ca="1">+'Historical Data'!J255/'Historical Data'!J254-1</f>
        <v>-5.6179775280899014E-3</v>
      </c>
      <c r="K251" s="7">
        <f ca="1">+'Historical Data'!K255/'Historical Data'!K254-1</f>
        <v>-3.5152636447733698E-2</v>
      </c>
      <c r="L251" s="7">
        <f ca="1">+'Historical Data'!L255/'Historical Data'!L254-1</f>
        <v>1.5444015444015635E-2</v>
      </c>
      <c r="M251" s="7">
        <f ca="1">+'Historical Data'!M255/'Historical Data'!M254-1</f>
        <v>-1.8606618035733269E-2</v>
      </c>
      <c r="N251" s="7">
        <f ca="1">+'Historical Data'!N255/'Historical Data'!N254-1</f>
        <v>-4.0539576047391335E-2</v>
      </c>
      <c r="O251" s="7">
        <f ca="1">+'Historical Data'!O255/'Historical Data'!O254-1</f>
        <v>-1.0669553115818853E-2</v>
      </c>
      <c r="P251" s="7">
        <f ca="1">+'Historical Data'!P255/'Historical Data'!P254-1</f>
        <v>-3.5635529681573686E-2</v>
      </c>
    </row>
    <row r="252" spans="1:16" x14ac:dyDescent="0.25">
      <c r="A252" vm="3738">
        <f ca="1"/>
        <v>45712</v>
      </c>
      <c r="B252" s="7">
        <f ca="1">+'Historical Data'!B256/'Historical Data'!B255-1</f>
        <v>-2.1521610420367154E-2</v>
      </c>
      <c r="C252" s="7">
        <f ca="1">+'Historical Data'!C256/'Historical Data'!C255-1</f>
        <v>-1.7868685935912842E-2</v>
      </c>
      <c r="D252" s="7">
        <f ca="1">+'Historical Data'!D256/'Historical Data'!D255-1</f>
        <v>-1.0313319124960141E-2</v>
      </c>
      <c r="E252" s="7">
        <f ca="1">+'Historical Data'!E256/'Historical Data'!E255-1</f>
        <v>-2.0315175436050881E-3</v>
      </c>
      <c r="F252" s="7">
        <f ca="1">+'Historical Data'!F256/'Historical Data'!F255-1</f>
        <v>1.8210656171062656E-3</v>
      </c>
      <c r="G252" s="7">
        <f ca="1">+'Historical Data'!G256/'Historical Data'!G255-1</f>
        <v>-1.0974871329094915E-2</v>
      </c>
      <c r="H252" s="7">
        <f ca="1">+'Historical Data'!H256/'Historical Data'!H255-1</f>
        <v>-1.0505552935122897E-2</v>
      </c>
      <c r="I252" s="7">
        <f ca="1">+'Historical Data'!I256/'Historical Data'!I255-1</f>
        <v>5.2398590658595534E-3</v>
      </c>
      <c r="J252" s="7">
        <f ca="1">+'Historical Data'!J256/'Historical Data'!J255-1</f>
        <v>8.0710250201776468E-4</v>
      </c>
      <c r="K252" s="7">
        <f ca="1">+'Historical Data'!K256/'Historical Data'!K255-1</f>
        <v>2.5886864813039256E-2</v>
      </c>
      <c r="L252" s="7">
        <f ca="1">+'Historical Data'!L256/'Historical Data'!L255-1</f>
        <v>1.3307984790874361E-2</v>
      </c>
      <c r="M252" s="7">
        <f ca="1">+'Historical Data'!M256/'Historical Data'!M255-1</f>
        <v>1.664332651082634E-2</v>
      </c>
      <c r="N252" s="7">
        <f ca="1">+'Historical Data'!N256/'Historical Data'!N255-1</f>
        <v>-3.0871085323216585E-2</v>
      </c>
      <c r="O252" s="7">
        <f ca="1">+'Historical Data'!O256/'Historical Data'!O255-1</f>
        <v>-1.1566114410753281E-2</v>
      </c>
      <c r="P252" s="7">
        <f ca="1">+'Historical Data'!P256/'Historical Data'!P255-1</f>
        <v>-4.9071618037135223E-2</v>
      </c>
    </row>
    <row r="253" spans="1:16" x14ac:dyDescent="0.25">
      <c r="A253" vm="3750">
        <f ca="1"/>
        <v>45713</v>
      </c>
      <c r="B253" s="7">
        <f ca="1">+'Historical Data'!B257/'Historical Data'!B256-1</f>
        <v>-8.3895561673675512E-2</v>
      </c>
      <c r="C253" s="7">
        <f ca="1">+'Historical Data'!C257/'Historical Data'!C256-1</f>
        <v>4.2311127826621941E-4</v>
      </c>
      <c r="D253" s="7">
        <f ca="1">+'Historical Data'!D257/'Historical Data'!D256-1</f>
        <v>-1.5099009900990112E-2</v>
      </c>
      <c r="E253" s="7">
        <f ca="1">+'Historical Data'!E257/'Historical Data'!E256-1</f>
        <v>2.6637973652833935E-2</v>
      </c>
      <c r="F253" s="7">
        <f ca="1">+'Historical Data'!F257/'Historical Data'!F256-1</f>
        <v>1.2372463938079115E-2</v>
      </c>
      <c r="G253" s="7">
        <f ca="1">+'Historical Data'!G257/'Historical Data'!G256-1</f>
        <v>-1.5076146016683278E-2</v>
      </c>
      <c r="H253" s="7">
        <f ca="1">+'Historical Data'!H257/'Historical Data'!H256-1</f>
        <v>1.919743456404932E-2</v>
      </c>
      <c r="I253" s="7">
        <f ca="1">+'Historical Data'!I257/'Historical Data'!I256-1</f>
        <v>-1.384020850184231E-2</v>
      </c>
      <c r="J253" s="7">
        <f ca="1">+'Historical Data'!J257/'Historical Data'!J256-1</f>
        <v>1.0887096774193639E-2</v>
      </c>
      <c r="K253" s="7">
        <f ca="1">+'Historical Data'!K257/'Historical Data'!K256-1</f>
        <v>1.2850467289719836E-2</v>
      </c>
      <c r="L253" s="7">
        <f ca="1">+'Historical Data'!L257/'Historical Data'!L256-1</f>
        <v>3.3771106941837825E-3</v>
      </c>
      <c r="M253" s="7">
        <f ca="1">+'Historical Data'!M257/'Historical Data'!M256-1</f>
        <v>9.1655629139071326E-3</v>
      </c>
      <c r="N253" s="7">
        <f ca="1">+'Historical Data'!N257/'Historical Data'!N256-1</f>
        <v>-2.8016579674547182E-2</v>
      </c>
      <c r="O253" s="7">
        <f ca="1">+'Historical Data'!O257/'Historical Data'!O256-1</f>
        <v>1.6287160025300285E-2</v>
      </c>
      <c r="P253" s="7">
        <f ca="1">+'Historical Data'!P257/'Historical Data'!P256-1</f>
        <v>-2.5922185350839344E-2</v>
      </c>
    </row>
    <row r="254" spans="1:16" x14ac:dyDescent="0.25">
      <c r="A254" vm="3764">
        <f ca="1"/>
        <v>45714</v>
      </c>
      <c r="B254" s="7">
        <f ca="1">+'Historical Data'!B258/'Historical Data'!B257-1</f>
        <v>-3.9630118890356725E-2</v>
      </c>
      <c r="C254" s="7">
        <f ca="1">+'Historical Data'!C258/'Historical Data'!C257-1</f>
        <v>7.2838345864660869E-3</v>
      </c>
      <c r="D254" s="7">
        <f ca="1">+'Historical Data'!D258/'Historical Data'!D257-1</f>
        <v>4.599145513948244E-3</v>
      </c>
      <c r="E254" s="7">
        <f ca="1">+'Historical Data'!E258/'Historical Data'!E257-1</f>
        <v>1.8581990199133314E-2</v>
      </c>
      <c r="F254" s="7">
        <f ca="1">+'Historical Data'!F258/'Historical Data'!F257-1</f>
        <v>-7.8192875760207947E-3</v>
      </c>
      <c r="G254" s="7">
        <f ca="1">+'Historical Data'!G258/'Historical Data'!G257-1</f>
        <v>5.4001554001554819E-3</v>
      </c>
      <c r="H254" s="7">
        <f ca="1">+'Historical Data'!H258/'Historical Data'!H257-1</f>
        <v>-1.4435137548365229E-2</v>
      </c>
      <c r="I254" s="7">
        <f ca="1">+'Historical Data'!I258/'Historical Data'!I257-1</f>
        <v>-2.4605850724506162E-3</v>
      </c>
      <c r="J254" s="7">
        <f ca="1">+'Historical Data'!J258/'Historical Data'!J257-1</f>
        <v>1.5556441962504941E-2</v>
      </c>
      <c r="K254" s="7">
        <f ca="1">+'Historical Data'!K258/'Historical Data'!K257-1</f>
        <v>4.1522491349481605E-3</v>
      </c>
      <c r="L254" s="7">
        <f ca="1">+'Historical Data'!L258/'Historical Data'!L257-1</f>
        <v>-1.1967090501121769E-2</v>
      </c>
      <c r="M254" s="7">
        <f ca="1">+'Historical Data'!M258/'Historical Data'!M257-1</f>
        <v>-1.0762284754304852E-2</v>
      </c>
      <c r="N254" s="7">
        <f ca="1">+'Historical Data'!N258/'Historical Data'!N257-1</f>
        <v>3.6721156124141174E-2</v>
      </c>
      <c r="O254" s="7">
        <f ca="1">+'Historical Data'!O258/'Historical Data'!O257-1</f>
        <v>-2.9562782013380362E-3</v>
      </c>
      <c r="P254" s="7">
        <f ca="1">+'Historical Data'!P258/'Historical Data'!P257-1</f>
        <v>5.1347881899871606E-2</v>
      </c>
    </row>
    <row r="255" spans="1:16" x14ac:dyDescent="0.25">
      <c r="A255" vm="3779">
        <f ca="1"/>
        <v>45715</v>
      </c>
    </row>
    <row r="256" spans="1:16" x14ac:dyDescent="0.25">
      <c r="A256" vm="3791">
        <f ca="1"/>
        <v>45716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EC319-71AE-405B-A720-98E71D71B7CE}">
  <sheetPr codeName="Sheet5">
    <tabColor rgb="FFE8A880"/>
  </sheetPr>
  <dimension ref="A3:P256"/>
  <sheetViews>
    <sheetView zoomScale="120" zoomScaleNormal="120" workbookViewId="0">
      <selection activeCell="R8" sqref="R8"/>
    </sheetView>
  </sheetViews>
  <sheetFormatPr defaultRowHeight="15" x14ac:dyDescent="0.25"/>
  <cols>
    <col min="1" max="1" width="10" bestFit="1" customWidth="1"/>
  </cols>
  <sheetData>
    <row r="3" spans="1:16" x14ac:dyDescent="0.25">
      <c r="B3" s="4" t="str" cm="1">
        <f t="array" aca="1" ref="B3:P3" ca="1">+TRANSPOSE(Stock.List)</f>
        <v>TSLA</v>
      </c>
      <c r="C3" s="4" t="str">
        <f ca="1"/>
        <v>AMZN</v>
      </c>
      <c r="D3" s="4" t="str">
        <f ca="1"/>
        <v>MSFT</v>
      </c>
      <c r="E3" s="4" t="str">
        <f ca="1"/>
        <v>SHW</v>
      </c>
      <c r="F3" s="4" t="str">
        <f ca="1"/>
        <v>PG</v>
      </c>
      <c r="G3" s="4" t="str">
        <f ca="1"/>
        <v>JPM</v>
      </c>
      <c r="H3" s="4" t="str">
        <f ca="1"/>
        <v>UNH</v>
      </c>
      <c r="I3" s="4" t="str">
        <f ca="1"/>
        <v>XOM</v>
      </c>
      <c r="J3" s="4" t="str">
        <f ca="1"/>
        <v>SONY</v>
      </c>
      <c r="K3" s="4" t="str">
        <f ca="1"/>
        <v>EADSY</v>
      </c>
      <c r="L3" s="4" t="str">
        <f ca="1"/>
        <v>PFE</v>
      </c>
      <c r="M3" s="4" t="str">
        <f ca="1"/>
        <v>ALL</v>
      </c>
      <c r="N3" s="4" t="str">
        <f ca="1"/>
        <v>NVDA</v>
      </c>
      <c r="O3" s="4" t="str">
        <f ca="1"/>
        <v>CSCO</v>
      </c>
      <c r="P3" s="4" t="str">
        <f ca="1"/>
        <v>AVGO</v>
      </c>
    </row>
    <row r="4" spans="1:16" x14ac:dyDescent="0.25">
      <c r="A4" cm="1" vm="30">
        <f t="array" aca="1" ref="A4:A256" ca="1">+_xlfn.CHOOSECOLS(_xlfn.ANCHORARRAY(The.Dates),1)</f>
        <v>45349</v>
      </c>
      <c r="B4" cm="1">
        <f t="array" aca="1" ref="B4:P4" ca="1">_xlfn.SEQUENCE(1,COUNTA(_xlfn.ANCHORARRAY(B3)),100,0)</f>
        <v>100</v>
      </c>
      <c r="C4">
        <f ca="1"/>
        <v>100</v>
      </c>
      <c r="D4">
        <f ca="1"/>
        <v>100</v>
      </c>
      <c r="E4">
        <f ca="1"/>
        <v>100</v>
      </c>
      <c r="F4">
        <f ca="1"/>
        <v>100</v>
      </c>
      <c r="G4">
        <f ca="1"/>
        <v>100</v>
      </c>
      <c r="H4">
        <f ca="1"/>
        <v>100</v>
      </c>
      <c r="I4">
        <f ca="1"/>
        <v>100</v>
      </c>
      <c r="J4">
        <f ca="1"/>
        <v>100</v>
      </c>
      <c r="K4">
        <f ca="1"/>
        <v>100</v>
      </c>
      <c r="L4">
        <f ca="1"/>
        <v>100</v>
      </c>
      <c r="M4">
        <f ca="1"/>
        <v>100</v>
      </c>
      <c r="N4">
        <f ca="1"/>
        <v>100</v>
      </c>
      <c r="O4">
        <f ca="1"/>
        <v>100</v>
      </c>
      <c r="P4">
        <f ca="1"/>
        <v>100</v>
      </c>
    </row>
    <row r="5" spans="1:16" x14ac:dyDescent="0.25">
      <c r="A5" vm="46">
        <f ca="1"/>
        <v>45350</v>
      </c>
      <c r="B5" s="8">
        <f ca="1">+B4*(1+Deltas!B5)</f>
        <v>101.15656135783308</v>
      </c>
      <c r="C5" s="8">
        <f ca="1">+C4*(1+Deltas!C5)</f>
        <v>99.781030310014984</v>
      </c>
      <c r="D5" s="8">
        <f ca="1">+D4*(1+Deltas!D5)</f>
        <v>100.05889859625012</v>
      </c>
      <c r="E5" s="8">
        <f ca="1">+E4*(1+Deltas!E5)</f>
        <v>100.5980715244721</v>
      </c>
      <c r="F5" s="8">
        <f ca="1">+F4*(1+Deltas!F5)</f>
        <v>100.47080979284368</v>
      </c>
      <c r="G5" s="8">
        <f ca="1">+G4*(1+Deltas!G5)</f>
        <v>100.50695012264923</v>
      </c>
      <c r="H5" s="8">
        <f ca="1">+H4*(1+Deltas!H5)</f>
        <v>97.051147208912781</v>
      </c>
      <c r="I5" s="8">
        <f ca="1">+I4*(1+Deltas!I5)</f>
        <v>100.27876574065174</v>
      </c>
      <c r="J5" s="8">
        <f ca="1">+J4*(1+Deltas!J5)</f>
        <v>99.265648677001977</v>
      </c>
      <c r="K5" s="8">
        <f ca="1">+K4*(1+Deltas!K5)</f>
        <v>103.86726546906189</v>
      </c>
      <c r="L5" s="8">
        <f ca="1">+L4*(1+Deltas!L5)</f>
        <v>100.55782818891781</v>
      </c>
      <c r="M5" s="8">
        <f ca="1">+M4*(1+Deltas!M5)</f>
        <v>100.6581421587063</v>
      </c>
      <c r="N5" s="8">
        <f ca="1">+N4*(1+Deltas!N5)</f>
        <v>98.681084103124476</v>
      </c>
      <c r="O5" s="8">
        <f ca="1">+O4*(1+Deltas!O5)</f>
        <v>99.482508797350448</v>
      </c>
      <c r="P5" s="8">
        <f ca="1">+P4*(1+Deltas!P5)</f>
        <v>99.474630273948307</v>
      </c>
    </row>
    <row r="6" spans="1:16" x14ac:dyDescent="0.25">
      <c r="A6" vm="62">
        <f ca="1"/>
        <v>45351</v>
      </c>
      <c r="B6" s="8">
        <f ca="1">+B5*(1+Deltas!B6)</f>
        <v>101.07645321183598</v>
      </c>
      <c r="C6" s="8">
        <f ca="1">+C5*(1+Deltas!C6)</f>
        <v>101.85548000460987</v>
      </c>
      <c r="D6" s="8">
        <f ca="1">+D5*(1+Deltas!D6)</f>
        <v>101.51173063708647</v>
      </c>
      <c r="E6" s="8">
        <f ca="1">+E5*(1+Deltas!E6)</f>
        <v>101.31514707677283</v>
      </c>
      <c r="F6" s="8">
        <f ca="1">+F5*(1+Deltas!F6)</f>
        <v>99.774011299435017</v>
      </c>
      <c r="G6" s="8">
        <f ca="1">+G5*(1+Deltas!G6)</f>
        <v>101.42273098937041</v>
      </c>
      <c r="H6" s="8">
        <f ca="1">+H5*(1+Deltas!H6)</f>
        <v>96.139612792645408</v>
      </c>
      <c r="I6" s="8">
        <f ca="1">+I5*(1+Deltas!I6)</f>
        <v>100.47101797558398</v>
      </c>
      <c r="J6" s="8">
        <f ca="1">+J5*(1+Deltas!J6)</f>
        <v>100.02331274041262</v>
      </c>
      <c r="K6" s="8">
        <f ca="1">+K5*(1+Deltas!K6)</f>
        <v>103.11876247504991</v>
      </c>
      <c r="L6" s="8">
        <f ca="1">+L5*(1+Deltas!L6)</f>
        <v>98.772777984380809</v>
      </c>
      <c r="M6" s="8">
        <f ca="1">+M5*(1+Deltas!M6)</f>
        <v>99.987463958881804</v>
      </c>
      <c r="N6" s="8">
        <f ca="1">+N5*(1+Deltas!N6)</f>
        <v>100.52222970483221</v>
      </c>
      <c r="O6" s="8">
        <f ca="1">+O5*(1+Deltas!O6)</f>
        <v>100.12419788863589</v>
      </c>
      <c r="P6" s="8">
        <f ca="1">+P5*(1+Deltas!P6)</f>
        <v>100.32864537929225</v>
      </c>
    </row>
    <row r="7" spans="1:16" x14ac:dyDescent="0.25">
      <c r="A7" vm="78">
        <f ca="1"/>
        <v>45352</v>
      </c>
      <c r="B7" s="8">
        <f ca="1">+B6*(1+Deltas!B7)</f>
        <v>101.45696690532219</v>
      </c>
      <c r="C7" s="8">
        <f ca="1">+C6*(1+Deltas!C7)</f>
        <v>102.69678460297337</v>
      </c>
      <c r="D7" s="8">
        <f ca="1">+D6*(1+Deltas!D7)</f>
        <v>101.96819475802492</v>
      </c>
      <c r="E7" s="8">
        <f ca="1">+E6*(1+Deltas!E7)</f>
        <v>102.29159038203342</v>
      </c>
      <c r="F7" s="8">
        <f ca="1">+F6*(1+Deltas!F7)</f>
        <v>99.717514124293771</v>
      </c>
      <c r="G7" s="8">
        <f ca="1">+G6*(1+Deltas!G7)</f>
        <v>101.00299809212319</v>
      </c>
      <c r="H7" s="8">
        <f ca="1">+H6*(1+Deltas!H7)</f>
        <v>95.346889486190648</v>
      </c>
      <c r="I7" s="8">
        <f ca="1">+I6*(1+Deltas!I7)</f>
        <v>101.73988272613671</v>
      </c>
      <c r="J7" s="8">
        <f ca="1">+J6*(1+Deltas!J7)</f>
        <v>102.59937055600885</v>
      </c>
      <c r="K7" s="8">
        <f ca="1">+K6*(1+Deltas!K7)</f>
        <v>103.06886227544912</v>
      </c>
      <c r="L7" s="8">
        <f ca="1">+L6*(1+Deltas!L7)</f>
        <v>98.88434362216438</v>
      </c>
      <c r="M7" s="8">
        <f ca="1">+M6*(1+Deltas!M7)</f>
        <v>97.248338974551856</v>
      </c>
      <c r="N7" s="8">
        <f ca="1">+N6*(1+Deltas!N7)</f>
        <v>104.54632088537629</v>
      </c>
      <c r="O7" s="8">
        <f ca="1">+O6*(1+Deltas!O7)</f>
        <v>100.18629683295384</v>
      </c>
      <c r="P7" s="8">
        <f ca="1">+P6*(1+Deltas!P7)</f>
        <v>107.94149186486966</v>
      </c>
    </row>
    <row r="8" spans="1:16" x14ac:dyDescent="0.25">
      <c r="A8" vm="94">
        <f ca="1"/>
        <v>45355</v>
      </c>
      <c r="B8" s="8">
        <f ca="1">+B7*(1+Deltas!B8)</f>
        <v>94.197166174335351</v>
      </c>
      <c r="C8" s="8">
        <f ca="1">+C7*(1+Deltas!C8)</f>
        <v>102.32799354615651</v>
      </c>
      <c r="D8" s="8">
        <f ca="1">+D7*(1+Deltas!D8)</f>
        <v>101.8258564837538</v>
      </c>
      <c r="E8" s="8">
        <f ca="1">+E7*(1+Deltas!E8)</f>
        <v>102.86219943854508</v>
      </c>
      <c r="F8" s="8">
        <f ca="1">+F7*(1+Deltas!F8)</f>
        <v>100.16321406151914</v>
      </c>
      <c r="G8" s="8">
        <f ca="1">+G7*(1+Deltas!G8)</f>
        <v>101.76069773780323</v>
      </c>
      <c r="H8" s="8">
        <f ca="1">+H7*(1+Deltas!H8)</f>
        <v>93.854933582641905</v>
      </c>
      <c r="I8" s="8">
        <f ca="1">+I7*(1+Deltas!I8)</f>
        <v>100.31721618763821</v>
      </c>
      <c r="J8" s="8">
        <f ca="1">+J7*(1+Deltas!J8)</f>
        <v>100.80428954423593</v>
      </c>
      <c r="K8" s="8">
        <f ca="1">+K7*(1+Deltas!K8)</f>
        <v>105.18962075848303</v>
      </c>
      <c r="L8" s="8">
        <f ca="1">+L7*(1+Deltas!L8)</f>
        <v>96.281145407214595</v>
      </c>
      <c r="M8" s="8">
        <f ca="1">+M7*(1+Deltas!M8)</f>
        <v>98.019305503322059</v>
      </c>
      <c r="N8" s="8">
        <f ca="1">+N7*(1+Deltas!N8)</f>
        <v>108.30485000190593</v>
      </c>
      <c r="O8" s="8">
        <f ca="1">+O7*(1+Deltas!O8)</f>
        <v>101.69737114469055</v>
      </c>
      <c r="P8" s="8">
        <f ca="1">+P7*(1+Deltas!P8)</f>
        <v>108.17987548506052</v>
      </c>
    </row>
    <row r="9" spans="1:16" x14ac:dyDescent="0.25">
      <c r="A9" vm="110">
        <f ca="1"/>
        <v>45356</v>
      </c>
      <c r="B9" s="8">
        <f ca="1">+B8*(1+Deltas!B9)</f>
        <v>90.492164421969676</v>
      </c>
      <c r="C9" s="8">
        <f ca="1">+C8*(1+Deltas!C9)</f>
        <v>100.33421689524029</v>
      </c>
      <c r="D9" s="8">
        <f ca="1">+D8*(1+Deltas!D9)</f>
        <v>98.814665750466261</v>
      </c>
      <c r="E9" s="8">
        <f ca="1">+E8*(1+Deltas!E9)</f>
        <v>101.69657024289023</v>
      </c>
      <c r="F9" s="8">
        <f ca="1">+F8*(1+Deltas!F9)</f>
        <v>100.01255492780915</v>
      </c>
      <c r="G9" s="8">
        <f ca="1">+G8*(1+Deltas!G9)</f>
        <v>102.7800490596893</v>
      </c>
      <c r="H9" s="8">
        <f ca="1">+H8*(1+Deltas!H9)</f>
        <v>92.15651902925481</v>
      </c>
      <c r="I9" s="8">
        <f ca="1">+I8*(1+Deltas!I9)</f>
        <v>101.54763049120449</v>
      </c>
      <c r="J9" s="8">
        <f ca="1">+J8*(1+Deltas!J9)</f>
        <v>99.848467187317894</v>
      </c>
      <c r="K9" s="8">
        <f ca="1">+K8*(1+Deltas!K9)</f>
        <v>106.26247504990023</v>
      </c>
      <c r="L9" s="8">
        <f ca="1">+L8*(1+Deltas!L9)</f>
        <v>96.987727779843823</v>
      </c>
      <c r="M9" s="8">
        <f ca="1">+M8*(1+Deltas!M9)</f>
        <v>98.263758305127268</v>
      </c>
      <c r="N9" s="8">
        <f ca="1">+N8*(1+Deltas!N9)</f>
        <v>109.22859938247289</v>
      </c>
      <c r="O9" s="8">
        <f ca="1">+O8*(1+Deltas!O9)</f>
        <v>101.32477747878288</v>
      </c>
      <c r="P9" s="8">
        <f ca="1">+P8*(1+Deltas!P9)</f>
        <v>103.58886925931355</v>
      </c>
    </row>
    <row r="10" spans="1:16" x14ac:dyDescent="0.25">
      <c r="A10" vm="126">
        <f ca="1"/>
        <v>45357</v>
      </c>
      <c r="B10" s="8">
        <f ca="1">+B9*(1+Deltas!B10)</f>
        <v>88.389325589545905</v>
      </c>
      <c r="C10" s="8">
        <f ca="1">+C9*(1+Deltas!C10)</f>
        <v>99.982712919211707</v>
      </c>
      <c r="D10" s="8">
        <f ca="1">+D9*(1+Deltas!D10)</f>
        <v>98.677235692549303</v>
      </c>
      <c r="E10" s="8">
        <f ca="1">+E9*(1+Deltas!E10)</f>
        <v>102.67606493347976</v>
      </c>
      <c r="F10" s="8">
        <f ca="1">+F9*(1+Deltas!F10)</f>
        <v>100.16949152542372</v>
      </c>
      <c r="G10" s="8">
        <f ca="1">+G9*(1+Deltas!G10)</f>
        <v>103.31425456527666</v>
      </c>
      <c r="H10" s="8">
        <f ca="1">+H9*(1+Deltas!H10)</f>
        <v>92.049394258112287</v>
      </c>
      <c r="I10" s="8">
        <f ca="1">+I9*(1+Deltas!I10)</f>
        <v>102.63385561857159</v>
      </c>
      <c r="J10" s="8">
        <f ca="1">+J9*(1+Deltas!J10)</f>
        <v>101.14232428021914</v>
      </c>
      <c r="K10" s="8">
        <f ca="1">+K9*(1+Deltas!K10)</f>
        <v>107.38522954091819</v>
      </c>
      <c r="L10" s="8">
        <f ca="1">+L9*(1+Deltas!L10)</f>
        <v>101.11565637783566</v>
      </c>
      <c r="M10" s="8">
        <f ca="1">+M9*(1+Deltas!M10)</f>
        <v>98.432994860223161</v>
      </c>
      <c r="N10" s="8">
        <f ca="1">+N9*(1+Deltas!N10)</f>
        <v>112.70504822048004</v>
      </c>
      <c r="O10" s="8">
        <f ca="1">+O9*(1+Deltas!O10)</f>
        <v>101.78016973711448</v>
      </c>
      <c r="P10" s="8">
        <f ca="1">+P9*(1+Deltas!P10)</f>
        <v>104.14818357853159</v>
      </c>
    </row>
    <row r="11" spans="1:16" x14ac:dyDescent="0.25">
      <c r="A11" vm="142">
        <f ca="1"/>
        <v>45358</v>
      </c>
      <c r="B11" s="8">
        <f ca="1">+B10*(1+Deltas!B11)</f>
        <v>89.44575176488263</v>
      </c>
      <c r="C11" s="8">
        <f ca="1">+C10*(1+Deltas!C11)</f>
        <v>101.89005416618646</v>
      </c>
      <c r="D11" s="8">
        <f ca="1">+D10*(1+Deltas!D11)</f>
        <v>100.40738195739667</v>
      </c>
      <c r="E11" s="8">
        <f ca="1">+E10*(1+Deltas!E11)</f>
        <v>105.16904674722321</v>
      </c>
      <c r="F11" s="8">
        <f ca="1">+F10*(1+Deltas!F11)</f>
        <v>100.8286252354049</v>
      </c>
      <c r="G11" s="8">
        <f ca="1">+G10*(1+Deltas!G11)</f>
        <v>102.40937585173073</v>
      </c>
      <c r="H11" s="8">
        <f ca="1">+H10*(1+Deltas!H11)</f>
        <v>93.253087141132028</v>
      </c>
      <c r="I11" s="8">
        <f ca="1">+I10*(1+Deltas!I11)</f>
        <v>103.2106123233683</v>
      </c>
      <c r="J11" s="8">
        <f ca="1">+J10*(1+Deltas!J11)</f>
        <v>101.29385709290128</v>
      </c>
      <c r="K11" s="8">
        <f ca="1">+K10*(1+Deltas!K11)</f>
        <v>107.98403193612778</v>
      </c>
      <c r="L11" s="8">
        <f ca="1">+L10*(1+Deltas!L11)</f>
        <v>99.628114540721484</v>
      </c>
      <c r="M11" s="8">
        <f ca="1">+M10*(1+Deltas!M11)</f>
        <v>98.182274037858861</v>
      </c>
      <c r="N11" s="8">
        <f ca="1">+N10*(1+Deltas!N11)</f>
        <v>117.74818617298381</v>
      </c>
      <c r="O11" s="8">
        <f ca="1">+O10*(1+Deltas!O11)</f>
        <v>101.22127923825296</v>
      </c>
      <c r="P11" s="8">
        <f ca="1">+P10*(1+Deltas!P11)</f>
        <v>108.54632279765165</v>
      </c>
    </row>
    <row r="12" spans="1:16" x14ac:dyDescent="0.25">
      <c r="A12" vm="158">
        <f ca="1"/>
        <v>45359</v>
      </c>
      <c r="B12" s="8">
        <f ca="1">+B11*(1+Deltas!B12)</f>
        <v>87.788514494567707</v>
      </c>
      <c r="C12" s="8">
        <f ca="1">+C11*(1+Deltas!C12)</f>
        <v>101.0429872075602</v>
      </c>
      <c r="D12" s="8">
        <f ca="1">+D11*(1+Deltas!D12)</f>
        <v>99.690782369686858</v>
      </c>
      <c r="E12" s="8">
        <f ca="1">+E11*(1+Deltas!E12)</f>
        <v>103.95764677163429</v>
      </c>
      <c r="F12" s="8">
        <f ca="1">+F11*(1+Deltas!F12)</f>
        <v>100.65913370998116</v>
      </c>
      <c r="G12" s="8">
        <f ca="1">+G11*(1+Deltas!G12)</f>
        <v>102.60016353229764</v>
      </c>
      <c r="H12" s="8">
        <f ca="1">+H11*(1+Deltas!H12)</f>
        <v>92.822640333450209</v>
      </c>
      <c r="I12" s="8">
        <f ca="1">+I11*(1+Deltas!I12)</f>
        <v>104.18148610977606</v>
      </c>
      <c r="J12" s="8">
        <f ca="1">+J11*(1+Deltas!J12)</f>
        <v>101.65520456929714</v>
      </c>
      <c r="K12" s="8">
        <f ca="1">+K11*(1+Deltas!K12)</f>
        <v>107.46007984031939</v>
      </c>
      <c r="L12" s="8">
        <f ca="1">+L11*(1+Deltas!L12)</f>
        <v>101.22722201561922</v>
      </c>
      <c r="M12" s="8">
        <f ca="1">+M11*(1+Deltas!M12)</f>
        <v>98.357778613513858</v>
      </c>
      <c r="N12" s="8">
        <f ca="1">+N11*(1+Deltas!N12)</f>
        <v>111.21586765098283</v>
      </c>
      <c r="O12" s="8">
        <f ca="1">+O11*(1+Deltas!O12)</f>
        <v>102.46325812461188</v>
      </c>
      <c r="P12" s="8">
        <f ca="1">+P11*(1+Deltas!P12)</f>
        <v>100.96356356510806</v>
      </c>
    </row>
    <row r="13" spans="1:16" x14ac:dyDescent="0.25">
      <c r="A13" vm="174">
        <f ca="1"/>
        <v>45362</v>
      </c>
      <c r="B13" s="8">
        <f ca="1">+B12*(1+Deltas!B13)</f>
        <v>89.005156961898606</v>
      </c>
      <c r="C13" s="8">
        <f ca="1">+C12*(1+Deltas!C13)</f>
        <v>99.089547078483335</v>
      </c>
      <c r="D13" s="8">
        <f ca="1">+D12*(1+Deltas!D13)</f>
        <v>99.273583979581801</v>
      </c>
      <c r="E13" s="8">
        <f ca="1">+E12*(1+Deltas!E13)</f>
        <v>103.8661052117661</v>
      </c>
      <c r="F13" s="8">
        <f ca="1">+F12*(1+Deltas!F13)</f>
        <v>101.41242937853109</v>
      </c>
      <c r="G13" s="8">
        <f ca="1">+G12*(1+Deltas!G13)</f>
        <v>102.63832106841102</v>
      </c>
      <c r="H13" s="8">
        <f ca="1">+H12*(1+Deltas!H13)</f>
        <v>95.272876007946721</v>
      </c>
      <c r="I13" s="8">
        <f ca="1">+I12*(1+Deltas!I13)</f>
        <v>104.7966932615592</v>
      </c>
      <c r="J13" s="8">
        <f ca="1">+J12*(1+Deltas!J13)</f>
        <v>101.13066791001285</v>
      </c>
      <c r="K13" s="8">
        <f ca="1">+K12*(1+Deltas!K13)</f>
        <v>107.1107784431138</v>
      </c>
      <c r="L13" s="8">
        <f ca="1">+L12*(1+Deltas!L13)</f>
        <v>105.50390479732246</v>
      </c>
      <c r="M13" s="8">
        <f ca="1">+M12*(1+Deltas!M13)</f>
        <v>100.25072082236431</v>
      </c>
      <c r="N13" s="8">
        <f ca="1">+N12*(1+Deltas!N13)</f>
        <v>108.98717932427795</v>
      </c>
      <c r="O13" s="8">
        <f ca="1">+O12*(1+Deltas!O13)</f>
        <v>103.95363278824259</v>
      </c>
      <c r="P13" s="8">
        <f ca="1">+P12*(1+Deltas!P13)</f>
        <v>99.760073443756127</v>
      </c>
    </row>
    <row r="14" spans="1:16" x14ac:dyDescent="0.25">
      <c r="A14" vm="190">
        <f ca="1"/>
        <v>45363</v>
      </c>
      <c r="B14" s="8">
        <f ca="1">+B13*(1+Deltas!B14)</f>
        <v>88.890001502027772</v>
      </c>
      <c r="C14" s="8">
        <f ca="1">+C13*(1+Deltas!C14)</f>
        <v>101.06603664861126</v>
      </c>
      <c r="D14" s="8">
        <f ca="1">+D13*(1+Deltas!D14)</f>
        <v>101.91420437812897</v>
      </c>
      <c r="E14" s="8">
        <f ca="1">+E13*(1+Deltas!E14)</f>
        <v>104.57097522275109</v>
      </c>
      <c r="F14" s="8">
        <f ca="1">+F13*(1+Deltas!F14)</f>
        <v>101.65097300690522</v>
      </c>
      <c r="G14" s="8">
        <f ca="1">+G13*(1+Deltas!G14)</f>
        <v>103.48323793949307</v>
      </c>
      <c r="H14" s="8">
        <f ca="1">+H13*(1+Deltas!H14)</f>
        <v>95.311830470180382</v>
      </c>
      <c r="I14" s="8">
        <f ca="1">+I13*(1+Deltas!I14)</f>
        <v>104.12381043929639</v>
      </c>
      <c r="J14" s="8">
        <f ca="1">+J13*(1+Deltas!J14)</f>
        <v>102.2846485604383</v>
      </c>
      <c r="K14" s="8">
        <f ca="1">+K13*(1+Deltas!K14)</f>
        <v>107.80938123752497</v>
      </c>
      <c r="L14" s="8">
        <f ca="1">+L13*(1+Deltas!L14)</f>
        <v>104.16511714391972</v>
      </c>
      <c r="M14" s="8">
        <f ca="1">+M13*(1+Deltas!M14)</f>
        <v>100.03760812335466</v>
      </c>
      <c r="N14" s="8">
        <f ca="1">+N13*(1+Deltas!N14)</f>
        <v>116.78758846774498</v>
      </c>
      <c r="O14" s="8">
        <f ca="1">+O13*(1+Deltas!O14)</f>
        <v>103.64313806665285</v>
      </c>
      <c r="P14" s="8">
        <f ca="1">+P13*(1+Deltas!P14)</f>
        <v>99.664411408469164</v>
      </c>
    </row>
    <row r="15" spans="1:16" x14ac:dyDescent="0.25">
      <c r="A15" vm="206">
        <f ca="1"/>
        <v>45364</v>
      </c>
      <c r="B15" s="8">
        <f ca="1">+B14*(1+Deltas!B15)</f>
        <v>84.854553647424055</v>
      </c>
      <c r="C15" s="8">
        <f ca="1">+C14*(1+Deltas!C15)</f>
        <v>101.73735161922325</v>
      </c>
      <c r="D15" s="8">
        <f ca="1">+D14*(1+Deltas!D15)</f>
        <v>101.87003043094138</v>
      </c>
      <c r="E15" s="8">
        <f ca="1">+E14*(1+Deltas!E15)</f>
        <v>102.77370926400582</v>
      </c>
      <c r="F15" s="8">
        <f ca="1">+F14*(1+Deltas!F15)</f>
        <v>101.88323917137478</v>
      </c>
      <c r="G15" s="8">
        <f ca="1">+G14*(1+Deltas!G15)</f>
        <v>104.32270373398747</v>
      </c>
      <c r="H15" s="8">
        <f ca="1">+H14*(1+Deltas!H15)</f>
        <v>95.048887850103242</v>
      </c>
      <c r="I15" s="8">
        <f ca="1">+I14*(1+Deltas!I15)</f>
        <v>105.2869364606364</v>
      </c>
      <c r="J15" s="8">
        <f ca="1">+J14*(1+Deltas!J15)</f>
        <v>102.38955589229516</v>
      </c>
      <c r="K15" s="8">
        <f ca="1">+K14*(1+Deltas!K15)</f>
        <v>109.03193612774454</v>
      </c>
      <c r="L15" s="8">
        <f ca="1">+L14*(1+Deltas!L15)</f>
        <v>104.94607660840464</v>
      </c>
      <c r="M15" s="8">
        <f ca="1">+M14*(1+Deltas!M15)</f>
        <v>100.33847311019184</v>
      </c>
      <c r="N15" s="8">
        <f ca="1">+N14*(1+Deltas!N15)</f>
        <v>115.48519078537755</v>
      </c>
      <c r="O15" s="8">
        <f ca="1">+O14*(1+Deltas!O15)</f>
        <v>103.72593665907677</v>
      </c>
      <c r="P15" s="8">
        <f ca="1">+P14*(1+Deltas!P15)</f>
        <v>97.040648650316697</v>
      </c>
    </row>
    <row r="16" spans="1:16" x14ac:dyDescent="0.25">
      <c r="A16" vm="222">
        <f ca="1"/>
        <v>45365</v>
      </c>
      <c r="B16" s="8">
        <f ca="1">+B15*(1+Deltas!B16)</f>
        <v>81.359835778300734</v>
      </c>
      <c r="C16" s="8">
        <f ca="1">+C15*(1+Deltas!C16)</f>
        <v>103.00218969689986</v>
      </c>
      <c r="D16" s="8">
        <f ca="1">+D15*(1+Deltas!D16)</f>
        <v>104.35358790615489</v>
      </c>
      <c r="E16" s="8">
        <f ca="1">+E15*(1+Deltas!E16)</f>
        <v>102.19699743683628</v>
      </c>
      <c r="F16" s="8">
        <f ca="1">+F15*(1+Deltas!F16)</f>
        <v>101.38104205900818</v>
      </c>
      <c r="G16" s="8">
        <f ca="1">+G15*(1+Deltas!G16)</f>
        <v>102.46388661760699</v>
      </c>
      <c r="H16" s="8">
        <f ca="1">+H15*(1+Deltas!H16)</f>
        <v>95.243660161271478</v>
      </c>
      <c r="I16" s="8">
        <f ca="1">+I15*(1+Deltas!I16)</f>
        <v>107.15178313947904</v>
      </c>
      <c r="J16" s="8">
        <f ca="1">+J15*(1+Deltas!J16)</f>
        <v>101.52698449702766</v>
      </c>
      <c r="K16" s="8">
        <f ca="1">+K15*(1+Deltas!K16)</f>
        <v>108.98203592814374</v>
      </c>
      <c r="L16" s="8">
        <f ca="1">+L15*(1+Deltas!L16)</f>
        <v>104.61137969505394</v>
      </c>
      <c r="M16" s="8">
        <f ca="1">+M15*(1+Deltas!M16)</f>
        <v>99.899711671054305</v>
      </c>
      <c r="N16" s="8">
        <f ca="1">+N15*(1+Deltas!N16)</f>
        <v>111.74445051524121</v>
      </c>
      <c r="O16" s="8">
        <f ca="1">+O15*(1+Deltas!O16)</f>
        <v>103.06354791968533</v>
      </c>
      <c r="P16" s="8">
        <f ca="1">+P15*(1+Deltas!P16)</f>
        <v>97.38009458198006</v>
      </c>
    </row>
    <row r="17" spans="1:16" x14ac:dyDescent="0.25">
      <c r="A17" vm="238">
        <f ca="1"/>
        <v>45366</v>
      </c>
      <c r="B17" s="8">
        <f ca="1">+B16*(1+Deltas!B17)</f>
        <v>81.89555900465632</v>
      </c>
      <c r="C17" s="8">
        <f ca="1">+C16*(1+Deltas!C17)</f>
        <v>100.5070877031232</v>
      </c>
      <c r="D17" s="8">
        <f ca="1">+D16*(1+Deltas!D17)</f>
        <v>102.19397271031706</v>
      </c>
      <c r="E17" s="8">
        <f ca="1">+E16*(1+Deltas!E17)</f>
        <v>102.11766141828387</v>
      </c>
      <c r="F17" s="8">
        <f ca="1">+F16*(1+Deltas!F17)</f>
        <v>101.30571249215318</v>
      </c>
      <c r="G17" s="8">
        <f ca="1">+G16*(1+Deltas!G17)</f>
        <v>103.73398746252386</v>
      </c>
      <c r="H17" s="8">
        <f ca="1">+H16*(1+Deltas!H17)</f>
        <v>95.598145767597686</v>
      </c>
      <c r="I17" s="8">
        <f ca="1">+I16*(1+Deltas!I17)</f>
        <v>106.9595309045468</v>
      </c>
      <c r="J17" s="8">
        <f ca="1">+J16*(1+Deltas!J17)</f>
        <v>101.85336286280453</v>
      </c>
      <c r="K17" s="8">
        <f ca="1">+K16*(1+Deltas!K17)</f>
        <v>110.72854291417171</v>
      </c>
      <c r="L17" s="8">
        <f ca="1">+L16*(1+Deltas!L17)</f>
        <v>103.90479732242473</v>
      </c>
      <c r="M17" s="8">
        <f ca="1">+M16*(1+Deltas!M17)</f>
        <v>101.66729346872259</v>
      </c>
      <c r="N17" s="8">
        <f ca="1">+N16*(1+Deltas!N17)</f>
        <v>111.60785758757828</v>
      </c>
      <c r="O17" s="8">
        <f ca="1">+O16*(1+Deltas!O17)</f>
        <v>101.28337818257087</v>
      </c>
      <c r="P17" s="8">
        <f ca="1">+P16*(1+Deltas!P17)</f>
        <v>95.314874675019098</v>
      </c>
    </row>
    <row r="18" spans="1:16" x14ac:dyDescent="0.25">
      <c r="A18" vm="254">
        <f ca="1"/>
        <v>45369</v>
      </c>
      <c r="B18" s="8">
        <f ca="1">+B17*(1+Deltas!B18)</f>
        <v>87.01747358934567</v>
      </c>
      <c r="C18" s="8">
        <f ca="1">+C17*(1+Deltas!C18)</f>
        <v>100.54166186469978</v>
      </c>
      <c r="D18" s="8">
        <f ca="1">+D17*(1+Deltas!D18)</f>
        <v>102.41484244625501</v>
      </c>
      <c r="E18" s="8">
        <f ca="1">+E17*(1+Deltas!E18)</f>
        <v>102.30379592334917</v>
      </c>
      <c r="F18" s="8">
        <f ca="1">+F17*(1+Deltas!F18)</f>
        <v>101.19899560577528</v>
      </c>
      <c r="G18" s="8">
        <f ca="1">+G17*(1+Deltas!G18)</f>
        <v>105.0204415372036</v>
      </c>
      <c r="H18" s="8">
        <f ca="1">+H17*(1+Deltas!H18)</f>
        <v>94.86385415449341</v>
      </c>
      <c r="I18" s="8">
        <f ca="1">+I17*(1+Deltas!I18)</f>
        <v>107.94962991444778</v>
      </c>
      <c r="J18" s="8">
        <f ca="1">+J17*(1+Deltas!J18)</f>
        <v>103.77666394684698</v>
      </c>
      <c r="K18" s="8">
        <f ca="1">+K17*(1+Deltas!K18)</f>
        <v>110.60379241516971</v>
      </c>
      <c r="L18" s="8">
        <f ca="1">+L17*(1+Deltas!L18)</f>
        <v>103.08664931201193</v>
      </c>
      <c r="M18" s="8">
        <f ca="1">+M17*(1+Deltas!M18)</f>
        <v>102.1750031340103</v>
      </c>
      <c r="N18" s="8">
        <f ca="1">+N17*(1+Deltas!N18)</f>
        <v>112.39374340859708</v>
      </c>
      <c r="O18" s="8">
        <f ca="1">+O17*(1+Deltas!O18)</f>
        <v>101.98716621817427</v>
      </c>
      <c r="P18" s="8">
        <f ca="1">+P17*(1+Deltas!P18)</f>
        <v>95.449110111631427</v>
      </c>
    </row>
    <row r="19" spans="1:16" x14ac:dyDescent="0.25">
      <c r="A19" vm="270">
        <f ca="1"/>
        <v>45370</v>
      </c>
      <c r="B19" s="8">
        <f ca="1">+B18*(1+Deltas!B19)</f>
        <v>85.775797326390673</v>
      </c>
      <c r="C19" s="8">
        <f ca="1">+C18*(1+Deltas!C19)</f>
        <v>101.35991702201221</v>
      </c>
      <c r="D19" s="8">
        <f ca="1">+D18*(1+Deltas!D19)</f>
        <v>103.41857269068419</v>
      </c>
      <c r="E19" s="8">
        <f ca="1">+E18*(1+Deltas!E19)</f>
        <v>102.70352740144021</v>
      </c>
      <c r="F19" s="8">
        <f ca="1">+F18*(1+Deltas!F19)</f>
        <v>101.58819836785939</v>
      </c>
      <c r="G19" s="8">
        <f ca="1">+G18*(1+Deltas!G19)</f>
        <v>105.63641319160534</v>
      </c>
      <c r="H19" s="8">
        <f ca="1">+H18*(1+Deltas!H19)</f>
        <v>96.085076545518305</v>
      </c>
      <c r="I19" s="8">
        <f ca="1">+I18*(1+Deltas!I19)</f>
        <v>108.7090262424301</v>
      </c>
      <c r="J19" s="8">
        <f ca="1">+J18*(1+Deltas!J19)</f>
        <v>103.74169483622802</v>
      </c>
      <c r="K19" s="8">
        <f ca="1">+K18*(1+Deltas!K19)</f>
        <v>112.84930139720564</v>
      </c>
      <c r="L19" s="8">
        <f ca="1">+L18*(1+Deltas!L19)</f>
        <v>102.75195239866123</v>
      </c>
      <c r="M19" s="8">
        <f ca="1">+M18*(1+Deltas!M19)</f>
        <v>101.76758179766833</v>
      </c>
      <c r="N19" s="8">
        <f ca="1">+N18*(1+Deltas!N19)</f>
        <v>113.59194927637512</v>
      </c>
      <c r="O19" s="8">
        <f ca="1">+O18*(1+Deltas!O19)</f>
        <v>101.7180707927965</v>
      </c>
      <c r="P19" s="8">
        <f ca="1">+P18*(1+Deltas!P19)</f>
        <v>95.50851314967251</v>
      </c>
    </row>
    <row r="20" spans="1:16" x14ac:dyDescent="0.25">
      <c r="A20" vm="286">
        <f ca="1"/>
        <v>45371</v>
      </c>
      <c r="B20" s="8">
        <f ca="1">+B19*(1+Deltas!B20)</f>
        <v>87.94873078656191</v>
      </c>
      <c r="C20" s="8">
        <f ca="1">+C19*(1+Deltas!C20)</f>
        <v>102.65644808113403</v>
      </c>
      <c r="D20" s="8">
        <f ca="1">+D19*(1+Deltas!D20)</f>
        <v>104.35604201433198</v>
      </c>
      <c r="E20" s="8">
        <f ca="1">+E19*(1+Deltas!E20)</f>
        <v>104.06749664347612</v>
      </c>
      <c r="F20" s="8">
        <f ca="1">+F19*(1+Deltas!F20)</f>
        <v>101.68863779033271</v>
      </c>
      <c r="G20" s="8">
        <f ca="1">+G19*(1+Deltas!G20)</f>
        <v>107.02098664486238</v>
      </c>
      <c r="H20" s="8">
        <f ca="1">+H19*(1+Deltas!H20)</f>
        <v>96.262319348681416</v>
      </c>
      <c r="I20" s="8">
        <f ca="1">+I19*(1+Deltas!I20)</f>
        <v>108.61290012496399</v>
      </c>
      <c r="J20" s="8">
        <f ca="1">+J19*(1+Deltas!J20)</f>
        <v>104.46438978901972</v>
      </c>
      <c r="K20" s="8">
        <f ca="1">+K19*(1+Deltas!K20)</f>
        <v>115.64371257485035</v>
      </c>
      <c r="L20" s="8">
        <f ca="1">+L19*(1+Deltas!L20)</f>
        <v>103.01227222015621</v>
      </c>
      <c r="M20" s="8">
        <f ca="1">+M19*(1+Deltas!M20)</f>
        <v>101.02168735113453</v>
      </c>
      <c r="N20" s="8">
        <f ca="1">+N19*(1+Deltas!N20)</f>
        <v>114.82954473259551</v>
      </c>
      <c r="O20" s="8">
        <f ca="1">+O19*(1+Deltas!O20)</f>
        <v>102.56675636514174</v>
      </c>
      <c r="P20" s="8">
        <f ca="1">+P19*(1+Deltas!P20)</f>
        <v>98.439320182375042</v>
      </c>
    </row>
    <row r="21" spans="1:16" x14ac:dyDescent="0.25">
      <c r="A21" vm="302">
        <f ca="1"/>
        <v>45372</v>
      </c>
      <c r="B21" s="8">
        <f ca="1">+B20*(1+Deltas!B21)</f>
        <v>86.526811195113453</v>
      </c>
      <c r="C21" s="8">
        <f ca="1">+C20*(1+Deltas!C21)</f>
        <v>102.65644808113403</v>
      </c>
      <c r="D21" s="8">
        <f ca="1">+D20*(1+Deltas!D21)</f>
        <v>105.37204279964659</v>
      </c>
      <c r="E21" s="8">
        <f ca="1">+E20*(1+Deltas!E21)</f>
        <v>105.95325277676062</v>
      </c>
      <c r="F21" s="8">
        <f ca="1">+F20*(1+Deltas!F21)</f>
        <v>101.60703075957314</v>
      </c>
      <c r="G21" s="8">
        <f ca="1">+G20*(1+Deltas!G21)</f>
        <v>108.50913055328428</v>
      </c>
      <c r="H21" s="8">
        <f ca="1">+H20*(1+Deltas!H21)</f>
        <v>95.767597678314075</v>
      </c>
      <c r="I21" s="8">
        <f ca="1">+I20*(1+Deltas!I21)</f>
        <v>109.09353071229457</v>
      </c>
      <c r="J21" s="8">
        <f ca="1">+J20*(1+Deltas!J21)</f>
        <v>103.41531647045113</v>
      </c>
      <c r="K21" s="8">
        <f ca="1">+K20*(1+Deltas!K21)</f>
        <v>114.44610778443118</v>
      </c>
      <c r="L21" s="8">
        <f ca="1">+L20*(1+Deltas!L21)</f>
        <v>102.86351803644479</v>
      </c>
      <c r="M21" s="8">
        <f ca="1">+M20*(1+Deltas!M21)</f>
        <v>101.64848940704528</v>
      </c>
      <c r="N21" s="8">
        <f ca="1">+N20*(1+Deltas!N21)</f>
        <v>116.18022642660195</v>
      </c>
      <c r="O21" s="8">
        <f ca="1">+O20*(1+Deltas!O21)</f>
        <v>103.24984475263916</v>
      </c>
      <c r="P21" s="8">
        <f ca="1">+P20*(1+Deltas!P21)</f>
        <v>103.99388997323007</v>
      </c>
    </row>
    <row r="22" spans="1:16" x14ac:dyDescent="0.25">
      <c r="A22" vm="317">
        <f ca="1"/>
        <v>45373</v>
      </c>
      <c r="B22" s="8">
        <f ca="1">+B21*(1+Deltas!B22)</f>
        <v>85.530466129274572</v>
      </c>
      <c r="C22" s="8">
        <f ca="1">+C21*(1+Deltas!C22)</f>
        <v>103.07133802005302</v>
      </c>
      <c r="D22" s="8">
        <f ca="1">+D21*(1+Deltas!D22)</f>
        <v>105.21743398449001</v>
      </c>
      <c r="E22" s="8">
        <f ca="1">+E21*(1+Deltas!E22)</f>
        <v>104.62284877334307</v>
      </c>
      <c r="F22" s="8">
        <f ca="1">+F21*(1+Deltas!F22)</f>
        <v>101.48148148148148</v>
      </c>
      <c r="G22" s="8">
        <f ca="1">+G21*(1+Deltas!G22)</f>
        <v>107.17906786590352</v>
      </c>
      <c r="H22" s="8">
        <f ca="1">+H21*(1+Deltas!H22)</f>
        <v>95.452066534221515</v>
      </c>
      <c r="I22" s="8">
        <f ca="1">+I21*(1+Deltas!I22)</f>
        <v>109.09353071229457</v>
      </c>
      <c r="J22" s="8">
        <f ca="1">+J21*(1+Deltas!J22)</f>
        <v>103.29875276838796</v>
      </c>
      <c r="K22" s="8">
        <f ca="1">+K21*(1+Deltas!K22)</f>
        <v>114.64570858283439</v>
      </c>
      <c r="L22" s="8">
        <f ca="1">+L21*(1+Deltas!L22)</f>
        <v>101.74786165860915</v>
      </c>
      <c r="M22" s="8">
        <f ca="1">+M21*(1+Deltas!M22)</f>
        <v>103.57903973925039</v>
      </c>
      <c r="N22" s="8">
        <f ca="1">+N21*(1+Deltas!N22)</f>
        <v>119.80660982706701</v>
      </c>
      <c r="O22" s="8">
        <f ca="1">+O21*(1+Deltas!O22)</f>
        <v>103.04284827157933</v>
      </c>
      <c r="P22" s="8">
        <f ca="1">+P21*(1+Deltas!P22)</f>
        <v>104.41588298372974</v>
      </c>
    </row>
    <row r="23" spans="1:16" x14ac:dyDescent="0.25">
      <c r="A23" vm="332">
        <f ca="1"/>
        <v>45376</v>
      </c>
      <c r="B23" s="8">
        <f ca="1">+B22*(1+Deltas!B23)</f>
        <v>86.431682771741905</v>
      </c>
      <c r="C23" s="8">
        <f ca="1">+C22*(1+Deltas!C23)</f>
        <v>103.55537628212517</v>
      </c>
      <c r="D23" s="8">
        <f ca="1">+D22*(1+Deltas!D23)</f>
        <v>103.77441837636201</v>
      </c>
      <c r="E23" s="8">
        <f ca="1">+E22*(1+Deltas!E23)</f>
        <v>104.35737824972534</v>
      </c>
      <c r="F23" s="8">
        <f ca="1">+F22*(1+Deltas!F23)</f>
        <v>100.55869428750785</v>
      </c>
      <c r="G23" s="8">
        <f ca="1">+G22*(1+Deltas!G23)</f>
        <v>106.19787408013082</v>
      </c>
      <c r="H23" s="8">
        <f ca="1">+H22*(1+Deltas!H23)</f>
        <v>94.635970550426578</v>
      </c>
      <c r="I23" s="8">
        <f ca="1">+I22*(1+Deltas!I23)</f>
        <v>110.20859367490152</v>
      </c>
      <c r="J23" s="8">
        <f ca="1">+J22*(1+Deltas!J23)</f>
        <v>100.19815829350743</v>
      </c>
      <c r="K23" s="8">
        <f ca="1">+K22*(1+Deltas!K23)</f>
        <v>114.72055888223557</v>
      </c>
      <c r="L23" s="8">
        <f ca="1">+L22*(1+Deltas!L23)</f>
        <v>102.00818148010414</v>
      </c>
      <c r="M23" s="8">
        <f ca="1">+M22*(1+Deltas!M23)</f>
        <v>105.91074338723836</v>
      </c>
      <c r="N23" s="8">
        <f ca="1">+N22*(1+Deltas!N23)</f>
        <v>120.71257036124065</v>
      </c>
      <c r="O23" s="8">
        <f ca="1">+O22*(1+Deltas!O23)</f>
        <v>102.83585179051951</v>
      </c>
      <c r="P23" s="8">
        <f ca="1">+P22*(1+Deltas!P23)</f>
        <v>104.27007552671979</v>
      </c>
    </row>
    <row r="24" spans="1:16" x14ac:dyDescent="0.25">
      <c r="A24" vm="348">
        <f ca="1"/>
        <v>45377</v>
      </c>
      <c r="B24" s="8">
        <f ca="1">+B23*(1+Deltas!B24)</f>
        <v>88.955089370650427</v>
      </c>
      <c r="C24" s="8">
        <f ca="1">+C23*(1+Deltas!C24)</f>
        <v>102.7428834850755</v>
      </c>
      <c r="D24" s="8">
        <f ca="1">+D23*(1+Deltas!D24)</f>
        <v>103.47747128693429</v>
      </c>
      <c r="E24" s="8">
        <f ca="1">+E23*(1+Deltas!E24)</f>
        <v>104.35737824972534</v>
      </c>
      <c r="F24" s="8">
        <f ca="1">+F23*(1+Deltas!F24)</f>
        <v>100.78468298807282</v>
      </c>
      <c r="G24" s="8">
        <f ca="1">+G23*(1+Deltas!G24)</f>
        <v>106.69392204960478</v>
      </c>
      <c r="H24" s="8">
        <f ca="1">+H23*(1+Deltas!H24)</f>
        <v>95.888356511238385</v>
      </c>
      <c r="I24" s="8">
        <f ca="1">+I23*(1+Deltas!I24)</f>
        <v>109.38190906469293</v>
      </c>
      <c r="J24" s="8">
        <f ca="1">+J23*(1+Deltas!J24)</f>
        <v>101.08404242918758</v>
      </c>
      <c r="K24" s="8">
        <f ca="1">+K23*(1+Deltas!K24)</f>
        <v>114.84530938123756</v>
      </c>
      <c r="L24" s="8">
        <f ca="1">+L23*(1+Deltas!L24)</f>
        <v>102.60319821494981</v>
      </c>
      <c r="M24" s="8">
        <f ca="1">+M23*(1+Deltas!M24)</f>
        <v>107.06405917011412</v>
      </c>
      <c r="N24" s="8">
        <f ca="1">+N23*(1+Deltas!N24)</f>
        <v>117.6109579293783</v>
      </c>
      <c r="O24" s="8">
        <f ca="1">+O23*(1+Deltas!O24)</f>
        <v>102.56675636514174</v>
      </c>
      <c r="P24" s="8">
        <f ca="1">+P23*(1+Deltas!P24)</f>
        <v>102.72019626146594</v>
      </c>
    </row>
    <row r="25" spans="1:16" x14ac:dyDescent="0.25">
      <c r="A25" vm="362">
        <f ca="1"/>
        <v>45378</v>
      </c>
      <c r="B25" s="8">
        <f ca="1">+B24*(1+Deltas!B25)</f>
        <v>90.036549341611234</v>
      </c>
      <c r="C25" s="8">
        <f ca="1">+C24*(1+Deltas!C25)</f>
        <v>103.62452460527832</v>
      </c>
      <c r="D25" s="8">
        <f ca="1">+D24*(1+Deltas!D25)</f>
        <v>103.42348090703835</v>
      </c>
      <c r="E25" s="8">
        <f ca="1">+E24*(1+Deltas!E25)</f>
        <v>105.84950567557668</v>
      </c>
      <c r="F25" s="8">
        <f ca="1">+F24*(1+Deltas!F25)</f>
        <v>102.07784055241682</v>
      </c>
      <c r="G25" s="8">
        <f ca="1">+G24*(1+Deltas!G25)</f>
        <v>108.75988007631506</v>
      </c>
      <c r="H25" s="8">
        <f ca="1">+H24*(1+Deltas!H25)</f>
        <v>96.042226637061304</v>
      </c>
      <c r="I25" s="8">
        <f ca="1">+I24*(1+Deltas!I25)</f>
        <v>110.5161972507931</v>
      </c>
      <c r="J25" s="8">
        <f ca="1">+J24*(1+Deltas!J25)</f>
        <v>100.87422776547385</v>
      </c>
      <c r="K25" s="8">
        <f ca="1">+K24*(1+Deltas!K25)</f>
        <v>116.16766467065872</v>
      </c>
      <c r="L25" s="8">
        <f ca="1">+L24*(1+Deltas!L25)</f>
        <v>103.30978058757906</v>
      </c>
      <c r="M25" s="8">
        <f ca="1">+M24*(1+Deltas!M25)</f>
        <v>106.45606117588069</v>
      </c>
      <c r="N25" s="8">
        <f ca="1">+N24*(1+Deltas!N25)</f>
        <v>114.67452764259667</v>
      </c>
      <c r="O25" s="8">
        <f ca="1">+O24*(1+Deltas!O25)</f>
        <v>103.02214862347336</v>
      </c>
      <c r="P25" s="8">
        <f ca="1">+P24*(1+Deltas!P25)</f>
        <v>101.73580305964218</v>
      </c>
    </row>
    <row r="26" spans="1:16" x14ac:dyDescent="0.25">
      <c r="A26" vm="377">
        <f ca="1"/>
        <v>45379</v>
      </c>
      <c r="B26" s="8">
        <f ca="1">+B25*(1+Deltas!B26)</f>
        <v>88.013818655184551</v>
      </c>
      <c r="C26" s="8">
        <f ca="1">+C25*(1+Deltas!C26)</f>
        <v>103.94145441973032</v>
      </c>
      <c r="D26" s="8">
        <f ca="1">+D25*(1+Deltas!D26)</f>
        <v>103.24923922646508</v>
      </c>
      <c r="E26" s="8">
        <f ca="1">+E25*(1+Deltas!E26)</f>
        <v>105.98376663005</v>
      </c>
      <c r="F26" s="8">
        <f ca="1">+F25*(1+Deltas!F26)</f>
        <v>101.85185185185183</v>
      </c>
      <c r="G26" s="8">
        <f ca="1">+G25*(1+Deltas!G26)</f>
        <v>109.1850640501499</v>
      </c>
      <c r="H26" s="8">
        <f ca="1">+H25*(1+Deltas!H26)</f>
        <v>96.353862334930497</v>
      </c>
      <c r="I26" s="8">
        <f ca="1">+I25*(1+Deltas!I26)</f>
        <v>111.73699894261276</v>
      </c>
      <c r="J26" s="8">
        <f ca="1">+J25*(1+Deltas!J26)</f>
        <v>99.94171814896842</v>
      </c>
      <c r="K26" s="8">
        <f ca="1">+K25*(1+Deltas!K26)</f>
        <v>115.16966067864274</v>
      </c>
      <c r="L26" s="8">
        <f ca="1">+L25*(1+Deltas!L26)</f>
        <v>103.19821494979549</v>
      </c>
      <c r="M26" s="8">
        <f ca="1">+M25*(1+Deltas!M26)</f>
        <v>108.44302369311772</v>
      </c>
      <c r="N26" s="8">
        <f ca="1">+N25*(1+Deltas!N26)</f>
        <v>114.80921462243174</v>
      </c>
      <c r="O26" s="8">
        <f ca="1">+O25*(1+Deltas!O26)</f>
        <v>103.3119436969571</v>
      </c>
      <c r="P26" s="8">
        <f ca="1">+P25*(1+Deltas!P26)</f>
        <v>102.25114370134928</v>
      </c>
    </row>
    <row r="27" spans="1:16" x14ac:dyDescent="0.25">
      <c r="A27" vm="393">
        <f ca="1"/>
        <v>45383</v>
      </c>
      <c r="B27" s="8">
        <f ca="1">+B26*(1+Deltas!B27)</f>
        <v>87.728433385069906</v>
      </c>
      <c r="C27" s="8">
        <f ca="1">+C26*(1+Deltas!C27)</f>
        <v>104.28143367523337</v>
      </c>
      <c r="D27" s="8">
        <f ca="1">+D26*(1+Deltas!D27)</f>
        <v>104.19407087464413</v>
      </c>
      <c r="E27" s="8">
        <f ca="1">+E26*(1+Deltas!E27)</f>
        <v>103.18564628341264</v>
      </c>
      <c r="F27" s="8">
        <f ca="1">+F26*(1+Deltas!F27)</f>
        <v>100.80351537978656</v>
      </c>
      <c r="G27" s="8">
        <f ca="1">+G26*(1+Deltas!G27)</f>
        <v>108.44371763423275</v>
      </c>
      <c r="H27" s="8">
        <f ca="1">+H26*(1+Deltas!H27)</f>
        <v>95.380000779089272</v>
      </c>
      <c r="I27" s="8">
        <f ca="1">+I26*(1+Deltas!I27)</f>
        <v>112.45794482360863</v>
      </c>
      <c r="J27" s="8">
        <f ca="1">+J26*(1+Deltas!J27)</f>
        <v>100.44294206784011</v>
      </c>
      <c r="K27" s="8">
        <f ca="1">+K26*(1+Deltas!K27)</f>
        <v>114.57085828343318</v>
      </c>
      <c r="L27" s="8">
        <f ca="1">+L26*(1+Deltas!L27)</f>
        <v>103.08664931201193</v>
      </c>
      <c r="M27" s="8">
        <f ca="1">+M26*(1+Deltas!M27)</f>
        <v>108.167230788517</v>
      </c>
      <c r="N27" s="8">
        <f ca="1">+N26*(1+Deltas!N27)</f>
        <v>114.81810904562842</v>
      </c>
      <c r="O27" s="8">
        <f ca="1">+O26*(1+Deltas!O27)</f>
        <v>103.58103912233487</v>
      </c>
      <c r="P27" s="8">
        <f ca="1">+P26*(1+Deltas!P27)</f>
        <v>104.16824174722078</v>
      </c>
    </row>
    <row r="28" spans="1:16" x14ac:dyDescent="0.25">
      <c r="A28" vm="408">
        <f ca="1"/>
        <v>45384</v>
      </c>
      <c r="B28" s="8">
        <f ca="1">+B27*(1+Deltas!B28)</f>
        <v>83.427627296850801</v>
      </c>
      <c r="C28" s="8">
        <f ca="1">+C27*(1+Deltas!C28)</f>
        <v>104.12008758787599</v>
      </c>
      <c r="D28" s="8">
        <f ca="1">+D27*(1+Deltas!D28)</f>
        <v>103.42593501521544</v>
      </c>
      <c r="E28" s="8">
        <f ca="1">+E27*(1+Deltas!E28)</f>
        <v>101.9040644452581</v>
      </c>
      <c r="F28" s="8">
        <f ca="1">+F27*(1+Deltas!F28)</f>
        <v>100.79723791588196</v>
      </c>
      <c r="G28" s="8">
        <f ca="1">+G27*(1+Deltas!G28)</f>
        <v>108.40010902153176</v>
      </c>
      <c r="H28" s="8">
        <f ca="1">+H27*(1+Deltas!H28)</f>
        <v>89.232986638619479</v>
      </c>
      <c r="I28" s="8">
        <f ca="1">+I27*(1+Deltas!I28)</f>
        <v>114.65923291358267</v>
      </c>
      <c r="J28" s="8">
        <f ca="1">+J27*(1+Deltas!J28)</f>
        <v>99.46380697050941</v>
      </c>
      <c r="K28" s="8">
        <f ca="1">+K27*(1+Deltas!K28)</f>
        <v>112.45009980039924</v>
      </c>
      <c r="L28" s="8">
        <f ca="1">+L27*(1+Deltas!L28)</f>
        <v>102.45444403123841</v>
      </c>
      <c r="M28" s="8">
        <f ca="1">+M27*(1+Deltas!M28)</f>
        <v>108.14842672683967</v>
      </c>
      <c r="N28" s="8">
        <f ca="1">+N27*(1+Deltas!N28)</f>
        <v>113.66056339817794</v>
      </c>
      <c r="O28" s="8">
        <f ca="1">+O27*(1+Deltas!O28)</f>
        <v>102.17346305112808</v>
      </c>
      <c r="P28" s="8">
        <f ca="1">+P27*(1+Deltas!P28)</f>
        <v>103.28105351673697</v>
      </c>
    </row>
    <row r="29" spans="1:16" x14ac:dyDescent="0.25">
      <c r="A29" vm="424">
        <f ca="1"/>
        <v>45385</v>
      </c>
      <c r="B29" s="8">
        <f ca="1">+B28*(1+Deltas!B29)</f>
        <v>84.303810143694037</v>
      </c>
      <c r="C29" s="8">
        <f ca="1">+C28*(1+Deltas!C29)</f>
        <v>105.11121355307132</v>
      </c>
      <c r="D29" s="8">
        <f ca="1">+D28*(1+Deltas!D29)</f>
        <v>103.18297830568369</v>
      </c>
      <c r="E29" s="8">
        <f ca="1">+E28*(1+Deltas!E29)</f>
        <v>102.00476016111311</v>
      </c>
      <c r="F29" s="8">
        <f ca="1">+F28*(1+Deltas!F29)</f>
        <v>98.022598870056484</v>
      </c>
      <c r="G29" s="8">
        <f ca="1">+G28*(1+Deltas!G29)</f>
        <v>108.0948487326247</v>
      </c>
      <c r="H29" s="8">
        <f ca="1">+H28*(1+Deltas!H29)</f>
        <v>89.544622336488672</v>
      </c>
      <c r="I29" s="8">
        <f ca="1">+I28*(1+Deltas!I29)</f>
        <v>114.67845813707588</v>
      </c>
      <c r="J29" s="8">
        <f ca="1">+J28*(1+Deltas!J29)</f>
        <v>99.976687259587393</v>
      </c>
      <c r="K29" s="8">
        <f ca="1">+K28*(1+Deltas!K29)</f>
        <v>113.34830339321361</v>
      </c>
      <c r="L29" s="8">
        <f ca="1">+L28*(1+Deltas!L29)</f>
        <v>101.22722201561922</v>
      </c>
      <c r="M29" s="8">
        <f ca="1">+M28*(1+Deltas!M29)</f>
        <v>108.70001253604111</v>
      </c>
      <c r="N29" s="8">
        <f ca="1">+N28*(1+Deltas!N29)</f>
        <v>113.04049503818253</v>
      </c>
      <c r="O29" s="8">
        <f ca="1">+O28*(1+Deltas!O29)</f>
        <v>100.89008486855718</v>
      </c>
      <c r="P29" s="8">
        <f ca="1">+P28*(1+Deltas!P29)</f>
        <v>105.16729284154816</v>
      </c>
    </row>
    <row r="30" spans="1:16" x14ac:dyDescent="0.25">
      <c r="A30" vm="439">
        <f ca="1"/>
        <v>45386</v>
      </c>
      <c r="B30" s="8">
        <f ca="1">+B29*(1+Deltas!B30)</f>
        <v>85.670655384769489</v>
      </c>
      <c r="C30" s="8">
        <f ca="1">+C29*(1+Deltas!C30)</f>
        <v>103.72248472974529</v>
      </c>
      <c r="D30" s="8">
        <f ca="1">+D29*(1+Deltas!D30)</f>
        <v>102.55227250417197</v>
      </c>
      <c r="E30" s="8">
        <f ca="1">+E29*(1+Deltas!E30)</f>
        <v>100.65299646039298</v>
      </c>
      <c r="F30" s="8">
        <f ca="1">+F29*(1+Deltas!F30)</f>
        <v>97.583176396735695</v>
      </c>
      <c r="G30" s="8">
        <f ca="1">+G29*(1+Deltas!G30)</f>
        <v>106.65031343690379</v>
      </c>
      <c r="H30" s="8">
        <f ca="1">+H29*(1+Deltas!H30)</f>
        <v>88.695415059795124</v>
      </c>
      <c r="I30" s="8">
        <f ca="1">+I29*(1+Deltas!I30)</f>
        <v>115.08218783043357</v>
      </c>
      <c r="J30" s="8">
        <f ca="1">+J29*(1+Deltas!J30)</f>
        <v>98.554610094416631</v>
      </c>
      <c r="K30" s="8">
        <f ca="1">+K29*(1+Deltas!K30)</f>
        <v>112.20059880239525</v>
      </c>
      <c r="L30" s="8">
        <f ca="1">+L29*(1+Deltas!L30)</f>
        <v>99.107474897731521</v>
      </c>
      <c r="M30" s="8">
        <f ca="1">+M29*(1+Deltas!M30)</f>
        <v>107.32731603359659</v>
      </c>
      <c r="N30" s="8">
        <f ca="1">+N29*(1+Deltas!N30)</f>
        <v>109.153632101244</v>
      </c>
      <c r="O30" s="8">
        <f ca="1">+O29*(1+Deltas!O30)</f>
        <v>99.586007037880293</v>
      </c>
      <c r="P30" s="8">
        <f ca="1">+P29*(1+Deltas!P30)</f>
        <v>101.64091249238173</v>
      </c>
    </row>
    <row r="31" spans="1:16" x14ac:dyDescent="0.25">
      <c r="A31" vm="455">
        <f ca="1"/>
        <v>45387</v>
      </c>
      <c r="B31" s="8">
        <f ca="1">+B30*(1+Deltas!B31)</f>
        <v>82.561457968257187</v>
      </c>
      <c r="C31" s="8">
        <f ca="1">+C30*(1+Deltas!C31)</f>
        <v>106.64400138296645</v>
      </c>
      <c r="D31" s="8">
        <f ca="1">+D30*(1+Deltas!D31)</f>
        <v>104.42721115146755</v>
      </c>
      <c r="E31" s="8">
        <f ca="1">+E30*(1+Deltas!E31)</f>
        <v>101.26022214085192</v>
      </c>
      <c r="F31" s="8">
        <f ca="1">+F30*(1+Deltas!F31)</f>
        <v>97.991211550533549</v>
      </c>
      <c r="G31" s="8">
        <f ca="1">+G30*(1+Deltas!G31)</f>
        <v>107.63150722267646</v>
      </c>
      <c r="H31" s="8">
        <f ca="1">+H30*(1+Deltas!H31)</f>
        <v>88.765533091815698</v>
      </c>
      <c r="I31" s="8">
        <f ca="1">+I30*(1+Deltas!I31)</f>
        <v>116.66826876862449</v>
      </c>
      <c r="J31" s="8">
        <f ca="1">+J30*(1+Deltas!J31)</f>
        <v>98.869332089987196</v>
      </c>
      <c r="K31" s="8">
        <f ca="1">+K30*(1+Deltas!K31)</f>
        <v>113.64770459081839</v>
      </c>
      <c r="L31" s="8">
        <f ca="1">+L30*(1+Deltas!L31)</f>
        <v>99.144663443659368</v>
      </c>
      <c r="M31" s="8">
        <f ca="1">+M30*(1+Deltas!M31)</f>
        <v>108.32393130249469</v>
      </c>
      <c r="N31" s="8">
        <f ca="1">+N30*(1+Deltas!N31)</f>
        <v>111.8257709558964</v>
      </c>
      <c r="O31" s="8">
        <f ca="1">+O30*(1+Deltas!O31)</f>
        <v>100.49679155454351</v>
      </c>
      <c r="P31" s="8">
        <f ca="1">+P30*(1+Deltas!P31)</f>
        <v>103.33274187451299</v>
      </c>
    </row>
    <row r="32" spans="1:16" x14ac:dyDescent="0.25">
      <c r="A32" vm="470">
        <f ca="1"/>
        <v>45390</v>
      </c>
      <c r="B32" s="8">
        <f ca="1">+B31*(1+Deltas!B32)</f>
        <v>86.606919341110526</v>
      </c>
      <c r="C32" s="8">
        <f ca="1">+C31*(1+Deltas!C32)</f>
        <v>106.71314970611961</v>
      </c>
      <c r="D32" s="8">
        <f ca="1">+D31*(1+Deltas!D32)</f>
        <v>104.19897909099832</v>
      </c>
      <c r="E32" s="8">
        <f ca="1">+E31*(1+Deltas!E32)</f>
        <v>101.39753448065419</v>
      </c>
      <c r="F32" s="8">
        <f ca="1">+F31*(1+Deltas!F32)</f>
        <v>97.953546767106062</v>
      </c>
      <c r="G32" s="8">
        <f ca="1">+G31*(1+Deltas!G32)</f>
        <v>108.19296811120195</v>
      </c>
      <c r="H32" s="8">
        <f ca="1">+H31*(1+Deltas!H32)</f>
        <v>88.816173892719434</v>
      </c>
      <c r="I32" s="8">
        <f ca="1">+I31*(1+Deltas!I32)</f>
        <v>115.88003460540233</v>
      </c>
      <c r="J32" s="8">
        <f ca="1">+J31*(1+Deltas!J32)</f>
        <v>98.286513579671322</v>
      </c>
      <c r="K32" s="8">
        <f ca="1">+K31*(1+Deltas!K32)</f>
        <v>114.87025948103796</v>
      </c>
      <c r="L32" s="8">
        <f ca="1">+L31*(1+Deltas!L32)</f>
        <v>98.847155076236533</v>
      </c>
      <c r="M32" s="8">
        <f ca="1">+M31*(1+Deltas!M32)</f>
        <v>108.03560235677575</v>
      </c>
      <c r="N32" s="8">
        <f ca="1">+N31*(1+Deltas!N32)</f>
        <v>110.71396805631444</v>
      </c>
      <c r="O32" s="8">
        <f ca="1">+O31*(1+Deltas!O32)</f>
        <v>99.855102463258063</v>
      </c>
      <c r="P32" s="8">
        <f ca="1">+P31*(1+Deltas!P32)</f>
        <v>103.07584302168596</v>
      </c>
    </row>
    <row r="33" spans="1:16" x14ac:dyDescent="0.25">
      <c r="A33" vm="486">
        <f ca="1"/>
        <v>45391</v>
      </c>
      <c r="B33" s="8">
        <f ca="1">+B32*(1+Deltas!B33)</f>
        <v>88.559555399789758</v>
      </c>
      <c r="C33" s="8">
        <f ca="1">+C32*(1+Deltas!C33)</f>
        <v>106.98974299873225</v>
      </c>
      <c r="D33" s="8">
        <f ca="1">+D32*(1+Deltas!D33)</f>
        <v>104.61372337292627</v>
      </c>
      <c r="E33" s="8">
        <f ca="1">+E32*(1+Deltas!E33)</f>
        <v>102.08409617966554</v>
      </c>
      <c r="F33" s="8">
        <f ca="1">+F32*(1+Deltas!F33)</f>
        <v>98.342749529190186</v>
      </c>
      <c r="G33" s="8">
        <f ca="1">+G32*(1+Deltas!G33)</f>
        <v>107.4679749250477</v>
      </c>
      <c r="H33" s="8">
        <f ca="1">+H32*(1+Deltas!H33)</f>
        <v>89.540726890265304</v>
      </c>
      <c r="I33" s="8">
        <f ca="1">+I32*(1+Deltas!I33)</f>
        <v>116.48562914543886</v>
      </c>
      <c r="J33" s="8">
        <f ca="1">+J32*(1+Deltas!J33)</f>
        <v>98.659517426273496</v>
      </c>
      <c r="K33" s="8">
        <f ca="1">+K32*(1+Deltas!K33)</f>
        <v>111.40219560878248</v>
      </c>
      <c r="L33" s="8">
        <f ca="1">+L32*(1+Deltas!L33)</f>
        <v>99.590925994793622</v>
      </c>
      <c r="M33" s="8">
        <f ca="1">+M32*(1+Deltas!M33)</f>
        <v>105.50959007145546</v>
      </c>
      <c r="N33" s="8">
        <f ca="1">+N32*(1+Deltas!N33)</f>
        <v>108.45351393247866</v>
      </c>
      <c r="O33" s="8">
        <f ca="1">+O32*(1+Deltas!O33)</f>
        <v>103.5189401780169</v>
      </c>
      <c r="P33" s="8">
        <f ca="1">+P32*(1+Deltas!P33)</f>
        <v>102.92000648033138</v>
      </c>
    </row>
    <row r="34" spans="1:16" x14ac:dyDescent="0.25">
      <c r="A34" vm="502">
        <f ca="1"/>
        <v>45392</v>
      </c>
      <c r="B34" s="8">
        <f ca="1">+B33*(1+Deltas!B34)</f>
        <v>85.996094727882678</v>
      </c>
      <c r="C34" s="8">
        <f ca="1">+C33*(1+Deltas!C34)</f>
        <v>107.15108908608963</v>
      </c>
      <c r="D34" s="8">
        <f ca="1">+D33*(1+Deltas!D34)</f>
        <v>103.87258270344556</v>
      </c>
      <c r="E34" s="8">
        <f ca="1">+E33*(1+Deltas!E34)</f>
        <v>97.998291224215762</v>
      </c>
      <c r="F34" s="8">
        <f ca="1">+F33*(1+Deltas!F34)</f>
        <v>98.706842435655972</v>
      </c>
      <c r="G34" s="8">
        <f ca="1">+G33*(1+Deltas!G34)</f>
        <v>106.55219405832652</v>
      </c>
      <c r="H34" s="8">
        <f ca="1">+H33*(1+Deltas!H34)</f>
        <v>87.657278641268377</v>
      </c>
      <c r="I34" s="8">
        <f ca="1">+I33*(1+Deltas!I34)</f>
        <v>117.46611554359323</v>
      </c>
      <c r="J34" s="8">
        <f ca="1">+J33*(1+Deltas!J34)</f>
        <v>98.065042545751282</v>
      </c>
      <c r="K34" s="8">
        <f ca="1">+K33*(1+Deltas!K34)</f>
        <v>109.95508982035932</v>
      </c>
      <c r="L34" s="8">
        <f ca="1">+L33*(1+Deltas!L34)</f>
        <v>97.880252882112316</v>
      </c>
      <c r="M34" s="8">
        <f ca="1">+M33*(1+Deltas!M34)</f>
        <v>106.3996489908487</v>
      </c>
      <c r="N34" s="8">
        <f ca="1">+N33*(1+Deltas!N34)</f>
        <v>110.59452865910221</v>
      </c>
      <c r="O34" s="8">
        <f ca="1">+O33*(1+Deltas!O34)</f>
        <v>101.86296832953833</v>
      </c>
      <c r="P34" s="8">
        <f ca="1">+P33*(1+Deltas!P34)</f>
        <v>102.01661742129095</v>
      </c>
    </row>
    <row r="35" spans="1:16" x14ac:dyDescent="0.25">
      <c r="A35" vm="518">
        <f ca="1"/>
        <v>45393</v>
      </c>
      <c r="B35" s="8">
        <f ca="1">+B34*(1+Deltas!B35)</f>
        <v>87.418014319331135</v>
      </c>
      <c r="C35" s="8">
        <f ca="1">+C34*(1+Deltas!C35)</f>
        <v>108.93742076754637</v>
      </c>
      <c r="D35" s="8">
        <f ca="1">+D34*(1+Deltas!D35)</f>
        <v>105.01865122214586</v>
      </c>
      <c r="E35" s="8">
        <f ca="1">+E34*(1+Deltas!E35)</f>
        <v>97.619919443427278</v>
      </c>
      <c r="F35" s="8">
        <f ca="1">+F34*(1+Deltas!F35)</f>
        <v>97.827997489014422</v>
      </c>
      <c r="G35" s="8">
        <f ca="1">+G34*(1+Deltas!G35)</f>
        <v>106.53038975197602</v>
      </c>
      <c r="H35" s="8">
        <f ca="1">+H34*(1+Deltas!H35)</f>
        <v>86.034825289236906</v>
      </c>
      <c r="I35" s="8">
        <f ca="1">+I34*(1+Deltas!I35)</f>
        <v>117.07199846198216</v>
      </c>
      <c r="J35" s="8">
        <f ca="1">+J34*(1+Deltas!J35)</f>
        <v>97.983447954307067</v>
      </c>
      <c r="K35" s="8">
        <f ca="1">+K34*(1+Deltas!K35)</f>
        <v>108.85728542914177</v>
      </c>
      <c r="L35" s="8">
        <f ca="1">+L34*(1+Deltas!L35)</f>
        <v>97.954629973968025</v>
      </c>
      <c r="M35" s="8">
        <f ca="1">+M34*(1+Deltas!M35)</f>
        <v>103.80468847937824</v>
      </c>
      <c r="N35" s="8">
        <f ca="1">+N34*(1+Deltas!N35)</f>
        <v>115.13957891259327</v>
      </c>
      <c r="O35" s="8">
        <f ca="1">+O34*(1+Deltas!O35)</f>
        <v>102.52535706892976</v>
      </c>
      <c r="P35" s="8">
        <f ca="1">+P34*(1+Deltas!P35)</f>
        <v>106.65236879257537</v>
      </c>
    </row>
    <row r="36" spans="1:16" x14ac:dyDescent="0.25">
      <c r="A36" vm="534">
        <f ca="1"/>
        <v>45394</v>
      </c>
      <c r="B36" s="8">
        <f ca="1">+B35*(1+Deltas!B36)</f>
        <v>85.640614830020567</v>
      </c>
      <c r="C36" s="8">
        <f ca="1">+C35*(1+Deltas!C36)</f>
        <v>107.25481157081938</v>
      </c>
      <c r="D36" s="8">
        <f ca="1">+D35*(1+Deltas!D36)</f>
        <v>103.53882399136153</v>
      </c>
      <c r="E36" s="8">
        <f ca="1">+E35*(1+Deltas!E36)</f>
        <v>97.110338093494406</v>
      </c>
      <c r="F36" s="8">
        <f ca="1">+F35*(1+Deltas!F36)</f>
        <v>97.507846829880719</v>
      </c>
      <c r="G36" s="8">
        <f ca="1">+G35*(1+Deltas!G36)</f>
        <v>99.640228945216663</v>
      </c>
      <c r="H36" s="8">
        <f ca="1">+H35*(1+Deltas!H36)</f>
        <v>85.543999065092919</v>
      </c>
      <c r="I36" s="8">
        <f ca="1">+I35*(1+Deltas!I36)</f>
        <v>115.70700759396333</v>
      </c>
      <c r="J36" s="8">
        <f ca="1">+J35*(1+Deltas!J36)</f>
        <v>97.901853362862823</v>
      </c>
      <c r="K36" s="8">
        <f ca="1">+K35*(1+Deltas!K36)</f>
        <v>107.28542914171662</v>
      </c>
      <c r="L36" s="8">
        <f ca="1">+L35*(1+Deltas!L36)</f>
        <v>96.169579769431024</v>
      </c>
      <c r="M36" s="8">
        <f ca="1">+M35*(1+Deltas!M36)</f>
        <v>104.55685094647113</v>
      </c>
      <c r="N36" s="8">
        <f ca="1">+N35*(1+Deltas!N36)</f>
        <v>112.0519434314685</v>
      </c>
      <c r="O36" s="8">
        <f ca="1">+O35*(1+Deltas!O36)</f>
        <v>100.37259366590762</v>
      </c>
      <c r="P36" s="8">
        <f ca="1">+P35*(1+Deltas!P36)</f>
        <v>103.69070303881254</v>
      </c>
    </row>
    <row r="37" spans="1:16" x14ac:dyDescent="0.25">
      <c r="A37" vm="550">
        <f ca="1"/>
        <v>45397</v>
      </c>
      <c r="B37" s="8">
        <f ca="1">+B36*(1+Deltas!B37)</f>
        <v>80.849146347569246</v>
      </c>
      <c r="C37" s="8">
        <f ca="1">+C36*(1+Deltas!C37)</f>
        <v>105.80845914486572</v>
      </c>
      <c r="D37" s="8">
        <f ca="1">+D36*(1+Deltas!D37)</f>
        <v>101.51173063708647</v>
      </c>
      <c r="E37" s="8">
        <f ca="1">+E36*(1+Deltas!E37)</f>
        <v>95.804345172708381</v>
      </c>
      <c r="F37" s="8">
        <f ca="1">+F36*(1+Deltas!F37)</f>
        <v>97.583176396735695</v>
      </c>
      <c r="G37" s="8">
        <f ca="1">+G36*(1+Deltas!G37)</f>
        <v>99.694739711092907</v>
      </c>
      <c r="H37" s="8">
        <f ca="1">+H36*(1+Deltas!H37)</f>
        <v>86.79638502590474</v>
      </c>
      <c r="I37" s="8">
        <f ca="1">+I36*(1+Deltas!I37)</f>
        <v>115.04373738344714</v>
      </c>
      <c r="J37" s="8">
        <f ca="1">+J36*(1+Deltas!J37)</f>
        <v>95.931926797995146</v>
      </c>
      <c r="K37" s="8">
        <f ca="1">+K36*(1+Deltas!K37)</f>
        <v>107.60978043912182</v>
      </c>
      <c r="L37" s="8">
        <f ca="1">+L36*(1+Deltas!L37)</f>
        <v>96.35552249907029</v>
      </c>
      <c r="M37" s="8">
        <f ca="1">+M36*(1+Deltas!M37)</f>
        <v>103.89870878776485</v>
      </c>
      <c r="N37" s="8">
        <f ca="1">+N36*(1+Deltas!N37)</f>
        <v>109.27561276222669</v>
      </c>
      <c r="O37" s="8">
        <f ca="1">+O36*(1+Deltas!O37)</f>
        <v>99.855102463258063</v>
      </c>
      <c r="P37" s="8">
        <f ca="1">+P36*(1+Deltas!P37)</f>
        <v>101.11554276633001</v>
      </c>
    </row>
    <row r="38" spans="1:16" x14ac:dyDescent="0.25">
      <c r="A38" vm="563">
        <f ca="1"/>
        <v>45398</v>
      </c>
      <c r="B38" s="8">
        <f ca="1">+B37*(1+Deltas!B38)</f>
        <v>78.661192610023576</v>
      </c>
      <c r="C38" s="8">
        <f ca="1">+C37*(1+Deltas!C38)</f>
        <v>105.63558833698281</v>
      </c>
      <c r="D38" s="8">
        <f ca="1">+D37*(1+Deltas!D38)</f>
        <v>101.74241680573279</v>
      </c>
      <c r="E38" s="8">
        <f ca="1">+E37*(1+Deltas!E38)</f>
        <v>94.098620773831286</v>
      </c>
      <c r="F38" s="8">
        <f ca="1">+F37*(1+Deltas!F38)</f>
        <v>97.89704959196483</v>
      </c>
      <c r="G38" s="8">
        <f ca="1">+G37*(1+Deltas!G38)</f>
        <v>98.555464704279075</v>
      </c>
      <c r="H38" s="8">
        <f ca="1">+H37*(1+Deltas!H38)</f>
        <v>91.326788983678099</v>
      </c>
      <c r="I38" s="8">
        <f ca="1">+I37*(1+Deltas!I38)</f>
        <v>114.0920888205326</v>
      </c>
      <c r="J38" s="8">
        <f ca="1">+J37*(1+Deltas!J38)</f>
        <v>96.712903601818439</v>
      </c>
      <c r="K38" s="8">
        <f ca="1">+K37*(1+Deltas!K38)</f>
        <v>105.36427145708588</v>
      </c>
      <c r="L38" s="8">
        <f ca="1">+L37*(1+Deltas!L38)</f>
        <v>95.537374488657491</v>
      </c>
      <c r="M38" s="8">
        <f ca="1">+M37*(1+Deltas!M38)</f>
        <v>102.9271656011032</v>
      </c>
      <c r="N38" s="8">
        <f ca="1">+N37*(1+Deltas!N38)</f>
        <v>111.07228624795113</v>
      </c>
      <c r="O38" s="8">
        <f ca="1">+O37*(1+Deltas!O38)</f>
        <v>99.192713723866632</v>
      </c>
      <c r="P38" s="8">
        <f ca="1">+P37*(1+Deltas!P38)</f>
        <v>102.53272953102456</v>
      </c>
    </row>
    <row r="39" spans="1:16" x14ac:dyDescent="0.25">
      <c r="A39" vm="579">
        <f ca="1"/>
        <v>45399</v>
      </c>
      <c r="B39" s="8">
        <f ca="1">+B38*(1+Deltas!B39)</f>
        <v>77.830070595303695</v>
      </c>
      <c r="C39" s="8">
        <f ca="1">+C38*(1+Deltas!C39)</f>
        <v>104.46006684337904</v>
      </c>
      <c r="D39" s="8">
        <f ca="1">+D38*(1+Deltas!D39)</f>
        <v>101.06999116521055</v>
      </c>
      <c r="E39" s="8">
        <f ca="1">+E38*(1+Deltas!E39)</f>
        <v>94.641767362382495</v>
      </c>
      <c r="F39" s="8">
        <f ca="1">+F38*(1+Deltas!F39)</f>
        <v>98.531073446327682</v>
      </c>
      <c r="G39" s="8">
        <f ca="1">+G38*(1+Deltas!G39)</f>
        <v>98.162987189969996</v>
      </c>
      <c r="H39" s="8">
        <f ca="1">+H38*(1+Deltas!H39)</f>
        <v>93.293989326477373</v>
      </c>
      <c r="I39" s="8">
        <f ca="1">+I38*(1+Deltas!I39)</f>
        <v>114.03441315005293</v>
      </c>
      <c r="J39" s="8">
        <f ca="1">+J38*(1+Deltas!J39)</f>
        <v>95.092668143140259</v>
      </c>
      <c r="K39" s="8">
        <f ca="1">+K38*(1+Deltas!K39)</f>
        <v>106.38722554890225</v>
      </c>
      <c r="L39" s="8">
        <f ca="1">+L38*(1+Deltas!L39)</f>
        <v>94.533283748605427</v>
      </c>
      <c r="M39" s="8">
        <f ca="1">+M38*(1+Deltas!M39)</f>
        <v>102.11859094897832</v>
      </c>
      <c r="N39" s="8">
        <f ca="1">+N38*(1+Deltas!N39)</f>
        <v>106.77755047585165</v>
      </c>
      <c r="O39" s="8">
        <f ca="1">+O38*(1+Deltas!O39)</f>
        <v>98.923618298488861</v>
      </c>
      <c r="P39" s="8">
        <f ca="1">+P38*(1+Deltas!P39)</f>
        <v>98.950803483949571</v>
      </c>
    </row>
    <row r="40" spans="1:16" x14ac:dyDescent="0.25">
      <c r="A40" vm="594">
        <f ca="1"/>
        <v>45400</v>
      </c>
      <c r="B40" s="8">
        <f ca="1">+B39*(1+Deltas!B40)</f>
        <v>75.066339558403882</v>
      </c>
      <c r="C40" s="8">
        <f ca="1">+C39*(1+Deltas!C40)</f>
        <v>103.27302062924973</v>
      </c>
      <c r="D40" s="8">
        <f ca="1">+D39*(1+Deltas!D40)</f>
        <v>99.212231275154593</v>
      </c>
      <c r="E40" s="8">
        <f ca="1">+E39*(1+Deltas!E40)</f>
        <v>94.40375930672522</v>
      </c>
      <c r="F40" s="8">
        <f ca="1">+F39*(1+Deltas!F40)</f>
        <v>98.738229755178892</v>
      </c>
      <c r="G40" s="8">
        <f ca="1">+G39*(1+Deltas!G40)</f>
        <v>98.800763150722233</v>
      </c>
      <c r="H40" s="8">
        <f ca="1">+H39*(1+Deltas!H40)</f>
        <v>96.057808421954746</v>
      </c>
      <c r="I40" s="8">
        <f ca="1">+I39*(1+Deltas!I40)</f>
        <v>113.9286744208402</v>
      </c>
      <c r="J40" s="8">
        <f ca="1">+J39*(1+Deltas!J40)</f>
        <v>95.442359249329812</v>
      </c>
      <c r="K40" s="8">
        <f ca="1">+K39*(1+Deltas!K40)</f>
        <v>106.08782435129747</v>
      </c>
      <c r="L40" s="8">
        <f ca="1">+L39*(1+Deltas!L40)</f>
        <v>94.421718110821857</v>
      </c>
      <c r="M40" s="8">
        <f ca="1">+M39*(1+Deltas!M40)</f>
        <v>105.99849567506585</v>
      </c>
      <c r="N40" s="8">
        <f ca="1">+N39*(1+Deltas!N40)</f>
        <v>107.58567235486208</v>
      </c>
      <c r="O40" s="8">
        <f ca="1">+O39*(1+Deltas!O40)</f>
        <v>99.586007037880293</v>
      </c>
      <c r="P40" s="8">
        <f ca="1">+P39*(1+Deltas!P40)</f>
        <v>97.127053069285509</v>
      </c>
    </row>
    <row r="41" spans="1:16" x14ac:dyDescent="0.25">
      <c r="A41" vm="609">
        <f ca="1"/>
        <v>45401</v>
      </c>
      <c r="B41" s="8">
        <f ca="1">+B40*(1+Deltas!B41)</f>
        <v>73.624392930456153</v>
      </c>
      <c r="C41" s="8">
        <f ca="1">+C40*(1+Deltas!C41)</f>
        <v>100.62809726864121</v>
      </c>
      <c r="D41" s="8">
        <f ca="1">+D40*(1+Deltas!D41)</f>
        <v>97.948365563954042</v>
      </c>
      <c r="E41" s="8">
        <f ca="1">+E40*(1+Deltas!E41)</f>
        <v>93.360185524227958</v>
      </c>
      <c r="F41" s="8">
        <f ca="1">+F40*(1+Deltas!F41)</f>
        <v>99.271814187068401</v>
      </c>
      <c r="G41" s="8">
        <f ca="1">+G40*(1+Deltas!G41)</f>
        <v>101.28100299809209</v>
      </c>
      <c r="H41" s="8">
        <f ca="1">+H40*(1+Deltas!H41)</f>
        <v>97.606248295742276</v>
      </c>
      <c r="I41" s="8">
        <f ca="1">+I40*(1+Deltas!I41)</f>
        <v>115.23598961837938</v>
      </c>
      <c r="J41" s="8">
        <f ca="1">+J40*(1+Deltas!J41)</f>
        <v>94.766289777363383</v>
      </c>
      <c r="K41" s="8">
        <f ca="1">+K40*(1+Deltas!K41)</f>
        <v>106.08782435129747</v>
      </c>
      <c r="L41" s="8">
        <f ca="1">+L40*(1+Deltas!L41)</f>
        <v>96.690219412420959</v>
      </c>
      <c r="M41" s="8">
        <f ca="1">+M40*(1+Deltas!M41)</f>
        <v>108.41168359032223</v>
      </c>
      <c r="N41" s="8">
        <f ca="1">+N40*(1+Deltas!N41)</f>
        <v>96.822149655023438</v>
      </c>
      <c r="O41" s="8">
        <f ca="1">+O40*(1+Deltas!O41)</f>
        <v>100.02069964810592</v>
      </c>
      <c r="P41" s="8">
        <f ca="1">+P40*(1+Deltas!P41)</f>
        <v>92.939524621402043</v>
      </c>
    </row>
    <row r="42" spans="1:16" x14ac:dyDescent="0.25">
      <c r="A42" vm="624">
        <f ca="1"/>
        <v>45404</v>
      </c>
      <c r="B42" s="8">
        <f ca="1">+B41*(1+Deltas!B42)</f>
        <v>71.121013368046903</v>
      </c>
      <c r="C42" s="8">
        <f ca="1">+C41*(1+Deltas!C42)</f>
        <v>102.12631093695975</v>
      </c>
      <c r="D42" s="8">
        <f ca="1">+D41*(1+Deltas!D42)</f>
        <v>98.399921468538295</v>
      </c>
      <c r="E42" s="8">
        <f ca="1">+E41*(1+Deltas!E42)</f>
        <v>94.367142682777953</v>
      </c>
      <c r="F42" s="8">
        <f ca="1">+F41*(1+Deltas!F42)</f>
        <v>100.77840552416822</v>
      </c>
      <c r="G42" s="8">
        <f ca="1">+G41*(1+Deltas!G42)</f>
        <v>103.2488416462251</v>
      </c>
      <c r="H42" s="8">
        <f ca="1">+H41*(1+Deltas!H42)</f>
        <v>95.678002415176664</v>
      </c>
      <c r="I42" s="8">
        <f ca="1">+I41*(1+Deltas!I42)</f>
        <v>115.88964721714896</v>
      </c>
      <c r="J42" s="8">
        <f ca="1">+J41*(1+Deltas!J42)</f>
        <v>95.069355402727638</v>
      </c>
      <c r="K42" s="8">
        <f ca="1">+K41*(1+Deltas!K42)</f>
        <v>107.31037924151703</v>
      </c>
      <c r="L42" s="8">
        <f ca="1">+L41*(1+Deltas!L42)</f>
        <v>97.657121606545175</v>
      </c>
      <c r="M42" s="8">
        <f ca="1">+M41*(1+Deltas!M42)</f>
        <v>109.94734862730353</v>
      </c>
      <c r="N42" s="8">
        <f ca="1">+N41*(1+Deltas!N42)</f>
        <v>101.03810625023824</v>
      </c>
      <c r="O42" s="8">
        <f ca="1">+O41*(1+Deltas!O42)</f>
        <v>99.648105982198231</v>
      </c>
      <c r="P42" s="8">
        <f ca="1">+P41*(1+Deltas!P42)</f>
        <v>94.463173973754635</v>
      </c>
    </row>
    <row r="43" spans="1:16" x14ac:dyDescent="0.25">
      <c r="A43" vm="640">
        <f ca="1"/>
        <v>45405</v>
      </c>
      <c r="B43" s="8">
        <f ca="1">+B42*(1+Deltas!B43)</f>
        <v>72.437791017874162</v>
      </c>
      <c r="C43" s="8">
        <f ca="1">+C42*(1+Deltas!C43)</f>
        <v>103.45741615765814</v>
      </c>
      <c r="D43" s="8">
        <f ca="1">+D42*(1+Deltas!D43)</f>
        <v>100.02208697359377</v>
      </c>
      <c r="E43" s="8">
        <f ca="1">+E42*(1+Deltas!E43)</f>
        <v>92.261686805809816</v>
      </c>
      <c r="F43" s="8">
        <f ca="1">+F42*(1+Deltas!F43)</f>
        <v>101.38104205900815</v>
      </c>
      <c r="G43" s="8">
        <f ca="1">+G42*(1+Deltas!G43)</f>
        <v>104.73698555464701</v>
      </c>
      <c r="H43" s="8">
        <f ca="1">+H42*(1+Deltas!H43)</f>
        <v>94.694402243777034</v>
      </c>
      <c r="I43" s="8">
        <f ca="1">+I42*(1+Deltas!I43)</f>
        <v>116.3414399692397</v>
      </c>
      <c r="J43" s="8">
        <f ca="1">+J42*(1+Deltas!J43)</f>
        <v>95.360764657885568</v>
      </c>
      <c r="K43" s="8">
        <f ca="1">+K42*(1+Deltas!K43)</f>
        <v>108.73253493013978</v>
      </c>
      <c r="L43" s="8">
        <f ca="1">+L42*(1+Deltas!L43)</f>
        <v>97.880252882112288</v>
      </c>
      <c r="M43" s="8">
        <f ca="1">+M42*(1+Deltas!M43)</f>
        <v>109.86586436003513</v>
      </c>
      <c r="N43" s="8">
        <f ca="1">+N42*(1+Deltas!N43)</f>
        <v>104.72929187685037</v>
      </c>
      <c r="O43" s="8">
        <f ca="1">+O42*(1+Deltas!O43)</f>
        <v>100.02069964810592</v>
      </c>
      <c r="P43" s="8">
        <f ca="1">+P42*(1+Deltas!P43)</f>
        <v>96.371014403308038</v>
      </c>
    </row>
    <row r="44" spans="1:16" x14ac:dyDescent="0.25">
      <c r="A44" vm="653">
        <f ca="1"/>
        <v>45406</v>
      </c>
      <c r="B44" s="8">
        <f ca="1">+B43*(1+Deltas!B44)</f>
        <v>81.174585690682463</v>
      </c>
      <c r="C44" s="8">
        <f ca="1">+C43*(1+Deltas!C44)</f>
        <v>101.75751988014288</v>
      </c>
      <c r="D44" s="8">
        <f ca="1">+D43*(1+Deltas!D44)</f>
        <v>100.38774909197994</v>
      </c>
      <c r="E44" s="8">
        <f ca="1">+E43*(1+Deltas!E44)</f>
        <v>92.679726595874499</v>
      </c>
      <c r="F44" s="8">
        <f ca="1">+F43*(1+Deltas!F44)</f>
        <v>102.07156308851224</v>
      </c>
      <c r="G44" s="8">
        <f ca="1">+G43*(1+Deltas!G44)</f>
        <v>105.24938675388387</v>
      </c>
      <c r="H44" s="8">
        <f ca="1">+H43*(1+Deltas!H44)</f>
        <v>94.912547232285462</v>
      </c>
      <c r="I44" s="8">
        <f ca="1">+I43*(1+Deltas!I44)</f>
        <v>116.36066519273292</v>
      </c>
      <c r="J44" s="8">
        <f ca="1">+J43*(1+Deltas!J44)</f>
        <v>96.409837976454185</v>
      </c>
      <c r="K44" s="8">
        <f ca="1">+K43*(1+Deltas!K44)</f>
        <v>108.00898203592821</v>
      </c>
      <c r="L44" s="8">
        <f ca="1">+L43*(1+Deltas!L44)</f>
        <v>97.694310152473008</v>
      </c>
      <c r="M44" s="8">
        <f ca="1">+M43*(1+Deltas!M44)</f>
        <v>107.97919017174381</v>
      </c>
      <c r="N44" s="8">
        <f ca="1">+N43*(1+Deltas!N44)</f>
        <v>101.24013671999087</v>
      </c>
      <c r="O44" s="8">
        <f ca="1">+O43*(1+Deltas!O44)</f>
        <v>100.08279859242386</v>
      </c>
      <c r="P44" s="8">
        <f ca="1">+P43*(1+Deltas!P44)</f>
        <v>96.959644507533369</v>
      </c>
    </row>
    <row r="45" spans="1:16" x14ac:dyDescent="0.25">
      <c r="A45" vm="669">
        <f ca="1"/>
        <v>45407</v>
      </c>
      <c r="B45" s="8">
        <f ca="1">+B44*(1+Deltas!B45)</f>
        <v>85.205026786161369</v>
      </c>
      <c r="C45" s="8">
        <f ca="1">+C44*(1+Deltas!C45)</f>
        <v>100.07491068341589</v>
      </c>
      <c r="D45" s="8">
        <f ca="1">+D44*(1+Deltas!D45)</f>
        <v>97.928732698537317</v>
      </c>
      <c r="E45" s="8">
        <f ca="1">+E44*(1+Deltas!E45)</f>
        <v>93.00927621139995</v>
      </c>
      <c r="F45" s="8">
        <f ca="1">+F44*(1+Deltas!F45)</f>
        <v>102.04017576898933</v>
      </c>
      <c r="G45" s="8">
        <f ca="1">+G44*(1+Deltas!G45)</f>
        <v>105.40746797492501</v>
      </c>
      <c r="H45" s="8">
        <f ca="1">+H44*(1+Deltas!H45)</f>
        <v>96.190253593549144</v>
      </c>
      <c r="I45" s="8">
        <f ca="1">+I44*(1+Deltas!I45)</f>
        <v>116.62981832163804</v>
      </c>
      <c r="J45" s="8">
        <f ca="1">+J44*(1+Deltas!J45)</f>
        <v>96.095115980883591</v>
      </c>
      <c r="K45" s="8">
        <f ca="1">+K44*(1+Deltas!K45)</f>
        <v>103.66766467065874</v>
      </c>
      <c r="L45" s="8">
        <f ca="1">+L44*(1+Deltas!L45)</f>
        <v>93.938267013759742</v>
      </c>
      <c r="M45" s="8">
        <f ca="1">+M44*(1+Deltas!M45)</f>
        <v>108.02306631565754</v>
      </c>
      <c r="N45" s="8">
        <f ca="1">+N44*(1+Deltas!N45)</f>
        <v>104.99485394086481</v>
      </c>
      <c r="O45" s="8">
        <f ca="1">+O44*(1+Deltas!O45)</f>
        <v>99.565307389774304</v>
      </c>
      <c r="P45" s="8">
        <f ca="1">+P44*(1+Deltas!P45)</f>
        <v>99.860364287202088</v>
      </c>
    </row>
    <row r="46" spans="1:16" x14ac:dyDescent="0.25">
      <c r="A46" vm="685">
        <f ca="1"/>
        <v>45408</v>
      </c>
      <c r="B46" s="8">
        <f ca="1">+B45*(1+Deltas!B46)</f>
        <v>84.258749311570668</v>
      </c>
      <c r="C46" s="8">
        <f ca="1">+C45*(1+Deltas!C46)</f>
        <v>103.50351503976026</v>
      </c>
      <c r="D46" s="8">
        <f ca="1">+D45*(1+Deltas!D46)</f>
        <v>99.715323451457706</v>
      </c>
      <c r="E46" s="8">
        <f ca="1">+E45*(1+Deltas!E46)</f>
        <v>93.509703405346002</v>
      </c>
      <c r="F46" s="8">
        <f ca="1">+F45*(1+Deltas!F46)</f>
        <v>101.24921531701192</v>
      </c>
      <c r="G46" s="8">
        <f ca="1">+G45*(1+Deltas!G46)</f>
        <v>105.47288089397654</v>
      </c>
      <c r="H46" s="8">
        <f ca="1">+H45*(1+Deltas!H46)</f>
        <v>96.480464337189829</v>
      </c>
      <c r="I46" s="8">
        <f ca="1">+I45*(1+Deltas!I46)</f>
        <v>113.39036816302995</v>
      </c>
      <c r="J46" s="8">
        <f ca="1">+J45*(1+Deltas!J46)</f>
        <v>95.966895908614106</v>
      </c>
      <c r="K46" s="8">
        <f ca="1">+K45*(1+Deltas!K46)</f>
        <v>104.59081836327351</v>
      </c>
      <c r="L46" s="8">
        <f ca="1">+L45*(1+Deltas!L46)</f>
        <v>94.45890665674969</v>
      </c>
      <c r="M46" s="8">
        <f ca="1">+M45*(1+Deltas!M46)</f>
        <v>106.60022564874015</v>
      </c>
      <c r="N46" s="8">
        <f ca="1">+N45*(1+Deltas!N46)</f>
        <v>111.47888845122681</v>
      </c>
      <c r="O46" s="8">
        <f ca="1">+O45*(1+Deltas!O46)</f>
        <v>99.068515835230727</v>
      </c>
      <c r="P46" s="8">
        <f ca="1">+P45*(1+Deltas!P46)</f>
        <v>103.69070303881253</v>
      </c>
    </row>
    <row r="47" spans="1:16" x14ac:dyDescent="0.25">
      <c r="A47" vm="700">
        <f ca="1"/>
        <v>45411</v>
      </c>
      <c r="B47" s="8">
        <f ca="1">+B46*(1+Deltas!B47)</f>
        <v>97.156160817103157</v>
      </c>
      <c r="C47" s="8">
        <f ca="1">+C46*(1+Deltas!C47)</f>
        <v>104.27567131497059</v>
      </c>
      <c r="D47" s="8">
        <f ca="1">+D46*(1+Deltas!D47)</f>
        <v>98.716501423382709</v>
      </c>
      <c r="E47" s="8">
        <f ca="1">+E46*(1+Deltas!E47)</f>
        <v>93.399853533504185</v>
      </c>
      <c r="F47" s="8">
        <f ca="1">+F46*(1+Deltas!F47)</f>
        <v>101.48148148148147</v>
      </c>
      <c r="G47" s="8">
        <f ca="1">+G46*(1+Deltas!G47)</f>
        <v>105.35840828563639</v>
      </c>
      <c r="H47" s="8">
        <f ca="1">+H46*(1+Deltas!H47)</f>
        <v>95.249503330606515</v>
      </c>
      <c r="I47" s="8">
        <f ca="1">+I46*(1+Deltas!I47)</f>
        <v>115.00528693646069</v>
      </c>
      <c r="J47" s="8">
        <f ca="1">+J46*(1+Deltas!J47)</f>
        <v>96.73621634223106</v>
      </c>
      <c r="K47" s="8">
        <f ca="1">+K46*(1+Deltas!K47)</f>
        <v>103.86726546906193</v>
      </c>
      <c r="L47" s="8">
        <f ca="1">+L46*(1+Deltas!L47)</f>
        <v>95.351431759018197</v>
      </c>
      <c r="M47" s="8">
        <f ca="1">+M46*(1+Deltas!M47)</f>
        <v>106.29309264134389</v>
      </c>
      <c r="N47" s="8">
        <f ca="1">+N46*(1+Deltas!N47)</f>
        <v>111.50684235270202</v>
      </c>
      <c r="O47" s="8">
        <f ca="1">+O46*(1+Deltas!O47)</f>
        <v>98.902918650382873</v>
      </c>
      <c r="P47" s="8">
        <f ca="1">+P46*(1+Deltas!P47)</f>
        <v>103.27025296436585</v>
      </c>
    </row>
    <row r="48" spans="1:16" x14ac:dyDescent="0.25">
      <c r="A48" vm="714">
        <f ca="1"/>
        <v>45412</v>
      </c>
      <c r="B48" s="8">
        <f ca="1">+B47*(1+Deltas!B48)</f>
        <v>91.763881239673623</v>
      </c>
      <c r="C48" s="8">
        <f ca="1">+C47*(1+Deltas!C48)</f>
        <v>100.84130459836346</v>
      </c>
      <c r="D48" s="8">
        <f ca="1">+D47*(1+Deltas!D48)</f>
        <v>95.545793658584444</v>
      </c>
      <c r="E48" s="8">
        <f ca="1">+E47*(1+Deltas!E48)</f>
        <v>91.422555840351507</v>
      </c>
      <c r="F48" s="8">
        <f ca="1">+F47*(1+Deltas!F48)</f>
        <v>102.44821092278718</v>
      </c>
      <c r="G48" s="8">
        <f ca="1">+G47*(1+Deltas!G48)</f>
        <v>104.51894249114197</v>
      </c>
      <c r="H48" s="8">
        <f ca="1">+H47*(1+Deltas!H48)</f>
        <v>94.211366912079782</v>
      </c>
      <c r="I48" s="8">
        <f ca="1">+I47*(1+Deltas!I48)</f>
        <v>113.68835912717491</v>
      </c>
      <c r="J48" s="8">
        <f ca="1">+J47*(1+Deltas!J48)</f>
        <v>96.246648793565726</v>
      </c>
      <c r="K48" s="8">
        <f ca="1">+K47*(1+Deltas!K48)</f>
        <v>102.39520958083837</v>
      </c>
      <c r="L48" s="8">
        <f ca="1">+L47*(1+Deltas!L48)</f>
        <v>95.277054667162488</v>
      </c>
      <c r="M48" s="8">
        <f ca="1">+M47*(1+Deltas!M48)</f>
        <v>106.59395762818104</v>
      </c>
      <c r="N48" s="8">
        <f ca="1">+N47*(1+Deltas!N48)</f>
        <v>109.78513614820653</v>
      </c>
      <c r="O48" s="8">
        <f ca="1">+O47*(1+Deltas!O48)</f>
        <v>97.246946801904286</v>
      </c>
      <c r="P48" s="8">
        <f ca="1">+P47*(1+Deltas!P48)</f>
        <v>100.31167308270905</v>
      </c>
    </row>
    <row r="49" spans="1:16" x14ac:dyDescent="0.25">
      <c r="A49" vm="730">
        <f ca="1"/>
        <v>45413</v>
      </c>
      <c r="B49" s="8">
        <f ca="1">+B48*(1+Deltas!B49)</f>
        <v>90.116657487608336</v>
      </c>
      <c r="C49" s="8">
        <f ca="1">+C48*(1+Deltas!C49)</f>
        <v>103.14624870346893</v>
      </c>
      <c r="D49" s="8">
        <f ca="1">+D48*(1+Deltas!D49)</f>
        <v>96.922548345931077</v>
      </c>
      <c r="E49" s="8">
        <f ca="1">+E48*(1+Deltas!E49)</f>
        <v>92.560722568045875</v>
      </c>
      <c r="F49" s="8">
        <f ca="1">+F48*(1+Deltas!F49)</f>
        <v>102.57376020087884</v>
      </c>
      <c r="G49" s="8">
        <f ca="1">+G48*(1+Deltas!G49)</f>
        <v>104.5843554101935</v>
      </c>
      <c r="H49" s="8">
        <f ca="1">+H48*(1+Deltas!H49)</f>
        <v>94.291223559658761</v>
      </c>
      <c r="I49" s="8">
        <f ca="1">+I48*(1+Deltas!I49)</f>
        <v>111.53513409593393</v>
      </c>
      <c r="J49" s="8">
        <f ca="1">+J48*(1+Deltas!J49)</f>
        <v>96.619652640167885</v>
      </c>
      <c r="K49" s="8">
        <f ca="1">+K48*(1+Deltas!K49)</f>
        <v>102.79441117764476</v>
      </c>
      <c r="L49" s="8">
        <f ca="1">+L48*(1+Deltas!L49)</f>
        <v>101.07846783190773</v>
      </c>
      <c r="M49" s="8">
        <f ca="1">+M48*(1+Deltas!M49)</f>
        <v>107.53416071204717</v>
      </c>
      <c r="N49" s="8">
        <f ca="1">+N48*(1+Deltas!N49)</f>
        <v>105.51454238192655</v>
      </c>
      <c r="O49" s="8">
        <f ca="1">+O48*(1+Deltas!O49)</f>
        <v>96.957151728420556</v>
      </c>
      <c r="P49" s="8">
        <f ca="1">+P48*(1+Deltas!P49)</f>
        <v>95.882675142528697</v>
      </c>
    </row>
    <row r="50" spans="1:16" x14ac:dyDescent="0.25">
      <c r="A50" vm="746">
        <f ca="1"/>
        <v>45414</v>
      </c>
      <c r="B50" s="8">
        <f ca="1">+B49*(1+Deltas!B50)</f>
        <v>90.126671005857958</v>
      </c>
      <c r="C50" s="8">
        <f ca="1">+C49*(1+Deltas!C50)</f>
        <v>106.44231877376971</v>
      </c>
      <c r="D50" s="8">
        <f ca="1">+D49*(1+Deltas!D50)</f>
        <v>97.634239717286718</v>
      </c>
      <c r="E50" s="8">
        <f ca="1">+E49*(1+Deltas!E50)</f>
        <v>92.902477724887092</v>
      </c>
      <c r="F50" s="8">
        <f ca="1">+F49*(1+Deltas!F50)</f>
        <v>102.84996861268047</v>
      </c>
      <c r="G50" s="8">
        <f ca="1">+G49*(1+Deltas!G50)</f>
        <v>104.47533387844096</v>
      </c>
      <c r="H50" s="8">
        <f ca="1">+H49*(1+Deltas!H50)</f>
        <v>96.016906236609401</v>
      </c>
      <c r="I50" s="8">
        <f ca="1">+I49*(1+Deltas!I50)</f>
        <v>111.73699894261276</v>
      </c>
      <c r="J50" s="8">
        <f ca="1">+J49*(1+Deltas!J50)</f>
        <v>98.006760694719702</v>
      </c>
      <c r="K50" s="8">
        <f ca="1">+K49*(1+Deltas!K50)</f>
        <v>102.54491017964077</v>
      </c>
      <c r="L50" s="8">
        <f ca="1">+L49*(1+Deltas!L50)</f>
        <v>103.01227222015615</v>
      </c>
      <c r="M50" s="8">
        <f ca="1">+M49*(1+Deltas!M50)</f>
        <v>106.0423718189796</v>
      </c>
      <c r="N50" s="8">
        <f ca="1">+N49*(1+Deltas!N50)</f>
        <v>109.04181649534316</v>
      </c>
      <c r="O50" s="8">
        <f ca="1">+O49*(1+Deltas!O50)</f>
        <v>96.853653487890625</v>
      </c>
      <c r="P50" s="8">
        <f ca="1">+P49*(1+Deltas!P50)</f>
        <v>95.551715359156915</v>
      </c>
    </row>
    <row r="51" spans="1:16" x14ac:dyDescent="0.25">
      <c r="A51" vm="760">
        <f ca="1"/>
        <v>45415</v>
      </c>
      <c r="B51" s="8">
        <f ca="1">+B50*(1+Deltas!B51)</f>
        <v>90.717468582586548</v>
      </c>
      <c r="C51" s="8">
        <f ca="1">+C50*(1+Deltas!C51)</f>
        <v>107.3009104529215</v>
      </c>
      <c r="D51" s="8">
        <f ca="1">+D50*(1+Deltas!D51)</f>
        <v>99.798763129478729</v>
      </c>
      <c r="E51" s="8">
        <f ca="1">+E50*(1+Deltas!E51)</f>
        <v>94.989625289881602</v>
      </c>
      <c r="F51" s="8">
        <f ca="1">+F50*(1+Deltas!F51)</f>
        <v>103.2391713747646</v>
      </c>
      <c r="G51" s="8">
        <f ca="1">+G50*(1+Deltas!G51)</f>
        <v>103.84846007086396</v>
      </c>
      <c r="H51" s="8">
        <f ca="1">+H50*(1+Deltas!H51)</f>
        <v>95.915624634801915</v>
      </c>
      <c r="I51" s="8">
        <f ca="1">+I50*(1+Deltas!I51)</f>
        <v>111.50629626069409</v>
      </c>
      <c r="J51" s="8">
        <f ca="1">+J50*(1+Deltas!J51)</f>
        <v>98.542953724210321</v>
      </c>
      <c r="K51" s="8">
        <f ca="1">+K50*(1+Deltas!K51)</f>
        <v>103.76746506986032</v>
      </c>
      <c r="L51" s="8">
        <f ca="1">+L50*(1+Deltas!L51)</f>
        <v>103.42134622536256</v>
      </c>
      <c r="M51" s="8">
        <f ca="1">+M50*(1+Deltas!M51)</f>
        <v>105.41556976306886</v>
      </c>
      <c r="N51" s="8">
        <f ca="1">+N50*(1+Deltas!N51)</f>
        <v>112.81813445826614</v>
      </c>
      <c r="O51" s="8">
        <f ca="1">+O50*(1+Deltas!O51)</f>
        <v>97.536741875388046</v>
      </c>
      <c r="P51" s="8">
        <f ca="1">+P50*(1+Deltas!P51)</f>
        <v>98.602099935968141</v>
      </c>
    </row>
    <row r="52" spans="1:16" x14ac:dyDescent="0.25">
      <c r="A52" vm="776">
        <f ca="1"/>
        <v>45418</v>
      </c>
      <c r="B52" s="8">
        <f ca="1">+B51*(1+Deltas!B52)</f>
        <v>92.504881590146766</v>
      </c>
      <c r="C52" s="8">
        <f ca="1">+C51*(1+Deltas!C52)</f>
        <v>108.73573815834962</v>
      </c>
      <c r="D52" s="8">
        <f ca="1">+D51*(1+Deltas!D52)</f>
        <v>101.48718955531558</v>
      </c>
      <c r="E52" s="8">
        <f ca="1">+E51*(1+Deltas!E52)</f>
        <v>96.115586476260233</v>
      </c>
      <c r="F52" s="8">
        <f ca="1">+F51*(1+Deltas!F52)</f>
        <v>103.22661644695543</v>
      </c>
      <c r="G52" s="8">
        <f ca="1">+G51*(1+Deltas!G52)</f>
        <v>104.66067048242024</v>
      </c>
      <c r="H52" s="8">
        <f ca="1">+H51*(1+Deltas!H52)</f>
        <v>96.29153519535663</v>
      </c>
      <c r="I52" s="8">
        <f ca="1">+I51*(1+Deltas!I52)</f>
        <v>112.22724214168994</v>
      </c>
      <c r="J52" s="8">
        <f ca="1">+J51*(1+Deltas!J52)</f>
        <v>98.892644830399846</v>
      </c>
      <c r="K52" s="8">
        <f ca="1">+K51*(1+Deltas!K52)</f>
        <v>105.51397205588826</v>
      </c>
      <c r="L52" s="8">
        <f ca="1">+L51*(1+Deltas!L52)</f>
        <v>104.72294533283745</v>
      </c>
      <c r="M52" s="8">
        <f ca="1">+M51*(1+Deltas!M52)</f>
        <v>106.60649366929927</v>
      </c>
      <c r="N52" s="8">
        <f ca="1">+N51*(1+Deltas!N52)</f>
        <v>117.07602190569376</v>
      </c>
      <c r="O52" s="8">
        <f ca="1">+O51*(1+Deltas!O52)</f>
        <v>97.516042227282071</v>
      </c>
      <c r="P52" s="8">
        <f ca="1">+P51*(1+Deltas!P52)</f>
        <v>101.08622698132275</v>
      </c>
    </row>
    <row r="53" spans="1:16" x14ac:dyDescent="0.25">
      <c r="A53" vm="792">
        <f ca="1"/>
        <v>45419</v>
      </c>
      <c r="B53" s="8">
        <f ca="1">+B52*(1+Deltas!B53)</f>
        <v>89.025183998397907</v>
      </c>
      <c r="C53" s="8">
        <f ca="1">+C52*(1+Deltas!C53)</f>
        <v>108.77031231992621</v>
      </c>
      <c r="D53" s="8">
        <f ca="1">+D52*(1+Deltas!D53)</f>
        <v>100.45646412093842</v>
      </c>
      <c r="E53" s="8">
        <f ca="1">+E52*(1+Deltas!E53)</f>
        <v>97.262907359941408</v>
      </c>
      <c r="F53" s="8">
        <f ca="1">+F52*(1+Deltas!F53)</f>
        <v>104.05524168236033</v>
      </c>
      <c r="G53" s="8">
        <f ca="1">+G52*(1+Deltas!G53)</f>
        <v>104.52439356772959</v>
      </c>
      <c r="H53" s="8">
        <f ca="1">+H52*(1+Deltas!H53)</f>
        <v>97.57313700284368</v>
      </c>
      <c r="I53" s="8">
        <f ca="1">+I52*(1+Deltas!I53)</f>
        <v>111.66971066038647</v>
      </c>
      <c r="J53" s="8">
        <f ca="1">+J52*(1+Deltas!J53)</f>
        <v>95.174262734584474</v>
      </c>
      <c r="K53" s="8">
        <f ca="1">+K52*(1+Deltas!K53)</f>
        <v>106.56187624750503</v>
      </c>
      <c r="L53" s="8">
        <f ca="1">+L52*(1+Deltas!L53)</f>
        <v>103.27259204165114</v>
      </c>
      <c r="M53" s="8">
        <f ca="1">+M52*(1+Deltas!M53)</f>
        <v>105.42183778362796</v>
      </c>
      <c r="N53" s="8">
        <f ca="1">+N52*(1+Deltas!N53)</f>
        <v>115.06079973570863</v>
      </c>
      <c r="O53" s="8">
        <f ca="1">+O52*(1+Deltas!O53)</f>
        <v>97.867936245083769</v>
      </c>
      <c r="P53" s="8">
        <f ca="1">+P52*(1+Deltas!P53)</f>
        <v>100.53077000223725</v>
      </c>
    </row>
    <row r="54" spans="1:16" x14ac:dyDescent="0.25">
      <c r="A54" vm="807">
        <f ca="1"/>
        <v>45420</v>
      </c>
      <c r="B54" s="8">
        <f ca="1">+B53*(1+Deltas!B54)</f>
        <v>87.478095428828979</v>
      </c>
      <c r="C54" s="8">
        <f ca="1">+C53*(1+Deltas!C54)</f>
        <v>108.33237293995619</v>
      </c>
      <c r="D54" s="8">
        <f ca="1">+D53*(1+Deltas!D54)</f>
        <v>100.75095710218905</v>
      </c>
      <c r="E54" s="8">
        <f ca="1">+E53*(1+Deltas!E54)</f>
        <v>97.339191993164889</v>
      </c>
      <c r="F54" s="8">
        <f ca="1">+F53*(1+Deltas!F54)</f>
        <v>103.62209667294414</v>
      </c>
      <c r="G54" s="8">
        <f ca="1">+G53*(1+Deltas!G54)</f>
        <v>106.65031343690376</v>
      </c>
      <c r="H54" s="8">
        <f ca="1">+H53*(1+Deltas!H54)</f>
        <v>98.011374702972219</v>
      </c>
      <c r="I54" s="8">
        <f ca="1">+I53*(1+Deltas!I54)</f>
        <v>111.65048543689325</v>
      </c>
      <c r="J54" s="8">
        <f ca="1">+J53*(1+Deltas!J54)</f>
        <v>91.327660566499617</v>
      </c>
      <c r="K54" s="8">
        <f ca="1">+K53*(1+Deltas!K54)</f>
        <v>108.13373253493019</v>
      </c>
      <c r="L54" s="8">
        <f ca="1">+L53*(1+Deltas!L54)</f>
        <v>105.13201933804386</v>
      </c>
      <c r="M54" s="8">
        <f ca="1">+M53*(1+Deltas!M54)</f>
        <v>106.73185408048143</v>
      </c>
      <c r="N54" s="8">
        <f ca="1">+N53*(1+Deltas!N54)</f>
        <v>114.88037000800504</v>
      </c>
      <c r="O54" s="8">
        <f ca="1">+O53*(1+Deltas!O54)</f>
        <v>99.358310908714486</v>
      </c>
      <c r="P54" s="8">
        <f ca="1">+P53*(1+Deltas!P54)</f>
        <v>102.24805782924325</v>
      </c>
    </row>
    <row r="55" spans="1:16" x14ac:dyDescent="0.25">
      <c r="A55" vm="822">
        <f ca="1"/>
        <v>45421</v>
      </c>
      <c r="B55" s="8">
        <f ca="1">+B54*(1+Deltas!B55)</f>
        <v>86.101236669503891</v>
      </c>
      <c r="C55" s="8">
        <f ca="1">+C54*(1+Deltas!C55)</f>
        <v>109.19672697937074</v>
      </c>
      <c r="D55" s="8">
        <f ca="1">+D54*(1+Deltas!D55)</f>
        <v>101.18778835771079</v>
      </c>
      <c r="E55" s="8">
        <f ca="1">+E54*(1+Deltas!E55)</f>
        <v>97.781642865861073</v>
      </c>
      <c r="F55" s="8">
        <f ca="1">+F54*(1+Deltas!F55)</f>
        <v>104.23101067168865</v>
      </c>
      <c r="G55" s="8">
        <f ca="1">+G54*(1+Deltas!G55)</f>
        <v>107.65876260561457</v>
      </c>
      <c r="H55" s="8">
        <f ca="1">+H54*(1+Deltas!H55)</f>
        <v>98.755404931634914</v>
      </c>
      <c r="I55" s="8">
        <f ca="1">+I54*(1+Deltas!I55)</f>
        <v>113.85177352686729</v>
      </c>
      <c r="J55" s="8">
        <f ca="1">+J54*(1+Deltas!J55)</f>
        <v>90.301899988343649</v>
      </c>
      <c r="K55" s="8">
        <f ca="1">+K54*(1+Deltas!K55)</f>
        <v>109.53093812375253</v>
      </c>
      <c r="L55" s="8">
        <f ca="1">+L54*(1+Deltas!L55)</f>
        <v>104.79732242469318</v>
      </c>
      <c r="M55" s="8">
        <f ca="1">+M54*(1+Deltas!M55)</f>
        <v>107.47148050645612</v>
      </c>
      <c r="N55" s="8">
        <f ca="1">+N54*(1+Deltas!N55)</f>
        <v>112.76476791908621</v>
      </c>
      <c r="O55" s="8">
        <f ca="1">+O54*(1+Deltas!O55)</f>
        <v>98.923618298488861</v>
      </c>
      <c r="P55" s="8">
        <f ca="1">+P54*(1+Deltas!P55)</f>
        <v>100.7282658170232</v>
      </c>
    </row>
    <row r="56" spans="1:16" x14ac:dyDescent="0.25">
      <c r="A56" vm="837">
        <f ca="1"/>
        <v>45422</v>
      </c>
      <c r="B56" s="8">
        <f ca="1">+B55*(1+Deltas!B56)</f>
        <v>84.348870975817405</v>
      </c>
      <c r="C56" s="8">
        <f ca="1">+C55*(1+Deltas!C56)</f>
        <v>108.03273020629247</v>
      </c>
      <c r="D56" s="8">
        <f ca="1">+D55*(1+Deltas!D56)</f>
        <v>101.78168253656621</v>
      </c>
      <c r="E56" s="8">
        <f ca="1">+E55*(1+Deltas!E56)</f>
        <v>97.906749664347601</v>
      </c>
      <c r="F56" s="8">
        <f ca="1">+F55*(1+Deltas!F56)</f>
        <v>104.73948524795983</v>
      </c>
      <c r="G56" s="8">
        <f ca="1">+G55*(1+Deltas!G56)</f>
        <v>108.35104933224308</v>
      </c>
      <c r="H56" s="8">
        <f ca="1">+H55*(1+Deltas!H56)</f>
        <v>99.881188890187374</v>
      </c>
      <c r="I56" s="8">
        <f ca="1">+I55*(1+Deltas!I56)</f>
        <v>113.39036816302993</v>
      </c>
      <c r="J56" s="8">
        <f ca="1">+J55*(1+Deltas!J56)</f>
        <v>87.85406224501692</v>
      </c>
      <c r="K56" s="8">
        <f ca="1">+K55*(1+Deltas!K56)</f>
        <v>107.28542914171661</v>
      </c>
      <c r="L56" s="8">
        <f ca="1">+L55*(1+Deltas!L56)</f>
        <v>104.16511714391966</v>
      </c>
      <c r="M56" s="8">
        <f ca="1">+M55*(1+Deltas!M56)</f>
        <v>108.25498307634453</v>
      </c>
      <c r="N56" s="8">
        <f ca="1">+N55*(1+Deltas!N56)</f>
        <v>114.20185258128873</v>
      </c>
      <c r="O56" s="8">
        <f ca="1">+O55*(1+Deltas!O56)</f>
        <v>99.482508797350391</v>
      </c>
      <c r="P56" s="8">
        <f ca="1">+P55*(1+Deltas!P56)</f>
        <v>102.82125857293843</v>
      </c>
    </row>
    <row r="57" spans="1:16" x14ac:dyDescent="0.25">
      <c r="A57" vm="849">
        <f ca="1"/>
        <v>45425</v>
      </c>
      <c r="B57" s="8">
        <f ca="1">+B56*(1+Deltas!B57)</f>
        <v>86.061182596505333</v>
      </c>
      <c r="C57" s="8">
        <f ca="1">+C56*(1+Deltas!C57)</f>
        <v>107.50835542238097</v>
      </c>
      <c r="D57" s="8">
        <f ca="1">+D56*(1+Deltas!D57)</f>
        <v>101.5313635025032</v>
      </c>
      <c r="E57" s="8">
        <f ca="1">+E56*(1+Deltas!E57)</f>
        <v>96.384108385206872</v>
      </c>
      <c r="F57" s="8">
        <f ca="1">+F56*(1+Deltas!F57)</f>
        <v>104.12429378531074</v>
      </c>
      <c r="G57" s="8">
        <f ca="1">+G56*(1+Deltas!G57)</f>
        <v>108.32924502589256</v>
      </c>
      <c r="H57" s="8">
        <f ca="1">+H56*(1+Deltas!H57)</f>
        <v>99.672782517237366</v>
      </c>
      <c r="I57" s="8">
        <f ca="1">+I56*(1+Deltas!I57)</f>
        <v>113.34230510429688</v>
      </c>
      <c r="J57" s="8">
        <f ca="1">+J56*(1+Deltas!J57)</f>
        <v>88.763259121109712</v>
      </c>
      <c r="K57" s="8">
        <f ca="1">+K56*(1+Deltas!K57)</f>
        <v>106.18138722554893</v>
      </c>
      <c r="L57" s="8">
        <f ca="1">+L56*(1+Deltas!L57)</f>
        <v>105.76422461881739</v>
      </c>
      <c r="M57" s="8">
        <f ca="1">+M56*(1+Deltas!M57)</f>
        <v>106.48113325811711</v>
      </c>
      <c r="N57" s="8">
        <f ca="1">+N56*(1+Deltas!N57)</f>
        <v>114.86385179349698</v>
      </c>
      <c r="O57" s="8">
        <f ca="1">+O56*(1+Deltas!O57)</f>
        <v>100.76588697992128</v>
      </c>
      <c r="P57" s="8">
        <f ca="1">+P56*(1+Deltas!P57)</f>
        <v>103.18462001342354</v>
      </c>
    </row>
    <row r="58" spans="1:16" x14ac:dyDescent="0.25">
      <c r="A58" vm="865">
        <f ca="1"/>
        <v>45426</v>
      </c>
      <c r="B58" s="8">
        <f ca="1">+B57*(1+Deltas!B58)</f>
        <v>88.895008261152626</v>
      </c>
      <c r="C58" s="8">
        <f ca="1">+C57*(1+Deltas!C58)</f>
        <v>107.79647343551915</v>
      </c>
      <c r="D58" s="8">
        <f ca="1">+D57*(1+Deltas!D58)</f>
        <v>102.22833022479631</v>
      </c>
      <c r="E58" s="8">
        <f ca="1">+E57*(1+Deltas!E58)</f>
        <v>95.828756255339911</v>
      </c>
      <c r="F58" s="8">
        <f ca="1">+F57*(1+Deltas!F58)</f>
        <v>104.05524168236033</v>
      </c>
      <c r="G58" s="8">
        <f ca="1">+G57*(1+Deltas!G58)</f>
        <v>109.84464431725262</v>
      </c>
      <c r="H58" s="8">
        <f ca="1">+H57*(1+Deltas!H58)</f>
        <v>100.08959526313741</v>
      </c>
      <c r="I58" s="8">
        <f ca="1">+I57*(1+Deltas!I58)</f>
        <v>113.11160242237821</v>
      </c>
      <c r="J58" s="8">
        <f ca="1">+J57*(1+Deltas!J58)</f>
        <v>94.684695185919111</v>
      </c>
      <c r="K58" s="8">
        <f ca="1">+K57*(1+Deltas!K58)</f>
        <v>107.16067864271461</v>
      </c>
      <c r="L58" s="8">
        <f ca="1">+L57*(1+Deltas!L58)</f>
        <v>105.54109334325025</v>
      </c>
      <c r="M58" s="8">
        <f ca="1">+M57*(1+Deltas!M58)</f>
        <v>105.97969161338852</v>
      </c>
      <c r="N58" s="8">
        <f ca="1">+N57*(1+Deltas!N58)</f>
        <v>116.07984650766834</v>
      </c>
      <c r="O58" s="8">
        <f ca="1">+O57*(1+Deltas!O58)</f>
        <v>101.32477747878279</v>
      </c>
      <c r="P58" s="8">
        <f ca="1">+P57*(1+Deltas!P58)</f>
        <v>106.46490206213403</v>
      </c>
    </row>
    <row r="59" spans="1:16" x14ac:dyDescent="0.25">
      <c r="A59" vm="879">
        <f ca="1"/>
        <v>45427</v>
      </c>
      <c r="B59" s="8">
        <f ca="1">+B58*(1+Deltas!B59)</f>
        <v>87.112602012717232</v>
      </c>
      <c r="C59" s="8">
        <f ca="1">+C58*(1+Deltas!C59)</f>
        <v>107.17413852714068</v>
      </c>
      <c r="D59" s="8">
        <f ca="1">+D58*(1+Deltas!D59)</f>
        <v>103.82840875625796</v>
      </c>
      <c r="E59" s="8">
        <f ca="1">+E58*(1+Deltas!E59)</f>
        <v>96.536677651653832</v>
      </c>
      <c r="F59" s="8">
        <f ca="1">+F58*(1+Deltas!F59)</f>
        <v>104.52605147520403</v>
      </c>
      <c r="G59" s="8">
        <f ca="1">+G58*(1+Deltas!G59)</f>
        <v>110.17170891251018</v>
      </c>
      <c r="H59" s="8">
        <f ca="1">+H58*(1+Deltas!H59)</f>
        <v>100.80440964512485</v>
      </c>
      <c r="I59" s="8">
        <f ca="1">+I58*(1+Deltas!I59)</f>
        <v>113.98635009131985</v>
      </c>
      <c r="J59" s="8">
        <f ca="1">+J58*(1+Deltas!J59)</f>
        <v>97.30737848234061</v>
      </c>
      <c r="K59" s="8">
        <f ca="1">+K58*(1+Deltas!K59)</f>
        <v>108.45808383233536</v>
      </c>
      <c r="L59" s="8">
        <f ca="1">+L58*(1+Deltas!L59)</f>
        <v>107.17738936407584</v>
      </c>
      <c r="M59" s="8">
        <f ca="1">+M58*(1+Deltas!M59)</f>
        <v>104.21837783627934</v>
      </c>
      <c r="N59" s="8">
        <f ca="1">+N58*(1+Deltas!N59)</f>
        <v>120.23989529993274</v>
      </c>
      <c r="O59" s="8">
        <f ca="1">+O58*(1+Deltas!O59)</f>
        <v>102.81515214241351</v>
      </c>
      <c r="P59" s="8">
        <f ca="1">+P58*(1+Deltas!P59)</f>
        <v>110.79592356294793</v>
      </c>
    </row>
    <row r="60" spans="1:16" x14ac:dyDescent="0.25">
      <c r="A60" vm="895">
        <f ca="1"/>
        <v>45428</v>
      </c>
      <c r="B60" s="8">
        <f ca="1">+B59*(1+Deltas!B60)</f>
        <v>87.538176538326809</v>
      </c>
      <c r="C60" s="8">
        <f ca="1">+C59*(1+Deltas!C60)</f>
        <v>105.81422150512846</v>
      </c>
      <c r="D60" s="8">
        <f ca="1">+D59*(1+Deltas!D60)</f>
        <v>103.31550014724648</v>
      </c>
      <c r="E60" s="8">
        <f ca="1">+E59*(1+Deltas!E60)</f>
        <v>95.819602099353077</v>
      </c>
      <c r="F60" s="8">
        <f ca="1">+F59*(1+Deltas!F60)</f>
        <v>105.37350910232269</v>
      </c>
      <c r="G60" s="8">
        <f ca="1">+G59*(1+Deltas!G60)</f>
        <v>110.36794766966473</v>
      </c>
      <c r="H60" s="8">
        <f ca="1">+H59*(1+Deltas!H60)</f>
        <v>101.52896264267072</v>
      </c>
      <c r="I60" s="8">
        <f ca="1">+I59*(1+Deltas!I60)</f>
        <v>113.30385465731044</v>
      </c>
      <c r="J60" s="8">
        <f ca="1">+J59*(1+Deltas!J60)</f>
        <v>97.202471150483746</v>
      </c>
      <c r="K60" s="8">
        <f ca="1">+K59*(1+Deltas!K60)</f>
        <v>107.2105788423154</v>
      </c>
      <c r="L60" s="8">
        <f ca="1">+L59*(1+Deltas!L60)</f>
        <v>107.54927482335438</v>
      </c>
      <c r="M60" s="8">
        <f ca="1">+M59*(1+Deltas!M60)</f>
        <v>105.97969161338852</v>
      </c>
      <c r="N60" s="8">
        <f ca="1">+N59*(1+Deltas!N60)</f>
        <v>119.89555405903364</v>
      </c>
      <c r="O60" s="8">
        <f ca="1">+O59*(1+Deltas!O60)</f>
        <v>100.06209894431788</v>
      </c>
      <c r="P60" s="8">
        <f ca="1">+P59*(1+Deltas!P60)</f>
        <v>108.94131442722357</v>
      </c>
    </row>
    <row r="61" spans="1:16" x14ac:dyDescent="0.25">
      <c r="A61" vm="910">
        <f ca="1"/>
        <v>45429</v>
      </c>
      <c r="B61" s="8">
        <f ca="1">+B60*(1+Deltas!B61)</f>
        <v>88.849947429029271</v>
      </c>
      <c r="C61" s="8">
        <f ca="1">+C60*(1+Deltas!C61)</f>
        <v>106.43079405324417</v>
      </c>
      <c r="D61" s="8">
        <f ca="1">+D60*(1+Deltas!D61)</f>
        <v>103.12407970943357</v>
      </c>
      <c r="E61" s="8">
        <f ca="1">+E60*(1+Deltas!E61)</f>
        <v>95.3252776760649</v>
      </c>
      <c r="F61" s="8">
        <f ca="1">+F60*(1+Deltas!F61)</f>
        <v>105.23540489642185</v>
      </c>
      <c r="G61" s="8">
        <f ca="1">+G60*(1+Deltas!G61)</f>
        <v>111.63259743799397</v>
      </c>
      <c r="H61" s="8">
        <f ca="1">+H60*(1+Deltas!H61)</f>
        <v>102.18339760819602</v>
      </c>
      <c r="I61" s="8">
        <f ca="1">+I60*(1+Deltas!I61)</f>
        <v>115.00528693646068</v>
      </c>
      <c r="J61" s="8">
        <f ca="1">+J60*(1+Deltas!J61)</f>
        <v>97.622100477911175</v>
      </c>
      <c r="K61" s="8">
        <f ca="1">+K60*(1+Deltas!K61)</f>
        <v>107.83433133732538</v>
      </c>
      <c r="L61" s="8">
        <f ca="1">+L60*(1+Deltas!L61)</f>
        <v>106.50799553737446</v>
      </c>
      <c r="M61" s="8">
        <f ca="1">+M60*(1+Deltas!M61)</f>
        <v>106.24921649743013</v>
      </c>
      <c r="N61" s="8">
        <f ca="1">+N60*(1+Deltas!N61)</f>
        <v>117.50676611478897</v>
      </c>
      <c r="O61" s="8">
        <f ca="1">+O60*(1+Deltas!O61)</f>
        <v>99.710204926516184</v>
      </c>
      <c r="P61" s="8">
        <f ca="1">+P60*(1+Deltas!P61)</f>
        <v>107.64216227058471</v>
      </c>
    </row>
    <row r="62" spans="1:16" x14ac:dyDescent="0.25">
      <c r="A62" vm="925">
        <f ca="1"/>
        <v>45432</v>
      </c>
      <c r="B62" s="8">
        <f ca="1">+B61*(1+Deltas!B62)</f>
        <v>87.593250888699814</v>
      </c>
      <c r="C62" s="8">
        <f ca="1">+C61*(1+Deltas!C62)</f>
        <v>105.76236026276359</v>
      </c>
      <c r="D62" s="8">
        <f ca="1">+D61*(1+Deltas!D62)</f>
        <v>104.38303720427996</v>
      </c>
      <c r="E62" s="8">
        <f ca="1">+E61*(1+Deltas!E62)</f>
        <v>94.415964848040986</v>
      </c>
      <c r="F62" s="8">
        <f ca="1">+F61*(1+Deltas!F62)</f>
        <v>105.02824858757064</v>
      </c>
      <c r="G62" s="8">
        <f ca="1">+G61*(1+Deltas!G62)</f>
        <v>106.61215590079038</v>
      </c>
      <c r="H62" s="8">
        <f ca="1">+H61*(1+Deltas!H62)</f>
        <v>100.74208250555101</v>
      </c>
      <c r="I62" s="8">
        <f ca="1">+I61*(1+Deltas!I62)</f>
        <v>114.07286359703936</v>
      </c>
      <c r="J62" s="8">
        <f ca="1">+J61*(1+Deltas!J62)</f>
        <v>97.435598554610095</v>
      </c>
      <c r="K62" s="8">
        <f ca="1">+K61*(1+Deltas!K62)</f>
        <v>108.95708582834335</v>
      </c>
      <c r="L62" s="8">
        <f ca="1">+L61*(1+Deltas!L62)</f>
        <v>106.09892153216805</v>
      </c>
      <c r="M62" s="8">
        <f ca="1">+M61*(1+Deltas!M62)</f>
        <v>105.21499310517741</v>
      </c>
      <c r="N62" s="8">
        <f ca="1">+N61*(1+Deltas!N62)</f>
        <v>120.43049008271822</v>
      </c>
      <c r="O62" s="8">
        <f ca="1">+O61*(1+Deltas!O62)</f>
        <v>97.557441523494049</v>
      </c>
      <c r="P62" s="8">
        <f ca="1">+P61*(1+Deltas!P62)</f>
        <v>109.08789335226001</v>
      </c>
    </row>
    <row r="63" spans="1:16" x14ac:dyDescent="0.25">
      <c r="A63" vm="940">
        <f ca="1"/>
        <v>45433</v>
      </c>
      <c r="B63" s="8">
        <f ca="1">+B62*(1+Deltas!B63)</f>
        <v>93.426125269113385</v>
      </c>
      <c r="C63" s="8">
        <f ca="1">+C62*(1+Deltas!C63)</f>
        <v>105.53762821251583</v>
      </c>
      <c r="D63" s="8">
        <f ca="1">+D62*(1+Deltas!D63)</f>
        <v>105.29105722980269</v>
      </c>
      <c r="E63" s="8">
        <f ca="1">+E62*(1+Deltas!E63)</f>
        <v>94.580739655803711</v>
      </c>
      <c r="F63" s="8">
        <f ca="1">+F62*(1+Deltas!F63)</f>
        <v>105.68110483364723</v>
      </c>
      <c r="G63" s="8">
        <f ca="1">+G62*(1+Deltas!G63)</f>
        <v>108.75988007631504</v>
      </c>
      <c r="H63" s="8">
        <f ca="1">+H62*(1+Deltas!H63)</f>
        <v>101.9730435121343</v>
      </c>
      <c r="I63" s="8">
        <f ca="1">+I62*(1+Deltas!I63)</f>
        <v>113.2846294338172</v>
      </c>
      <c r="J63" s="8">
        <f ca="1">+J62*(1+Deltas!J63)</f>
        <v>95.582235691805565</v>
      </c>
      <c r="K63" s="8">
        <f ca="1">+K62*(1+Deltas!K63)</f>
        <v>109.50598802395213</v>
      </c>
      <c r="L63" s="8">
        <f ca="1">+L62*(1+Deltas!L63)</f>
        <v>106.21048716995161</v>
      </c>
      <c r="M63" s="8">
        <f ca="1">+M62*(1+Deltas!M63)</f>
        <v>105.42183778362794</v>
      </c>
      <c r="N63" s="8">
        <f ca="1">+N62*(1+Deltas!N63)</f>
        <v>121.20049300517155</v>
      </c>
      <c r="O63" s="8">
        <f ca="1">+O62*(1+Deltas!O63)</f>
        <v>97.164148209480373</v>
      </c>
      <c r="P63" s="8">
        <f ca="1">+P62*(1+Deltas!P63)</f>
        <v>107.94380626894917</v>
      </c>
    </row>
    <row r="64" spans="1:16" x14ac:dyDescent="0.25">
      <c r="A64" vm="954">
        <f ca="1"/>
        <v>45434</v>
      </c>
      <c r="B64" s="8">
        <f ca="1">+B63*(1+Deltas!B64)</f>
        <v>90.17673859710618</v>
      </c>
      <c r="C64" s="8">
        <f ca="1">+C63*(1+Deltas!C64)</f>
        <v>105.5261034919903</v>
      </c>
      <c r="D64" s="8">
        <f ca="1">+D63*(1+Deltas!D64)</f>
        <v>105.65426524001178</v>
      </c>
      <c r="E64" s="8">
        <f ca="1">+E63*(1+Deltas!E64)</f>
        <v>93.744660075674346</v>
      </c>
      <c r="F64" s="8">
        <f ca="1">+F63*(1+Deltas!F64)</f>
        <v>105.34212178279978</v>
      </c>
      <c r="G64" s="8">
        <f ca="1">+G63*(1+Deltas!G64)</f>
        <v>108.10029980921229</v>
      </c>
      <c r="H64" s="8">
        <f ca="1">+H63*(1+Deltas!H64)</f>
        <v>101.54454442756418</v>
      </c>
      <c r="I64" s="8">
        <f ca="1">+I63*(1+Deltas!I64)</f>
        <v>111.00644044987027</v>
      </c>
      <c r="J64" s="8">
        <f ca="1">+J63*(1+Deltas!J64)</f>
        <v>94.719664296538056</v>
      </c>
      <c r="K64" s="8">
        <f ca="1">+K63*(1+Deltas!K64)</f>
        <v>107.88423153692619</v>
      </c>
      <c r="L64" s="8">
        <f ca="1">+L63*(1+Deltas!L64)</f>
        <v>110.07809594644846</v>
      </c>
      <c r="M64" s="8">
        <f ca="1">+M63*(1+Deltas!M64)</f>
        <v>104.15569763068824</v>
      </c>
      <c r="N64" s="8">
        <f ca="1">+N63*(1+Deltas!N64)</f>
        <v>120.64649750320844</v>
      </c>
      <c r="O64" s="8">
        <f ca="1">+O63*(1+Deltas!O64)</f>
        <v>98.178430966673488</v>
      </c>
      <c r="P64" s="8">
        <f ca="1">+P63*(1+Deltas!P64)</f>
        <v>107.40686452249986</v>
      </c>
    </row>
    <row r="65" spans="1:16" x14ac:dyDescent="0.25">
      <c r="A65" vm="970">
        <f ca="1"/>
        <v>45435</v>
      </c>
      <c r="B65" s="8">
        <f ca="1">+B64*(1+Deltas!B65)</f>
        <v>86.987433034596791</v>
      </c>
      <c r="C65" s="8">
        <f ca="1">+C64*(1+Deltas!C65)</f>
        <v>104.32753255733547</v>
      </c>
      <c r="D65" s="8">
        <f ca="1">+D64*(1+Deltas!D65)</f>
        <v>104.79041916167665</v>
      </c>
      <c r="E65" s="8">
        <f ca="1">+E64*(1+Deltas!E65)</f>
        <v>92.484437934822381</v>
      </c>
      <c r="F65" s="8">
        <f ca="1">+F64*(1+Deltas!F65)</f>
        <v>103.88575015693664</v>
      </c>
      <c r="G65" s="8">
        <f ca="1">+G64*(1+Deltas!G65)</f>
        <v>107.34260016353225</v>
      </c>
      <c r="H65" s="8">
        <f ca="1">+H64*(1+Deltas!H65)</f>
        <v>100.66417358108372</v>
      </c>
      <c r="I65" s="8">
        <f ca="1">+I64*(1+Deltas!I65)</f>
        <v>109.11275593578779</v>
      </c>
      <c r="J65" s="8">
        <f ca="1">+J64*(1+Deltas!J65)</f>
        <v>94.183471267047452</v>
      </c>
      <c r="K65" s="8">
        <f ca="1">+K64*(1+Deltas!K65)</f>
        <v>107.90918163672659</v>
      </c>
      <c r="L65" s="8">
        <f ca="1">+L64*(1+Deltas!L65)</f>
        <v>106.69393826701372</v>
      </c>
      <c r="M65" s="8">
        <f ca="1">+M64*(1+Deltas!M65)</f>
        <v>102.79553716936192</v>
      </c>
      <c r="N65" s="8">
        <f ca="1">+N64*(1+Deltas!N65)</f>
        <v>131.89031905566651</v>
      </c>
      <c r="O65" s="8">
        <f ca="1">+O64*(1+Deltas!O65)</f>
        <v>96.460360173876978</v>
      </c>
      <c r="P65" s="8">
        <f ca="1">+P64*(1+Deltas!P65)</f>
        <v>107.48786866528319</v>
      </c>
    </row>
    <row r="66" spans="1:16" x14ac:dyDescent="0.25">
      <c r="A66" vm="986">
        <f ca="1"/>
        <v>45436</v>
      </c>
      <c r="B66" s="8">
        <f ca="1">+B65*(1+Deltas!B66)</f>
        <v>89.741150553246968</v>
      </c>
      <c r="C66" s="8">
        <f ca="1">+C65*(1+Deltas!C66)</f>
        <v>104.15466174945256</v>
      </c>
      <c r="D66" s="8">
        <f ca="1">+D65*(1+Deltas!D66)</f>
        <v>105.56591734563661</v>
      </c>
      <c r="E66" s="8">
        <f ca="1">+E65*(1+Deltas!E66)</f>
        <v>93.018430367386756</v>
      </c>
      <c r="F66" s="8">
        <f ca="1">+F65*(1+Deltas!F66)</f>
        <v>103.78531073446332</v>
      </c>
      <c r="G66" s="8">
        <f ca="1">+G65*(1+Deltas!G66)</f>
        <v>109.40855819024253</v>
      </c>
      <c r="H66" s="8">
        <f ca="1">+H65*(1+Deltas!H66)</f>
        <v>98.977445366366709</v>
      </c>
      <c r="I66" s="8">
        <f ca="1">+I65*(1+Deltas!I66)</f>
        <v>109.02624243006828</v>
      </c>
      <c r="J66" s="8">
        <f ca="1">+J65*(1+Deltas!J66)</f>
        <v>93.588996386525238</v>
      </c>
      <c r="K66" s="8">
        <f ca="1">+K65*(1+Deltas!K66)</f>
        <v>107.5349301397206</v>
      </c>
      <c r="L66" s="8">
        <f ca="1">+L65*(1+Deltas!L66)</f>
        <v>107.40052063964293</v>
      </c>
      <c r="M66" s="8">
        <f ca="1">+M65*(1+Deltas!M66)</f>
        <v>103.32205089632694</v>
      </c>
      <c r="N66" s="8">
        <f ca="1">+N65*(1+Deltas!N66)</f>
        <v>135.28290618924802</v>
      </c>
      <c r="O66" s="8">
        <f ca="1">+O65*(1+Deltas!O66)</f>
        <v>96.087766507969306</v>
      </c>
      <c r="P66" s="8">
        <f ca="1">+P65*(1+Deltas!P66)</f>
        <v>108.61035464385178</v>
      </c>
    </row>
    <row r="67" spans="1:16" x14ac:dyDescent="0.25">
      <c r="A67" vm="1002">
        <f ca="1"/>
        <v>45440</v>
      </c>
      <c r="B67" s="8">
        <f ca="1">+B66*(1+Deltas!B67)</f>
        <v>88.49446753116716</v>
      </c>
      <c r="C67" s="8">
        <f ca="1">+C66*(1+Deltas!C67)</f>
        <v>104.96139218623946</v>
      </c>
      <c r="D67" s="8">
        <f ca="1">+D66*(1+Deltas!D67)</f>
        <v>105.60518307647003</v>
      </c>
      <c r="E67" s="8">
        <f ca="1">+E66*(1+Deltas!E67)</f>
        <v>92.069449530086629</v>
      </c>
      <c r="F67" s="8">
        <f ca="1">+F66*(1+Deltas!F67)</f>
        <v>102.39171374764599</v>
      </c>
      <c r="G67" s="8">
        <f ca="1">+G66*(1+Deltas!G67)</f>
        <v>108.74897792313976</v>
      </c>
      <c r="H67" s="8">
        <f ca="1">+H66*(1+Deltas!H67)</f>
        <v>98.102917689221286</v>
      </c>
      <c r="I67" s="8">
        <f ca="1">+I66*(1+Deltas!I67)</f>
        <v>110.41045852158034</v>
      </c>
      <c r="J67" s="8">
        <f ca="1">+J66*(1+Deltas!J67)</f>
        <v>93.09942883785989</v>
      </c>
      <c r="K67" s="8">
        <f ca="1">+K66*(1+Deltas!K67)</f>
        <v>106.93612774451101</v>
      </c>
      <c r="L67" s="8">
        <f ca="1">+L66*(1+Deltas!L67)</f>
        <v>105.24358497582739</v>
      </c>
      <c r="M67" s="8">
        <f ca="1">+M66*(1+Deltas!M67)</f>
        <v>103.21549454682211</v>
      </c>
      <c r="N67" s="8">
        <f ca="1">+N66*(1+Deltas!N67)</f>
        <v>144.72624236032593</v>
      </c>
      <c r="O67" s="8">
        <f ca="1">+O66*(1+Deltas!O67)</f>
        <v>95.797971434485561</v>
      </c>
      <c r="P67" s="8">
        <f ca="1">+P66*(1+Deltas!P67)</f>
        <v>108.9660014040718</v>
      </c>
    </row>
    <row r="68" spans="1:16" x14ac:dyDescent="0.25">
      <c r="A68" vm="1018">
        <f ca="1"/>
        <v>45441</v>
      </c>
      <c r="B68" s="8">
        <f ca="1">+B67*(1+Deltas!B68)</f>
        <v>88.214089020177326</v>
      </c>
      <c r="C68" s="8">
        <f ca="1">+C67*(1+Deltas!C68)</f>
        <v>104.88648150282354</v>
      </c>
      <c r="D68" s="8">
        <f ca="1">+D67*(1+Deltas!D68)</f>
        <v>105.32296063610487</v>
      </c>
      <c r="E68" s="8">
        <f ca="1">+E67*(1+Deltas!E68)</f>
        <v>90.757353838642715</v>
      </c>
      <c r="F68" s="8">
        <f ca="1">+F67*(1+Deltas!F68)</f>
        <v>101.47520401757693</v>
      </c>
      <c r="G68" s="8">
        <f ca="1">+G67*(1+Deltas!G68)</f>
        <v>107.99127827745974</v>
      </c>
      <c r="H68" s="8">
        <f ca="1">+H67*(1+Deltas!H68)</f>
        <v>94.410034669471372</v>
      </c>
      <c r="I68" s="8">
        <f ca="1">+I67*(1+Deltas!I68)</f>
        <v>109.22810727674711</v>
      </c>
      <c r="J68" s="8">
        <f ca="1">+J67*(1+Deltas!J68)</f>
        <v>91.444224268562763</v>
      </c>
      <c r="K68" s="8">
        <f ca="1">+K67*(1+Deltas!K68)</f>
        <v>105.68862275449105</v>
      </c>
      <c r="L68" s="8">
        <f ca="1">+L67*(1+Deltas!L68)</f>
        <v>103.45853477129039</v>
      </c>
      <c r="M68" s="8">
        <f ca="1">+M67*(1+Deltas!M68)</f>
        <v>102.48213614140656</v>
      </c>
      <c r="N68" s="8">
        <f ca="1">+N67*(1+Deltas!N68)</f>
        <v>145.90030622228448</v>
      </c>
      <c r="O68" s="8">
        <f ca="1">+O67*(1+Deltas!O68)</f>
        <v>95.383978472365911</v>
      </c>
      <c r="P68" s="8">
        <f ca="1">+P67*(1+Deltas!P68)</f>
        <v>107.28574404233817</v>
      </c>
    </row>
    <row r="69" spans="1:16" x14ac:dyDescent="0.25">
      <c r="A69" vm="1034">
        <f ca="1"/>
        <v>45442</v>
      </c>
      <c r="B69" s="8">
        <f ca="1">+B68*(1+Deltas!B69)</f>
        <v>89.515846392630138</v>
      </c>
      <c r="C69" s="8">
        <f ca="1">+C68*(1+Deltas!C69)</f>
        <v>103.33064423187736</v>
      </c>
      <c r="D69" s="8">
        <f ca="1">+D68*(1+Deltas!D69)</f>
        <v>101.76450377932662</v>
      </c>
      <c r="E69" s="8">
        <f ca="1">+E68*(1+Deltas!E69)</f>
        <v>92.167093860612695</v>
      </c>
      <c r="F69" s="8">
        <f ca="1">+F68*(1+Deltas!F69)</f>
        <v>102.0590081607031</v>
      </c>
      <c r="G69" s="8">
        <f ca="1">+G68*(1+Deltas!G69)</f>
        <v>108.65630962115011</v>
      </c>
      <c r="H69" s="8">
        <f ca="1">+H68*(1+Deltas!H69)</f>
        <v>93.812083674184848</v>
      </c>
      <c r="I69" s="8">
        <f ca="1">+I68*(1+Deltas!I69)</f>
        <v>109.57416129962512</v>
      </c>
      <c r="J69" s="8">
        <f ca="1">+J68*(1+Deltas!J69)</f>
        <v>94.171814896841127</v>
      </c>
      <c r="K69" s="8">
        <f ca="1">+K68*(1+Deltas!K69)</f>
        <v>107.060878243513</v>
      </c>
      <c r="L69" s="8">
        <f ca="1">+L68*(1+Deltas!L69)</f>
        <v>104.87169951654884</v>
      </c>
      <c r="M69" s="8">
        <f ca="1">+M68*(1+Deltas!M69)</f>
        <v>103.40980318415446</v>
      </c>
      <c r="N69" s="8">
        <f ca="1">+N68*(1+Deltas!N69)</f>
        <v>140.40482331863649</v>
      </c>
      <c r="O69" s="8">
        <f ca="1">+O68*(1+Deltas!O69)</f>
        <v>95.466777064789838</v>
      </c>
      <c r="P69" s="8">
        <f ca="1">+P68*(1+Deltas!P69)</f>
        <v>105.23441055985434</v>
      </c>
    </row>
    <row r="70" spans="1:16" x14ac:dyDescent="0.25">
      <c r="A70" vm="1050">
        <f ca="1"/>
        <v>45443</v>
      </c>
      <c r="B70" s="8">
        <f ca="1">+B69*(1+Deltas!B70)</f>
        <v>89.160366494768027</v>
      </c>
      <c r="C70" s="8">
        <f ca="1">+C69*(1+Deltas!C70)</f>
        <v>101.67108447620143</v>
      </c>
      <c r="D70" s="8">
        <f ca="1">+D69*(1+Deltas!D70)</f>
        <v>101.87739275547268</v>
      </c>
      <c r="E70" s="8">
        <f ca="1">+E69*(1+Deltas!E70)</f>
        <v>92.701086293177084</v>
      </c>
      <c r="F70" s="8">
        <f ca="1">+F69*(1+Deltas!F70)</f>
        <v>103.28939108600127</v>
      </c>
      <c r="G70" s="8">
        <f ca="1">+G69*(1+Deltas!G70)</f>
        <v>110.4551648950667</v>
      </c>
      <c r="H70" s="8">
        <f ca="1">+H69*(1+Deltas!H70)</f>
        <v>96.484359783413169</v>
      </c>
      <c r="I70" s="8">
        <f ca="1">+I69*(1+Deltas!I70)</f>
        <v>112.71748534076711</v>
      </c>
      <c r="J70" s="8">
        <f ca="1">+J69*(1+Deltas!J70)</f>
        <v>95.978552278820374</v>
      </c>
      <c r="K70" s="8">
        <f ca="1">+K69*(1+Deltas!K70)</f>
        <v>106.01297405189625</v>
      </c>
      <c r="L70" s="8">
        <f ca="1">+L69*(1+Deltas!L70)</f>
        <v>106.58237262923015</v>
      </c>
      <c r="M70" s="8">
        <f ca="1">+M69*(1+Deltas!M70)</f>
        <v>105.00188040616776</v>
      </c>
      <c r="N70" s="8">
        <f ca="1">+N69*(1+Deltas!N70)</f>
        <v>139.30318547413643</v>
      </c>
      <c r="O70" s="8">
        <f ca="1">+O69*(1+Deltas!O70)</f>
        <v>96.25336369281716</v>
      </c>
      <c r="P70" s="8">
        <f ca="1">+P69*(1+Deltas!P70)</f>
        <v>102.49338466167269</v>
      </c>
    </row>
    <row r="71" spans="1:16" x14ac:dyDescent="0.25">
      <c r="A71" vm="1066">
        <f ca="1"/>
        <v>45446</v>
      </c>
      <c r="B71" s="8">
        <f ca="1">+B70*(1+Deltas!B71)</f>
        <v>88.264156611425506</v>
      </c>
      <c r="C71" s="8">
        <f ca="1">+C70*(1+Deltas!C71)</f>
        <v>102.76593292612651</v>
      </c>
      <c r="D71" s="8">
        <f ca="1">+D70*(1+Deltas!D71)</f>
        <v>101.48228133896144</v>
      </c>
      <c r="E71" s="8">
        <f ca="1">+E70*(1+Deltas!E71)</f>
        <v>92.16099108995482</v>
      </c>
      <c r="F71" s="8">
        <f ca="1">+F70*(1+Deltas!F71)</f>
        <v>103.35844318895168</v>
      </c>
      <c r="G71" s="8">
        <f ca="1">+G70*(1+Deltas!G71)</f>
        <v>110.013627691469</v>
      </c>
      <c r="H71" s="8">
        <f ca="1">+H70*(1+Deltas!H71)</f>
        <v>96.887538467531428</v>
      </c>
      <c r="I71" s="8">
        <f ca="1">+I70*(1+Deltas!I71)</f>
        <v>110.01634143996927</v>
      </c>
      <c r="J71" s="8">
        <f ca="1">+J70*(1+Deltas!J71)</f>
        <v>97.447254924816406</v>
      </c>
      <c r="K71" s="8">
        <f ca="1">+K70*(1+Deltas!K71)</f>
        <v>105.78842315369265</v>
      </c>
      <c r="L71" s="8">
        <f ca="1">+L70*(1+Deltas!L71)</f>
        <v>108.99962811454066</v>
      </c>
      <c r="M71" s="8">
        <f ca="1">+M70*(1+Deltas!M71)</f>
        <v>102.87075341607122</v>
      </c>
      <c r="N71" s="8">
        <f ca="1">+N70*(1+Deltas!N71)</f>
        <v>146.12266680220088</v>
      </c>
      <c r="O71" s="8">
        <f ca="1">+O70*(1+Deltas!O71)</f>
        <v>96.563858414406894</v>
      </c>
      <c r="P71" s="8">
        <f ca="1">+P70*(1+Deltas!P71)</f>
        <v>101.98035842404512</v>
      </c>
    </row>
    <row r="72" spans="1:16" x14ac:dyDescent="0.25">
      <c r="A72" vm="1082">
        <f ca="1"/>
        <v>45447</v>
      </c>
      <c r="B72" s="8">
        <f ca="1">+B71*(1+Deltas!B72)</f>
        <v>87.503129224453104</v>
      </c>
      <c r="C72" s="8">
        <f ca="1">+C71*(1+Deltas!C72)</f>
        <v>103.34216895240287</v>
      </c>
      <c r="D72" s="8">
        <f ca="1">+D71*(1+Deltas!D72)</f>
        <v>102.108078924119</v>
      </c>
      <c r="E72" s="8">
        <f ca="1">+E71*(1+Deltas!E72)</f>
        <v>93.323568900280705</v>
      </c>
      <c r="F72" s="8">
        <f ca="1">+F71*(1+Deltas!F72)</f>
        <v>104.83992467043316</v>
      </c>
      <c r="G72" s="8">
        <f ca="1">+G71*(1+Deltas!G72)</f>
        <v>108.56364131916047</v>
      </c>
      <c r="H72" s="8">
        <f ca="1">+H71*(1+Deltas!H72)</f>
        <v>98.455455572435795</v>
      </c>
      <c r="I72" s="8">
        <f ca="1">+I71*(1+Deltas!I72)</f>
        <v>108.30529654907241</v>
      </c>
      <c r="J72" s="8">
        <f ca="1">+J71*(1+Deltas!J72)</f>
        <v>100.27975288495163</v>
      </c>
      <c r="K72" s="8">
        <f ca="1">+K71*(1+Deltas!K72)</f>
        <v>104.0169660678643</v>
      </c>
      <c r="L72" s="8">
        <f ca="1">+L71*(1+Deltas!L72)</f>
        <v>109.66902194124204</v>
      </c>
      <c r="M72" s="8">
        <f ca="1">+M71*(1+Deltas!M72)</f>
        <v>102.43199197693369</v>
      </c>
      <c r="N72" s="8">
        <f ca="1">+N71*(1+Deltas!N72)</f>
        <v>147.94856482128577</v>
      </c>
      <c r="O72" s="8">
        <f ca="1">+O71*(1+Deltas!O72)</f>
        <v>98.157731318567542</v>
      </c>
      <c r="P72" s="8">
        <f ca="1">+P71*(1+Deltas!P72)</f>
        <v>102.66850790368994</v>
      </c>
    </row>
    <row r="73" spans="1:16" x14ac:dyDescent="0.25">
      <c r="A73" vm="1098">
        <f ca="1"/>
        <v>45448</v>
      </c>
      <c r="B73" s="8">
        <f ca="1">+B72*(1+Deltas!B73)</f>
        <v>87.618284684323939</v>
      </c>
      <c r="C73" s="8">
        <f ca="1">+C72*(1+Deltas!C73)</f>
        <v>104.46006684337901</v>
      </c>
      <c r="D73" s="8">
        <f ca="1">+D72*(1+Deltas!D73)</f>
        <v>104.05664081672722</v>
      </c>
      <c r="E73" s="8">
        <f ca="1">+E72*(1+Deltas!E73)</f>
        <v>94.052849993897226</v>
      </c>
      <c r="F73" s="8">
        <f ca="1">+F72*(1+Deltas!F73)</f>
        <v>104.23728813559326</v>
      </c>
      <c r="G73" s="8">
        <f ca="1">+G72*(1+Deltas!G73)</f>
        <v>107.52793676751151</v>
      </c>
      <c r="H73" s="8">
        <f ca="1">+H72*(1+Deltas!H73)</f>
        <v>97.993845194967051</v>
      </c>
      <c r="I73" s="8">
        <f ca="1">+I72*(1+Deltas!I73)</f>
        <v>108.73786407766993</v>
      </c>
      <c r="J73" s="8">
        <f ca="1">+J72*(1+Deltas!J73)</f>
        <v>100.99079146753701</v>
      </c>
      <c r="K73" s="8">
        <f ca="1">+K72*(1+Deltas!K73)</f>
        <v>104.04191616766472</v>
      </c>
      <c r="L73" s="8">
        <f ca="1">+L72*(1+Deltas!L73)</f>
        <v>109.89215321680918</v>
      </c>
      <c r="M73" s="8">
        <f ca="1">+M72*(1+Deltas!M73)</f>
        <v>102.35677573022441</v>
      </c>
      <c r="N73" s="8">
        <f ca="1">+N72*(1+Deltas!N73)</f>
        <v>155.57616802836066</v>
      </c>
      <c r="O73" s="8">
        <f ca="1">+O72*(1+Deltas!O73)</f>
        <v>95.259780583730034</v>
      </c>
      <c r="P73" s="8">
        <f ca="1">+P72*(1+Deltas!P73)</f>
        <v>109.01537535776832</v>
      </c>
    </row>
    <row r="74" spans="1:16" x14ac:dyDescent="0.25">
      <c r="A74" vm="1112">
        <f ca="1"/>
        <v>45449</v>
      </c>
      <c r="B74" s="8">
        <f ca="1">+B73*(1+Deltas!B74)</f>
        <v>89.090271867020576</v>
      </c>
      <c r="C74" s="8">
        <f ca="1">+C73*(1+Deltas!C74)</f>
        <v>106.60366486112709</v>
      </c>
      <c r="D74" s="8">
        <f ca="1">+D73*(1+Deltas!D74)</f>
        <v>104.18180033375873</v>
      </c>
      <c r="E74" s="8">
        <f ca="1">+E73*(1+Deltas!E74)</f>
        <v>92.780422311729524</v>
      </c>
      <c r="F74" s="8">
        <f ca="1">+F73*(1+Deltas!F74)</f>
        <v>105.75643440050223</v>
      </c>
      <c r="G74" s="8">
        <f ca="1">+G73*(1+Deltas!G74)</f>
        <v>107.33714908694459</v>
      </c>
      <c r="H74" s="8">
        <f ca="1">+H73*(1+Deltas!H74)</f>
        <v>97.760118421565167</v>
      </c>
      <c r="I74" s="8">
        <f ca="1">+I73*(1+Deltas!I74)</f>
        <v>109.55493607613191</v>
      </c>
      <c r="J74" s="8">
        <f ca="1">+J73*(1+Deltas!J74)</f>
        <v>101.67851730970976</v>
      </c>
      <c r="K74" s="8">
        <f ca="1">+K73*(1+Deltas!K74)</f>
        <v>104.14171656686634</v>
      </c>
      <c r="L74" s="8">
        <f ca="1">+L73*(1+Deltas!L74)</f>
        <v>107.10301227222011</v>
      </c>
      <c r="M74" s="8">
        <f ca="1">+M73*(1+Deltas!M74)</f>
        <v>102.24395136016048</v>
      </c>
      <c r="N74" s="8">
        <f ca="1">+N73*(1+Deltas!N74)</f>
        <v>153.7439168498496</v>
      </c>
      <c r="O74" s="8">
        <f ca="1">+O73*(1+Deltas!O74)</f>
        <v>95.694473193955659</v>
      </c>
      <c r="P74" s="8">
        <f ca="1">+P73*(1+Deltas!P74)</f>
        <v>108.1035001504363</v>
      </c>
    </row>
    <row r="75" spans="1:16" x14ac:dyDescent="0.25">
      <c r="A75" vm="1127">
        <f ca="1"/>
        <v>45450</v>
      </c>
      <c r="B75" s="8">
        <f ca="1">+B74*(1+Deltas!B75)</f>
        <v>88.859960947278921</v>
      </c>
      <c r="C75" s="8">
        <f ca="1">+C74*(1+Deltas!C75)</f>
        <v>106.20029964273364</v>
      </c>
      <c r="D75" s="8">
        <f ca="1">+D74*(1+Deltas!D75)</f>
        <v>104.01737508589382</v>
      </c>
      <c r="E75" s="8">
        <f ca="1">+E74*(1+Deltas!E75)</f>
        <v>89.085194678383985</v>
      </c>
      <c r="F75" s="8">
        <f ca="1">+F74*(1+Deltas!F75)</f>
        <v>104.87131198995608</v>
      </c>
      <c r="G75" s="8">
        <f ca="1">+G74*(1+Deltas!G75)</f>
        <v>108.99427636958291</v>
      </c>
      <c r="H75" s="8">
        <f ca="1">+H74*(1+Deltas!H75)</f>
        <v>95.572825367145782</v>
      </c>
      <c r="I75" s="8">
        <f ca="1">+I74*(1+Deltas!I75)</f>
        <v>108.3821974430453</v>
      </c>
      <c r="J75" s="8">
        <f ca="1">+J74*(1+Deltas!J75)</f>
        <v>99.603683412985191</v>
      </c>
      <c r="K75" s="8">
        <f ca="1">+K74*(1+Deltas!K75)</f>
        <v>101.07285429141723</v>
      </c>
      <c r="L75" s="8">
        <f ca="1">+L74*(1+Deltas!L75)</f>
        <v>106.28486426180731</v>
      </c>
      <c r="M75" s="8">
        <f ca="1">+M74*(1+Deltas!M75)</f>
        <v>103.45994734862732</v>
      </c>
      <c r="N75" s="8">
        <f ca="1">+N74*(1+Deltas!N75)</f>
        <v>153.60414734247357</v>
      </c>
      <c r="O75" s="8">
        <f ca="1">+O74*(1+Deltas!O75)</f>
        <v>94.887186917822376</v>
      </c>
      <c r="P75" s="8">
        <f ca="1">+P74*(1+Deltas!P75)</f>
        <v>108.51777848067088</v>
      </c>
    </row>
    <row r="76" spans="1:16" x14ac:dyDescent="0.25">
      <c r="A76" vm="1143">
        <f ca="1"/>
        <v>45453</v>
      </c>
      <c r="B76" s="8">
        <f ca="1">+B75*(1+Deltas!B76)</f>
        <v>87.012466830220902</v>
      </c>
      <c r="C76" s="8">
        <f ca="1">+C75*(1+Deltas!C76)</f>
        <v>107.7907110752564</v>
      </c>
      <c r="D76" s="8">
        <f ca="1">+D75*(1+Deltas!D76)</f>
        <v>105.00392657308338</v>
      </c>
      <c r="E76" s="8">
        <f ca="1">+E75*(1+Deltas!E76)</f>
        <v>89.439155376540967</v>
      </c>
      <c r="F76" s="8">
        <f ca="1">+F75*(1+Deltas!F76)</f>
        <v>105.05335844318898</v>
      </c>
      <c r="G76" s="8">
        <f ca="1">+G75*(1+Deltas!G76)</f>
        <v>108.80893976560364</v>
      </c>
      <c r="H76" s="8">
        <f ca="1">+H75*(1+Deltas!H76)</f>
        <v>96.412294028280911</v>
      </c>
      <c r="I76" s="8">
        <f ca="1">+I75*(1+Deltas!I76)</f>
        <v>108.69941363068348</v>
      </c>
      <c r="J76" s="8">
        <f ca="1">+J75*(1+Deltas!J76)</f>
        <v>99.825154446905231</v>
      </c>
      <c r="K76" s="8">
        <f ca="1">+K75*(1+Deltas!K76)</f>
        <v>100.29940119760487</v>
      </c>
      <c r="L76" s="8">
        <f ca="1">+L75*(1+Deltas!L76)</f>
        <v>104.38824841948676</v>
      </c>
      <c r="M76" s="8">
        <f ca="1">+M75*(1+Deltas!M76)</f>
        <v>102.6764447787389</v>
      </c>
      <c r="N76" s="8">
        <f ca="1">+N75*(1+Deltas!N76)</f>
        <v>154.7502573029569</v>
      </c>
      <c r="O76" s="8">
        <f ca="1">+O75*(1+Deltas!O76)</f>
        <v>94.907886565928351</v>
      </c>
      <c r="P76" s="8">
        <f ca="1">+P75*(1+Deltas!P76)</f>
        <v>111.12765481434626</v>
      </c>
    </row>
    <row r="77" spans="1:16" x14ac:dyDescent="0.25">
      <c r="A77" vm="1158">
        <f ca="1"/>
        <v>45454</v>
      </c>
      <c r="B77" s="8">
        <f ca="1">+B76*(1+Deltas!B77)</f>
        <v>85.445351224152716</v>
      </c>
      <c r="C77" s="8">
        <f ca="1">+C76*(1+Deltas!C77)</f>
        <v>107.88867119972338</v>
      </c>
      <c r="D77" s="8">
        <f ca="1">+D76*(1+Deltas!D77)</f>
        <v>106.18435260626292</v>
      </c>
      <c r="E77" s="8">
        <f ca="1">+E76*(1+Deltas!E77)</f>
        <v>90.321005736604434</v>
      </c>
      <c r="F77" s="8">
        <f ca="1">+F76*(1+Deltas!F77)</f>
        <v>105.13496547394854</v>
      </c>
      <c r="G77" s="8">
        <f ca="1">+G76*(1+Deltas!G77)</f>
        <v>105.94712455709997</v>
      </c>
      <c r="H77" s="8">
        <f ca="1">+H76*(1+Deltas!H77)</f>
        <v>96.649916247906177</v>
      </c>
      <c r="I77" s="8">
        <f ca="1">+I76*(1+Deltas!I77)</f>
        <v>107.82466596174183</v>
      </c>
      <c r="J77" s="8">
        <f ca="1">+J76*(1+Deltas!J77)</f>
        <v>99.079146753700897</v>
      </c>
      <c r="K77" s="8">
        <f ca="1">+K76*(1+Deltas!K77)</f>
        <v>99.301397205588884</v>
      </c>
      <c r="L77" s="8">
        <f ca="1">+L76*(1+Deltas!L77)</f>
        <v>104.23949423577535</v>
      </c>
      <c r="M77" s="8">
        <f ca="1">+M76*(1+Deltas!M77)</f>
        <v>101.29121223517616</v>
      </c>
      <c r="N77" s="8">
        <f ca="1">+N76*(1+Deltas!N77)</f>
        <v>153.63210124394874</v>
      </c>
      <c r="O77" s="8">
        <f ca="1">+O76*(1+Deltas!O77)</f>
        <v>94.742289381080496</v>
      </c>
      <c r="P77" s="8">
        <f ca="1">+P76*(1+Deltas!P77)</f>
        <v>112.71379307684597</v>
      </c>
    </row>
    <row r="78" spans="1:16" x14ac:dyDescent="0.25">
      <c r="A78" vm="1174">
        <f ca="1"/>
        <v>45455</v>
      </c>
      <c r="B78" s="8">
        <f ca="1">+B77*(1+Deltas!B78)</f>
        <v>88.764832523907387</v>
      </c>
      <c r="C78" s="8">
        <f ca="1">+C77*(1+Deltas!C78)</f>
        <v>107.6927509507894</v>
      </c>
      <c r="D78" s="8">
        <f ca="1">+D77*(1+Deltas!D78)</f>
        <v>108.24089525866303</v>
      </c>
      <c r="E78" s="8">
        <f ca="1">+E77*(1+Deltas!E78)</f>
        <v>91.324911509825483</v>
      </c>
      <c r="F78" s="8">
        <f ca="1">+F77*(1+Deltas!F78)</f>
        <v>103.69114877589456</v>
      </c>
      <c r="G78" s="8">
        <f ca="1">+G77*(1+Deltas!G78)</f>
        <v>104.40446988280178</v>
      </c>
      <c r="H78" s="8">
        <f ca="1">+H77*(1+Deltas!H78)</f>
        <v>96.03638346772621</v>
      </c>
      <c r="I78" s="8">
        <f ca="1">+I77*(1+Deltas!I78)</f>
        <v>106.632702105162</v>
      </c>
      <c r="J78" s="8">
        <f ca="1">+J77*(1+Deltas!J78)</f>
        <v>97.86688425224385</v>
      </c>
      <c r="K78" s="8">
        <f ca="1">+K77*(1+Deltas!K78)</f>
        <v>100.22455089820367</v>
      </c>
      <c r="L78" s="8">
        <f ca="1">+L77*(1+Deltas!L78)</f>
        <v>102.86351803644475</v>
      </c>
      <c r="M78" s="8">
        <f ca="1">+M77*(1+Deltas!M78)</f>
        <v>100.68321424094275</v>
      </c>
      <c r="N78" s="8">
        <f ca="1">+N77*(1+Deltas!N78)</f>
        <v>159.08311203161347</v>
      </c>
      <c r="O78" s="8">
        <f ca="1">+O77*(1+Deltas!O78)</f>
        <v>94.431794659490748</v>
      </c>
      <c r="P78" s="8">
        <f ca="1">+P77*(1+Deltas!P78)</f>
        <v>115.37381483224432</v>
      </c>
    </row>
    <row r="79" spans="1:16" x14ac:dyDescent="0.25">
      <c r="A79" vm="1189">
        <f ca="1"/>
        <v>45456</v>
      </c>
      <c r="B79" s="8">
        <f ca="1">+B78*(1+Deltas!B79)</f>
        <v>91.358333750563375</v>
      </c>
      <c r="C79" s="8">
        <f ca="1">+C78*(1+Deltas!C79)</f>
        <v>105.92946871038374</v>
      </c>
      <c r="D79" s="8">
        <f ca="1">+D78*(1+Deltas!D79)</f>
        <v>108.36850888387163</v>
      </c>
      <c r="E79" s="8">
        <f ca="1">+E78*(1+Deltas!E79)</f>
        <v>91.678872207982437</v>
      </c>
      <c r="F79" s="8">
        <f ca="1">+F78*(1+Deltas!F79)</f>
        <v>104.46327683615822</v>
      </c>
      <c r="G79" s="8">
        <f ca="1">+G78*(1+Deltas!G79)</f>
        <v>105.56554919596613</v>
      </c>
      <c r="H79" s="8">
        <f ca="1">+H78*(1+Deltas!H79)</f>
        <v>96.860270343967883</v>
      </c>
      <c r="I79" s="8">
        <f ca="1">+I78*(1+Deltas!I79)</f>
        <v>105.77717965971357</v>
      </c>
      <c r="J79" s="8">
        <f ca="1">+J78*(1+Deltas!J79)</f>
        <v>98.030073435132294</v>
      </c>
      <c r="K79" s="8">
        <f ca="1">+K78*(1+Deltas!K79)</f>
        <v>97.904191616766553</v>
      </c>
      <c r="L79" s="8">
        <f ca="1">+L78*(1+Deltas!L79)</f>
        <v>102.82632949051688</v>
      </c>
      <c r="M79" s="8">
        <f ca="1">+M78*(1+Deltas!M79)</f>
        <v>100.80857465212492</v>
      </c>
      <c r="N79" s="8">
        <f ca="1">+N78*(1+Deltas!N79)</f>
        <v>164.68659864550656</v>
      </c>
      <c r="O79" s="8">
        <f ca="1">+O78*(1+Deltas!O79)</f>
        <v>94.224798178430945</v>
      </c>
      <c r="P79" s="8">
        <f ca="1">+P78*(1+Deltas!P79)</f>
        <v>129.52871018260655</v>
      </c>
    </row>
    <row r="80" spans="1:16" x14ac:dyDescent="0.25">
      <c r="A80" vm="1205">
        <f ca="1"/>
        <v>45457</v>
      </c>
      <c r="B80" s="8">
        <f ca="1">+B79*(1+Deltas!B80)</f>
        <v>89.125319180894309</v>
      </c>
      <c r="C80" s="8">
        <f ca="1">+C79*(1+Deltas!C80)</f>
        <v>105.83150858591675</v>
      </c>
      <c r="D80" s="8">
        <f ca="1">+D79*(1+Deltas!D80)</f>
        <v>108.61146559340338</v>
      </c>
      <c r="E80" s="8">
        <f ca="1">+E79*(1+Deltas!E80)</f>
        <v>90.623092884169438</v>
      </c>
      <c r="F80" s="8">
        <f ca="1">+F79*(1+Deltas!F80)</f>
        <v>104.70182046453235</v>
      </c>
      <c r="G80" s="8">
        <f ca="1">+G79*(1+Deltas!G80)</f>
        <v>105.63096211501764</v>
      </c>
      <c r="H80" s="8">
        <f ca="1">+H79*(1+Deltas!H80)</f>
        <v>96.825211327957589</v>
      </c>
      <c r="I80" s="8">
        <f ca="1">+I79*(1+Deltas!I80)</f>
        <v>104.88320676727868</v>
      </c>
      <c r="J80" s="8">
        <f ca="1">+J79*(1+Deltas!J80)</f>
        <v>95.838675836344549</v>
      </c>
      <c r="K80" s="8">
        <f ca="1">+K79*(1+Deltas!K80)</f>
        <v>95.783433133732615</v>
      </c>
      <c r="L80" s="8">
        <f ca="1">+L79*(1+Deltas!L80)</f>
        <v>102.38006693938264</v>
      </c>
      <c r="M80" s="8">
        <f ca="1">+M79*(1+Deltas!M80)</f>
        <v>98.451798921900519</v>
      </c>
      <c r="N80" s="8">
        <f ca="1">+N79*(1+Deltas!N80)</f>
        <v>167.57093302499348</v>
      </c>
      <c r="O80" s="8">
        <f ca="1">+O79*(1+Deltas!O80)</f>
        <v>94.555992548126653</v>
      </c>
      <c r="P80" s="8">
        <f ca="1">+P79*(1+Deltas!P80)</f>
        <v>133.85278847118187</v>
      </c>
    </row>
    <row r="81" spans="1:16" x14ac:dyDescent="0.25">
      <c r="A81" vm="1221">
        <f ca="1"/>
        <v>45460</v>
      </c>
      <c r="B81" s="8">
        <f ca="1">+B80*(1+Deltas!B81)</f>
        <v>93.846693035598179</v>
      </c>
      <c r="C81" s="8">
        <f ca="1">+C80*(1+Deltas!C81)</f>
        <v>106.06200299642731</v>
      </c>
      <c r="D81" s="8">
        <f ca="1">+D80*(1+Deltas!D81)</f>
        <v>110.03484833611468</v>
      </c>
      <c r="E81" s="8">
        <f ca="1">+E80*(1+Deltas!E81)</f>
        <v>92.411204686927888</v>
      </c>
      <c r="F81" s="8">
        <f ca="1">+F80*(1+Deltas!F81)</f>
        <v>105.14752040175772</v>
      </c>
      <c r="G81" s="8">
        <f ca="1">+G80*(1+Deltas!G81)</f>
        <v>106.28509130553276</v>
      </c>
      <c r="H81" s="8">
        <f ca="1">+H80*(1+Deltas!H81)</f>
        <v>95.288457792840148</v>
      </c>
      <c r="I81" s="8">
        <f ca="1">+I80*(1+Deltas!I81)</f>
        <v>104.16226088628281</v>
      </c>
      <c r="J81" s="8">
        <f ca="1">+J80*(1+Deltas!J81)</f>
        <v>94.556475113649597</v>
      </c>
      <c r="K81" s="8">
        <f ca="1">+K80*(1+Deltas!K81)</f>
        <v>97.904191616766553</v>
      </c>
      <c r="L81" s="8">
        <f ca="1">+L80*(1+Deltas!L81)</f>
        <v>100.33469691335065</v>
      </c>
      <c r="M81" s="8">
        <f ca="1">+M80*(1+Deltas!M81)</f>
        <v>99.49855835527147</v>
      </c>
      <c r="N81" s="8">
        <f ca="1">+N80*(1+Deltas!N81)</f>
        <v>166.42736432828059</v>
      </c>
      <c r="O81" s="8">
        <f ca="1">+O80*(1+Deltas!O81)</f>
        <v>94.576692196232642</v>
      </c>
      <c r="P81" s="8">
        <f ca="1">+P80*(1+Deltas!P81)</f>
        <v>141.09147296390307</v>
      </c>
    </row>
    <row r="82" spans="1:16" x14ac:dyDescent="0.25">
      <c r="A82" vm="1236">
        <f ca="1"/>
        <v>45461</v>
      </c>
      <c r="B82" s="8">
        <f ca="1">+B81*(1+Deltas!B82)</f>
        <v>92.554949181395017</v>
      </c>
      <c r="C82" s="8">
        <f ca="1">+C81*(1+Deltas!C82)</f>
        <v>105.34170796358185</v>
      </c>
      <c r="D82" s="8">
        <f ca="1">+D81*(1+Deltas!D82)</f>
        <v>109.53666437616572</v>
      </c>
      <c r="E82" s="8">
        <f ca="1">+E81*(1+Deltas!E82)</f>
        <v>91.599536189430012</v>
      </c>
      <c r="F82" s="8">
        <f ca="1">+F81*(1+Deltas!F82)</f>
        <v>105.81293157564347</v>
      </c>
      <c r="G82" s="8">
        <f ca="1">+G81*(1+Deltas!G82)</f>
        <v>107.38620877623323</v>
      </c>
      <c r="H82" s="8">
        <f ca="1">+H81*(1+Deltas!H82)</f>
        <v>93.695220287483906</v>
      </c>
      <c r="I82" s="8">
        <f ca="1">+I81*(1+Deltas!I82)</f>
        <v>105.14274728443718</v>
      </c>
      <c r="J82" s="8">
        <f ca="1">+J81*(1+Deltas!J82)</f>
        <v>92.819675952908256</v>
      </c>
      <c r="K82" s="8">
        <f ca="1">+K81*(1+Deltas!K82)</f>
        <v>99.101796407185702</v>
      </c>
      <c r="L82" s="8">
        <f ca="1">+L81*(1+Deltas!L82)</f>
        <v>101.93380438824839</v>
      </c>
      <c r="M82" s="8">
        <f ca="1">+M81*(1+Deltas!M82)</f>
        <v>100.32593706907365</v>
      </c>
      <c r="N82" s="8">
        <f ca="1">+N81*(1+Deltas!N82)</f>
        <v>172.27227100036868</v>
      </c>
      <c r="O82" s="8">
        <f ca="1">+O81*(1+Deltas!O82)</f>
        <v>95.156282343200161</v>
      </c>
      <c r="P82" s="8">
        <f ca="1">+P81*(1+Deltas!P82)</f>
        <v>139.05865471405545</v>
      </c>
    </row>
    <row r="83" spans="1:16" x14ac:dyDescent="0.25">
      <c r="A83" vm="1252">
        <f ca="1"/>
        <v>45463</v>
      </c>
      <c r="B83" s="8">
        <f ca="1">+B82*(1+Deltas!B83)</f>
        <v>90.907725429329716</v>
      </c>
      <c r="C83" s="8">
        <f ca="1">+C82*(1+Deltas!C83)</f>
        <v>107.23752449003109</v>
      </c>
      <c r="D83" s="8">
        <f ca="1">+D82*(1+Deltas!D83)</f>
        <v>109.37960145283206</v>
      </c>
      <c r="E83" s="8">
        <f ca="1">+E82*(1+Deltas!E83)</f>
        <v>91.953496887586979</v>
      </c>
      <c r="F83" s="8">
        <f ca="1">+F82*(1+Deltas!F83)</f>
        <v>105.25423728813561</v>
      </c>
      <c r="G83" s="8">
        <f ca="1">+G82*(1+Deltas!G83)</f>
        <v>108.29653856636679</v>
      </c>
      <c r="H83" s="8">
        <f ca="1">+H82*(1+Deltas!H83)</f>
        <v>94.371080207237711</v>
      </c>
      <c r="I83" s="8">
        <f ca="1">+I82*(1+Deltas!I83)</f>
        <v>107.41132365663749</v>
      </c>
      <c r="J83" s="8">
        <f ca="1">+J82*(1+Deltas!J83)</f>
        <v>94.218440377666383</v>
      </c>
      <c r="K83" s="8">
        <f ca="1">+K82*(1+Deltas!K83)</f>
        <v>98.90219560878252</v>
      </c>
      <c r="L83" s="8">
        <f ca="1">+L82*(1+Deltas!L83)</f>
        <v>103.16102640386757</v>
      </c>
      <c r="M83" s="8">
        <f ca="1">+M82*(1+Deltas!M83)</f>
        <v>101.91174627052784</v>
      </c>
      <c r="N83" s="8">
        <f ca="1">+N82*(1+Deltas!N83)</f>
        <v>166.17323795123332</v>
      </c>
      <c r="O83" s="8">
        <f ca="1">+O82*(1+Deltas!O83)</f>
        <v>96.708755951148831</v>
      </c>
      <c r="P83" s="8">
        <f ca="1">+P82*(1+Deltas!P83)</f>
        <v>133.81575800590949</v>
      </c>
    </row>
    <row r="84" spans="1:16" x14ac:dyDescent="0.25">
      <c r="A84" vm="1268">
        <f ca="1"/>
        <v>45464</v>
      </c>
      <c r="B84" s="8">
        <f ca="1">+B83*(1+Deltas!B84)</f>
        <v>91.628698743303573</v>
      </c>
      <c r="C84" s="8">
        <f ca="1">+C83*(1+Deltas!C84)</f>
        <v>108.95470784833466</v>
      </c>
      <c r="D84" s="8">
        <f ca="1">+D83*(1+Deltas!D84)</f>
        <v>110.38087758908415</v>
      </c>
      <c r="E84" s="8">
        <f ca="1">+E83*(1+Deltas!E84)</f>
        <v>91.926034419626518</v>
      </c>
      <c r="F84" s="8">
        <f ca="1">+F83*(1+Deltas!F84)</f>
        <v>105.62460765850598</v>
      </c>
      <c r="G84" s="8">
        <f ca="1">+G83*(1+Deltas!G84)</f>
        <v>107.00463341509943</v>
      </c>
      <c r="H84" s="8">
        <f ca="1">+H83*(1+Deltas!H84)</f>
        <v>93.995169646682996</v>
      </c>
      <c r="I84" s="8">
        <f ca="1">+I83*(1+Deltas!I84)</f>
        <v>106.46928770546957</v>
      </c>
      <c r="J84" s="8">
        <f ca="1">+J83*(1+Deltas!J84)</f>
        <v>93.868749271476858</v>
      </c>
      <c r="K84" s="8">
        <f ca="1">+K83*(1+Deltas!K84)</f>
        <v>98.727544910179731</v>
      </c>
      <c r="L84" s="8">
        <f ca="1">+L83*(1+Deltas!L84)</f>
        <v>103.16102640386757</v>
      </c>
      <c r="M84" s="8">
        <f ca="1">+M83*(1+Deltas!M84)</f>
        <v>100.60799799423349</v>
      </c>
      <c r="N84" s="8">
        <f ca="1">+N83*(1+Deltas!N84)</f>
        <v>160.82387771438752</v>
      </c>
      <c r="O84" s="8">
        <f ca="1">+O83*(1+Deltas!O84)</f>
        <v>97.888635893189829</v>
      </c>
      <c r="P84" s="8">
        <f ca="1">+P83*(1+Deltas!P84)</f>
        <v>127.95800128063696</v>
      </c>
    </row>
    <row r="85" spans="1:16" x14ac:dyDescent="0.25">
      <c r="A85" vm="1283">
        <f ca="1"/>
        <v>45467</v>
      </c>
      <c r="B85" s="8">
        <f ca="1">+B84*(1+Deltas!B85)</f>
        <v>91.41340810093638</v>
      </c>
      <c r="C85" s="8">
        <f ca="1">+C84*(1+Deltas!C85)</f>
        <v>106.93211939610462</v>
      </c>
      <c r="D85" s="8">
        <f ca="1">+D84*(1+Deltas!D85)</f>
        <v>109.86306076371849</v>
      </c>
      <c r="E85" s="8">
        <f ca="1">+E84*(1+Deltas!E85)</f>
        <v>91.709386061271829</v>
      </c>
      <c r="F85" s="8">
        <f ca="1">+F84*(1+Deltas!F85)</f>
        <v>105.74387947269304</v>
      </c>
      <c r="G85" s="8">
        <f ca="1">+G84*(1+Deltas!G85)</f>
        <v>108.41101117470696</v>
      </c>
      <c r="H85" s="8">
        <f ca="1">+H84*(1+Deltas!H85)</f>
        <v>95.434537026216333</v>
      </c>
      <c r="I85" s="8">
        <f ca="1">+I84*(1+Deltas!I85)</f>
        <v>109.63183697010477</v>
      </c>
      <c r="J85" s="8">
        <f ca="1">+J84*(1+Deltas!J85)</f>
        <v>94.556475113649611</v>
      </c>
      <c r="K85" s="8">
        <f ca="1">+K84*(1+Deltas!K85)</f>
        <v>92.664670658682709</v>
      </c>
      <c r="L85" s="8">
        <f ca="1">+L84*(1+Deltas!L85)</f>
        <v>105.46671625139453</v>
      </c>
      <c r="M85" s="8">
        <f ca="1">+M84*(1+Deltas!M85)</f>
        <v>101.79892190046391</v>
      </c>
      <c r="N85" s="8">
        <f ca="1">+N84*(1+Deltas!N85)</f>
        <v>150.07433196528649</v>
      </c>
      <c r="O85" s="8">
        <f ca="1">+O84*(1+Deltas!O85)</f>
        <v>97.867936245083854</v>
      </c>
      <c r="P85" s="8">
        <f ca="1">+P84*(1+Deltas!P85)</f>
        <v>122.83391064857321</v>
      </c>
    </row>
    <row r="86" spans="1:16" x14ac:dyDescent="0.25">
      <c r="A86" vm="1297">
        <f ca="1"/>
        <v>45468</v>
      </c>
      <c r="B86" s="8">
        <f ca="1">+B85*(1+Deltas!B86)</f>
        <v>93.801632203474796</v>
      </c>
      <c r="C86" s="8">
        <f ca="1">+C85*(1+Deltas!C86)</f>
        <v>107.37582113633742</v>
      </c>
      <c r="D86" s="8">
        <f ca="1">+D85*(1+Deltas!D86)</f>
        <v>110.66800824580351</v>
      </c>
      <c r="E86" s="8">
        <f ca="1">+E85*(1+Deltas!E86)</f>
        <v>89.918222873184433</v>
      </c>
      <c r="F86" s="8">
        <f ca="1">+F85*(1+Deltas!F86)</f>
        <v>104.73948524795983</v>
      </c>
      <c r="G86" s="8">
        <f ca="1">+G85*(1+Deltas!G86)</f>
        <v>107.96947397110924</v>
      </c>
      <c r="H86" s="8">
        <f ca="1">+H85*(1+Deltas!H86)</f>
        <v>94.367184761014357</v>
      </c>
      <c r="I86" s="8">
        <f ca="1">+I85*(1+Deltas!I86)</f>
        <v>109.93944054599635</v>
      </c>
      <c r="J86" s="8">
        <f ca="1">+J85*(1+Deltas!J86)</f>
        <v>95.675486653456119</v>
      </c>
      <c r="K86" s="8">
        <f ca="1">+K85*(1+Deltas!K86)</f>
        <v>91.042914171656761</v>
      </c>
      <c r="L86" s="8">
        <f ca="1">+L85*(1+Deltas!L86)</f>
        <v>104.09074005206392</v>
      </c>
      <c r="M86" s="8">
        <f ca="1">+M85*(1+Deltas!M86)</f>
        <v>101.12824370063942</v>
      </c>
      <c r="N86" s="8">
        <f ca="1">+N85*(1+Deltas!N86)</f>
        <v>160.21397440947399</v>
      </c>
      <c r="O86" s="8">
        <f ca="1">+O85*(1+Deltas!O86)</f>
        <v>98.074932726143686</v>
      </c>
      <c r="P86" s="8">
        <f ca="1">+P85*(1+Deltas!P86)</f>
        <v>121.95289416230149</v>
      </c>
    </row>
    <row r="87" spans="1:16" x14ac:dyDescent="0.25">
      <c r="A87" vm="1312">
        <f ca="1"/>
        <v>45469</v>
      </c>
      <c r="B87" s="8">
        <f ca="1">+B86*(1+Deltas!B87)</f>
        <v>98.317728934061108</v>
      </c>
      <c r="C87" s="8">
        <f ca="1">+C86*(1+Deltas!C87)</f>
        <v>111.56505704736659</v>
      </c>
      <c r="D87" s="8">
        <f ca="1">+D86*(1+Deltas!D87)</f>
        <v>110.96495533523122</v>
      </c>
      <c r="E87" s="8">
        <f ca="1">+E86*(1+Deltas!E87)</f>
        <v>90.583424874893197</v>
      </c>
      <c r="F87" s="8">
        <f ca="1">+F86*(1+Deltas!F87)</f>
        <v>105.11613308223477</v>
      </c>
      <c r="G87" s="8">
        <f ca="1">+G86*(1+Deltas!G87)</f>
        <v>107.62060506950118</v>
      </c>
      <c r="H87" s="8">
        <f ca="1">+H86*(1+Deltas!H87)</f>
        <v>94.277589497876974</v>
      </c>
      <c r="I87" s="8">
        <f ca="1">+I86*(1+Deltas!I87)</f>
        <v>109.97789099298278</v>
      </c>
      <c r="J87" s="8">
        <f ca="1">+J86*(1+Deltas!J87)</f>
        <v>96.584683529548883</v>
      </c>
      <c r="K87" s="8">
        <f ca="1">+K86*(1+Deltas!K87)</f>
        <v>87.325349301397267</v>
      </c>
      <c r="L87" s="8">
        <f ca="1">+L86*(1+Deltas!L87)</f>
        <v>101.97099293417625</v>
      </c>
      <c r="M87" s="8">
        <f ca="1">+M86*(1+Deltas!M87)</f>
        <v>99.260373574025408</v>
      </c>
      <c r="N87" s="8">
        <f ca="1">+N86*(1+Deltas!N87)</f>
        <v>160.60787029389732</v>
      </c>
      <c r="O87" s="8">
        <f ca="1">+O86*(1+Deltas!O87)</f>
        <v>96.998551024632604</v>
      </c>
      <c r="P87" s="8">
        <f ca="1">+P86*(1+Deltas!P87)</f>
        <v>122.81770982001653</v>
      </c>
    </row>
    <row r="88" spans="1:16" x14ac:dyDescent="0.25">
      <c r="A88" vm="1328">
        <f ca="1"/>
        <v>45470</v>
      </c>
      <c r="B88" s="8">
        <f ca="1">+B87*(1+Deltas!B88)</f>
        <v>98.843438642167044</v>
      </c>
      <c r="C88" s="8">
        <f ca="1">+C87*(1+Deltas!C88)</f>
        <v>114.00829779877836</v>
      </c>
      <c r="D88" s="8">
        <f ca="1">+D87*(1+Deltas!D88)</f>
        <v>111.13428879945033</v>
      </c>
      <c r="E88" s="8">
        <f ca="1">+E87*(1+Deltas!E88)</f>
        <v>90.626144269498354</v>
      </c>
      <c r="F88" s="8">
        <f ca="1">+F87*(1+Deltas!F88)</f>
        <v>104.59510357815442</v>
      </c>
      <c r="G88" s="8">
        <f ca="1">+G87*(1+Deltas!G88)</f>
        <v>108.5690923957481</v>
      </c>
      <c r="H88" s="8">
        <f ca="1">+H87*(1+Deltas!H88)</f>
        <v>94.745043044680756</v>
      </c>
      <c r="I88" s="8">
        <f ca="1">+I87*(1+Deltas!I88)</f>
        <v>110.44890896856674</v>
      </c>
      <c r="J88" s="8">
        <f ca="1">+J87*(1+Deltas!J88)</f>
        <v>98.239888098846023</v>
      </c>
      <c r="K88" s="8">
        <f ca="1">+K87*(1+Deltas!K88)</f>
        <v>87.05089820359288</v>
      </c>
      <c r="L88" s="8">
        <f ca="1">+L87*(1+Deltas!L88)</f>
        <v>103.38415767943469</v>
      </c>
      <c r="M88" s="8">
        <f ca="1">+M87*(1+Deltas!M88)</f>
        <v>100.29459696627814</v>
      </c>
      <c r="N88" s="8">
        <f ca="1">+N87*(1+Deltas!N88)</f>
        <v>157.54564745047728</v>
      </c>
      <c r="O88" s="8">
        <f ca="1">+O87*(1+Deltas!O88)</f>
        <v>98.219830262885566</v>
      </c>
      <c r="P88" s="8">
        <f ca="1">+P87*(1+Deltas!P88)</f>
        <v>122.40574589386145</v>
      </c>
    </row>
    <row r="89" spans="1:16" x14ac:dyDescent="0.25">
      <c r="A89" vm="1344">
        <f ca="1"/>
        <v>45471</v>
      </c>
      <c r="B89" s="8">
        <f ca="1">+B88*(1+Deltas!B89)</f>
        <v>99.073749561908713</v>
      </c>
      <c r="C89" s="8">
        <f ca="1">+C88*(1+Deltas!C89)</f>
        <v>111.35761207790709</v>
      </c>
      <c r="D89" s="8">
        <f ca="1">+D88*(1+Deltas!D89)</f>
        <v>109.68636497496813</v>
      </c>
      <c r="E89" s="8">
        <f ca="1">+E88*(1+Deltas!E89)</f>
        <v>91.062492371536678</v>
      </c>
      <c r="F89" s="8">
        <f ca="1">+F88*(1+Deltas!F89)</f>
        <v>103.52793471437538</v>
      </c>
      <c r="G89" s="8">
        <f ca="1">+G88*(1+Deltas!G89)</f>
        <v>110.25347506132455</v>
      </c>
      <c r="H89" s="8">
        <f ca="1">+H88*(1+Deltas!H89)</f>
        <v>99.189747185540085</v>
      </c>
      <c r="I89" s="8">
        <f ca="1">+I88*(1+Deltas!I89)</f>
        <v>110.66038642699219</v>
      </c>
      <c r="J89" s="8">
        <f ca="1">+J88*(1+Deltas!J89)</f>
        <v>99.020864902669288</v>
      </c>
      <c r="K89" s="8">
        <f ca="1">+K88*(1+Deltas!K89)</f>
        <v>85.429141716566932</v>
      </c>
      <c r="L89" s="8">
        <f ca="1">+L88*(1+Deltas!L89)</f>
        <v>104.05355150613607</v>
      </c>
      <c r="M89" s="8">
        <f ca="1">+M88*(1+Deltas!M89)</f>
        <v>100.07521624670939</v>
      </c>
      <c r="N89" s="8">
        <f ca="1">+N88*(1+Deltas!N89)</f>
        <v>156.97386310212084</v>
      </c>
      <c r="O89" s="8">
        <f ca="1">+O88*(1+Deltas!O89)</f>
        <v>98.344028151521442</v>
      </c>
      <c r="P89" s="8">
        <f ca="1">+P88*(1+Deltas!P89)</f>
        <v>123.86150605988138</v>
      </c>
    </row>
    <row r="90" spans="1:16" x14ac:dyDescent="0.25">
      <c r="A90" vm="1360">
        <f ca="1"/>
        <v>45474</v>
      </c>
      <c r="B90" s="8">
        <f ca="1">+B89*(1+Deltas!B90)</f>
        <v>105.07184699344128</v>
      </c>
      <c r="C90" s="8">
        <f ca="1">+C89*(1+Deltas!C90)</f>
        <v>113.63374438169872</v>
      </c>
      <c r="D90" s="8">
        <f ca="1">+D89*(1+Deltas!D90)</f>
        <v>112.08648277216064</v>
      </c>
      <c r="E90" s="8">
        <f ca="1">+E89*(1+Deltas!E90)</f>
        <v>90.256926644696691</v>
      </c>
      <c r="F90" s="8">
        <f ca="1">+F89*(1+Deltas!F90)</f>
        <v>102.14689265536722</v>
      </c>
      <c r="G90" s="8">
        <f ca="1">+G89*(1+Deltas!G90)</f>
        <v>111.99236849277726</v>
      </c>
      <c r="H90" s="8">
        <f ca="1">+H89*(1+Deltas!H90)</f>
        <v>96.344123719372035</v>
      </c>
      <c r="I90" s="8">
        <f ca="1">+I89*(1+Deltas!I90)</f>
        <v>110.50658463904639</v>
      </c>
      <c r="J90" s="8">
        <f ca="1">+J89*(1+Deltas!J90)</f>
        <v>99.440494230096746</v>
      </c>
      <c r="K90" s="8">
        <f ca="1">+K89*(1+Deltas!K90)</f>
        <v>87.949101796407234</v>
      </c>
      <c r="L90" s="8">
        <f ca="1">+L89*(1+Deltas!L90)</f>
        <v>104.94607660840455</v>
      </c>
      <c r="M90" s="8">
        <f ca="1">+M89*(1+Deltas!M90)</f>
        <v>100.62680205591084</v>
      </c>
      <c r="N90" s="8">
        <f ca="1">+N89*(1+Deltas!N90)</f>
        <v>157.93954333490058</v>
      </c>
      <c r="O90" s="8">
        <f ca="1">+O89*(1+Deltas!O90)</f>
        <v>98.364727799627431</v>
      </c>
      <c r="P90" s="8">
        <f ca="1">+P89*(1+Deltas!P90)</f>
        <v>126.58247378937385</v>
      </c>
    </row>
    <row r="91" spans="1:16" x14ac:dyDescent="0.25">
      <c r="A91" vm="1374">
        <f ca="1"/>
        <v>45475</v>
      </c>
      <c r="B91" s="8">
        <f ca="1">+B90*(1+Deltas!B91)</f>
        <v>115.78631152055289</v>
      </c>
      <c r="C91" s="8">
        <f ca="1">+C90*(1+Deltas!C91)</f>
        <v>115.24720525527253</v>
      </c>
      <c r="D91" s="8">
        <f ca="1">+D90*(1+Deltas!D91)</f>
        <v>112.71228035731818</v>
      </c>
      <c r="E91" s="8">
        <f ca="1">+E90*(1+Deltas!E91)</f>
        <v>89.909068717197584</v>
      </c>
      <c r="F91" s="8">
        <f ca="1">+F90*(1+Deltas!F91)</f>
        <v>102.88763339610796</v>
      </c>
      <c r="G91" s="8">
        <f ca="1">+G90*(1+Deltas!G91)</f>
        <v>113.8348323793949</v>
      </c>
      <c r="H91" s="8">
        <f ca="1">+H90*(1+Deltas!H91)</f>
        <v>97.043356316466031</v>
      </c>
      <c r="I91" s="8">
        <f ca="1">+I90*(1+Deltas!I91)</f>
        <v>109.75680092281071</v>
      </c>
      <c r="J91" s="8">
        <f ca="1">+J90*(1+Deltas!J91)</f>
        <v>101.01410420794964</v>
      </c>
      <c r="K91" s="8">
        <f ca="1">+K90*(1+Deltas!K91)</f>
        <v>88.32335329341322</v>
      </c>
      <c r="L91" s="8">
        <f ca="1">+L90*(1+Deltas!L91)</f>
        <v>103.49572331721824</v>
      </c>
      <c r="M91" s="8">
        <f ca="1">+M90*(1+Deltas!M91)</f>
        <v>100.40115331578298</v>
      </c>
      <c r="N91" s="8">
        <f ca="1">+N90*(1+Deltas!N91)</f>
        <v>155.86841336196505</v>
      </c>
      <c r="O91" s="8">
        <f ca="1">+O90*(1+Deltas!O91)</f>
        <v>97.867936245083854</v>
      </c>
      <c r="P91" s="8">
        <f ca="1">+P90*(1+Deltas!P91)</f>
        <v>127.86928245758857</v>
      </c>
    </row>
    <row r="92" spans="1:16" x14ac:dyDescent="0.25">
      <c r="A92" vm="1389">
        <f ca="1"/>
        <v>45476</v>
      </c>
      <c r="B92" s="8">
        <f ca="1">+B91*(1+Deltas!B92)</f>
        <v>123.36153807640331</v>
      </c>
      <c r="C92" s="8">
        <f ca="1">+C91*(1+Deltas!C92)</f>
        <v>113.8584764319465</v>
      </c>
      <c r="D92" s="8">
        <f ca="1">+D91*(1+Deltas!D92)</f>
        <v>113.07794247570435</v>
      </c>
      <c r="E92" s="8">
        <f ca="1">+E91*(1+Deltas!E92)</f>
        <v>90.693274746735</v>
      </c>
      <c r="F92" s="8">
        <f ca="1">+F91*(1+Deltas!F92)</f>
        <v>102.84369114877587</v>
      </c>
      <c r="G92" s="8">
        <f ca="1">+G91*(1+Deltas!G92)</f>
        <v>113.75851730716812</v>
      </c>
      <c r="H92" s="8">
        <f ca="1">+H91*(1+Deltas!H92)</f>
        <v>95.417007518211179</v>
      </c>
      <c r="I92" s="8">
        <f ca="1">+I91*(1+Deltas!I92)</f>
        <v>110.3143324041142</v>
      </c>
      <c r="J92" s="8">
        <f ca="1">+J91*(1+Deltas!J92)</f>
        <v>99.836810817111541</v>
      </c>
      <c r="K92" s="8">
        <f ca="1">+K91*(1+Deltas!K92)</f>
        <v>91.492015968063924</v>
      </c>
      <c r="L92" s="8">
        <f ca="1">+L91*(1+Deltas!L92)</f>
        <v>103.01227222015613</v>
      </c>
      <c r="M92" s="8">
        <f ca="1">+M91*(1+Deltas!M92)</f>
        <v>99.937319794409021</v>
      </c>
      <c r="N92" s="8">
        <f ca="1">+N91*(1+Deltas!N92)</f>
        <v>162.99665823814198</v>
      </c>
      <c r="O92" s="8">
        <f ca="1">+O91*(1+Deltas!O92)</f>
        <v>97.474642931070193</v>
      </c>
      <c r="P92" s="8">
        <f ca="1">+P91*(1+Deltas!P92)</f>
        <v>133.40379407975439</v>
      </c>
    </row>
    <row r="93" spans="1:16" x14ac:dyDescent="0.25">
      <c r="A93" vm="1404">
        <f ca="1"/>
        <v>45478</v>
      </c>
      <c r="B93" s="8">
        <f ca="1">+B92*(1+Deltas!B93)</f>
        <v>125.93000550743523</v>
      </c>
      <c r="C93" s="8">
        <f ca="1">+C92*(1+Deltas!C93)</f>
        <v>115.24720525527255</v>
      </c>
      <c r="D93" s="8">
        <f ca="1">+D92*(1+Deltas!D93)</f>
        <v>114.74428192794741</v>
      </c>
      <c r="E93" s="8">
        <f ca="1">+E92*(1+Deltas!E93)</f>
        <v>90.229464176736215</v>
      </c>
      <c r="F93" s="8">
        <f ca="1">+F92*(1+Deltas!F93)</f>
        <v>103.70998116760825</v>
      </c>
      <c r="G93" s="8">
        <f ca="1">+G92*(1+Deltas!G93)</f>
        <v>111.63259743799395</v>
      </c>
      <c r="H93" s="8">
        <f ca="1">+H92*(1+Deltas!H93)</f>
        <v>95.050835573214883</v>
      </c>
      <c r="I93" s="8">
        <f ca="1">+I92*(1+Deltas!I93)</f>
        <v>108.97817937133519</v>
      </c>
      <c r="J93" s="8">
        <f ca="1">+J92*(1+Deltas!J93)</f>
        <v>101.20060613125074</v>
      </c>
      <c r="K93" s="8">
        <f ca="1">+K92*(1+Deltas!K93)</f>
        <v>91.966067864271508</v>
      </c>
      <c r="L93" s="8">
        <f ca="1">+L92*(1+Deltas!L93)</f>
        <v>104.31387132763103</v>
      </c>
      <c r="M93" s="8">
        <f ca="1">+M92*(1+Deltas!M93)</f>
        <v>99.304249717939172</v>
      </c>
      <c r="N93" s="8">
        <f ca="1">+N92*(1+Deltas!N93)</f>
        <v>159.88361011931246</v>
      </c>
      <c r="O93" s="8">
        <f ca="1">+O92*(1+Deltas!O93)</f>
        <v>96.563858414406965</v>
      </c>
      <c r="P93" s="8">
        <f ca="1">+P92*(1+Deltas!P93)</f>
        <v>131.40492042307309</v>
      </c>
    </row>
    <row r="94" spans="1:16" x14ac:dyDescent="0.25">
      <c r="A94" vm="1417">
        <f ca="1"/>
        <v>45481</v>
      </c>
      <c r="B94" s="8">
        <f ca="1">+B93*(1+Deltas!B94)</f>
        <v>126.64096530315945</v>
      </c>
      <c r="C94" s="8">
        <f ca="1">+C93*(1+Deltas!C94)</f>
        <v>114.83807767661632</v>
      </c>
      <c r="D94" s="8">
        <f ca="1">+D93*(1+Deltas!D94)</f>
        <v>114.42033964857174</v>
      </c>
      <c r="E94" s="8">
        <f ca="1">+E93*(1+Deltas!E94)</f>
        <v>91.61784450140361</v>
      </c>
      <c r="F94" s="8">
        <f ca="1">+F93*(1+Deltas!F94)</f>
        <v>104.53232893910855</v>
      </c>
      <c r="G94" s="8">
        <f ca="1">+G93*(1+Deltas!G94)</f>
        <v>111.83973834832375</v>
      </c>
      <c r="H94" s="8">
        <f ca="1">+H93*(1+Deltas!H94)</f>
        <v>95.309882747068656</v>
      </c>
      <c r="I94" s="8">
        <f ca="1">+I93*(1+Deltas!I94)</f>
        <v>107.83427857348842</v>
      </c>
      <c r="J94" s="8">
        <f ca="1">+J93*(1+Deltas!J94)</f>
        <v>100.94416598671175</v>
      </c>
      <c r="K94" s="8">
        <f ca="1">+K93*(1+Deltas!K94)</f>
        <v>91.666666666666728</v>
      </c>
      <c r="L94" s="8">
        <f ca="1">+L93*(1+Deltas!L94)</f>
        <v>103.86760877649678</v>
      </c>
      <c r="M94" s="8">
        <f ca="1">+M93*(1+Deltas!M94)</f>
        <v>100.00000000000009</v>
      </c>
      <c r="N94" s="8">
        <f ca="1">+N93*(1+Deltas!N94)</f>
        <v>162.89500768732302</v>
      </c>
      <c r="O94" s="8">
        <f ca="1">+O93*(1+Deltas!O94)</f>
        <v>95.342579176154018</v>
      </c>
      <c r="P94" s="8">
        <f ca="1">+P93*(1+Deltas!P94)</f>
        <v>134.68751687586314</v>
      </c>
    </row>
    <row r="95" spans="1:16" x14ac:dyDescent="0.25">
      <c r="A95" vm="1432">
        <f ca="1"/>
        <v>45482</v>
      </c>
      <c r="B95" s="8">
        <f ca="1">+B94*(1+Deltas!B95)</f>
        <v>131.34231212136402</v>
      </c>
      <c r="C95" s="8">
        <f ca="1">+C94*(1+Deltas!C95)</f>
        <v>114.86688947793016</v>
      </c>
      <c r="D95" s="8">
        <f ca="1">+D94*(1+Deltas!D95)</f>
        <v>112.77608716992248</v>
      </c>
      <c r="E95" s="8">
        <f ca="1">+E94*(1+Deltas!E95)</f>
        <v>91.208958867325748</v>
      </c>
      <c r="F95" s="8">
        <f ca="1">+F94*(1+Deltas!F95)</f>
        <v>103.99246704331445</v>
      </c>
      <c r="G95" s="8">
        <f ca="1">+G94*(1+Deltas!G95)</f>
        <v>113.18070318887978</v>
      </c>
      <c r="H95" s="8">
        <f ca="1">+H94*(1+Deltas!H95)</f>
        <v>95.849402049004709</v>
      </c>
      <c r="I95" s="8">
        <f ca="1">+I94*(1+Deltas!I95)</f>
        <v>106.64231471690857</v>
      </c>
      <c r="J95" s="8">
        <f ca="1">+J94*(1+Deltas!J95)</f>
        <v>105.42021214593777</v>
      </c>
      <c r="K95" s="8">
        <f ca="1">+K94*(1+Deltas!K95)</f>
        <v>88.972055888223608</v>
      </c>
      <c r="L95" s="8">
        <f ca="1">+L94*(1+Deltas!L95)</f>
        <v>103.08664931201184</v>
      </c>
      <c r="M95" s="8">
        <f ca="1">+M94*(1+Deltas!M95)</f>
        <v>99.486022314153288</v>
      </c>
      <c r="N95" s="8">
        <f ca="1">+N94*(1+Deltas!N95)</f>
        <v>166.93561708237519</v>
      </c>
      <c r="O95" s="8">
        <f ca="1">+O94*(1+Deltas!O95)</f>
        <v>94.804388325398477</v>
      </c>
      <c r="P95" s="8">
        <f ca="1">+P94*(1+Deltas!P95)</f>
        <v>133.71932450259601</v>
      </c>
    </row>
    <row r="96" spans="1:16" x14ac:dyDescent="0.25">
      <c r="A96" vm="1447">
        <f ca="1"/>
        <v>45483</v>
      </c>
      <c r="B96" s="8">
        <f ca="1">+B95*(1+Deltas!B96)</f>
        <v>131.80794071997215</v>
      </c>
      <c r="C96" s="8">
        <f ca="1">+C95*(1+Deltas!C96)</f>
        <v>115.12619568975451</v>
      </c>
      <c r="D96" s="8">
        <f ca="1">+D95*(1+Deltas!D96)</f>
        <v>114.42279375674882</v>
      </c>
      <c r="E96" s="8">
        <f ca="1">+E95*(1+Deltas!E96)</f>
        <v>93.180153789820551</v>
      </c>
      <c r="F96" s="8">
        <f ca="1">+F95*(1+Deltas!F96)</f>
        <v>104.70809792843686</v>
      </c>
      <c r="G96" s="8">
        <f ca="1">+G95*(1+Deltas!G96)</f>
        <v>113.27337149086942</v>
      </c>
      <c r="H96" s="8">
        <f ca="1">+H95*(1+Deltas!H96)</f>
        <v>97.567293833508614</v>
      </c>
      <c r="I96" s="8">
        <f ca="1">+I95*(1+Deltas!I96)</f>
        <v>107.58435066807651</v>
      </c>
      <c r="J96" s="8">
        <f ca="1">+J95*(1+Deltas!J96)</f>
        <v>108.08952092318451</v>
      </c>
      <c r="K96" s="8">
        <f ca="1">+K95*(1+Deltas!K96)</f>
        <v>90.194610778443177</v>
      </c>
      <c r="L96" s="8">
        <f ca="1">+L95*(1+Deltas!L96)</f>
        <v>105.42952770546668</v>
      </c>
      <c r="M96" s="8">
        <f ca="1">+M95*(1+Deltas!M96)</f>
        <v>100.26952488404172</v>
      </c>
      <c r="N96" s="8">
        <f ca="1">+N95*(1+Deltas!N96)</f>
        <v>171.42094763726013</v>
      </c>
      <c r="O96" s="8">
        <f ca="1">+O95*(1+Deltas!O96)</f>
        <v>95.777271786379643</v>
      </c>
      <c r="P96" s="8">
        <f ca="1">+P95*(1+Deltas!P96)</f>
        <v>134.59725511676172</v>
      </c>
    </row>
    <row r="97" spans="1:16" x14ac:dyDescent="0.25">
      <c r="A97" vm="1463">
        <f ca="1"/>
        <v>45484</v>
      </c>
      <c r="B97" s="8">
        <f ca="1">+B96*(1+Deltas!B97)</f>
        <v>120.67791518550061</v>
      </c>
      <c r="C97" s="8">
        <f ca="1">+C96*(1+Deltas!C97)</f>
        <v>112.39483692520456</v>
      </c>
      <c r="D97" s="8">
        <f ca="1">+D96*(1+Deltas!D97)</f>
        <v>111.58829881221166</v>
      </c>
      <c r="E97" s="8">
        <f ca="1">+E96*(1+Deltas!E97)</f>
        <v>95.804345172708381</v>
      </c>
      <c r="F97" s="8">
        <f ca="1">+F96*(1+Deltas!F97)</f>
        <v>103.91713747645944</v>
      </c>
      <c r="G97" s="8">
        <f ca="1">+G96*(1+Deltas!G97)</f>
        <v>113.08258381030249</v>
      </c>
      <c r="H97" s="8">
        <f ca="1">+H96*(1+Deltas!H97)</f>
        <v>98.235362860815698</v>
      </c>
      <c r="I97" s="8">
        <f ca="1">+I96*(1+Deltas!I97)</f>
        <v>108.86282803037585</v>
      </c>
      <c r="J97" s="8">
        <f ca="1">+J96*(1+Deltas!J97)</f>
        <v>111.46986828301665</v>
      </c>
      <c r="K97" s="8">
        <f ca="1">+K96*(1+Deltas!K97)</f>
        <v>89.520958083832411</v>
      </c>
      <c r="L97" s="8">
        <f ca="1">+L96*(1+Deltas!L97)</f>
        <v>106.58237262923016</v>
      </c>
      <c r="M97" s="8">
        <f ca="1">+M96*(1+Deltas!M97)</f>
        <v>101.56700513977694</v>
      </c>
      <c r="N97" s="8">
        <f ca="1">+N96*(1+Deltas!N97)</f>
        <v>161.87850217913382</v>
      </c>
      <c r="O97" s="8">
        <f ca="1">+O96*(1+Deltas!O97)</f>
        <v>96.791554543572758</v>
      </c>
      <c r="P97" s="8">
        <f ca="1">+P96*(1+Deltas!P97)</f>
        <v>131.6085879820711</v>
      </c>
    </row>
    <row r="98" spans="1:16" x14ac:dyDescent="0.25">
      <c r="A98" vm="1477">
        <f ca="1"/>
        <v>45485</v>
      </c>
      <c r="B98" s="8">
        <f ca="1">+B97*(1+Deltas!B98)</f>
        <v>124.28278175536994</v>
      </c>
      <c r="C98" s="8">
        <f ca="1">+C97*(1+Deltas!C98)</f>
        <v>112.0721447504898</v>
      </c>
      <c r="D98" s="8">
        <f ca="1">+D97*(1+Deltas!D98)</f>
        <v>111.30607637184649</v>
      </c>
      <c r="E98" s="8">
        <f ca="1">+E97*(1+Deltas!E98)</f>
        <v>97.146954717441687</v>
      </c>
      <c r="F98" s="8">
        <f ca="1">+F97*(1+Deltas!F98)</f>
        <v>104.58882611424978</v>
      </c>
      <c r="G98" s="8">
        <f ca="1">+G97*(1+Deltas!G98)</f>
        <v>111.71436358680836</v>
      </c>
      <c r="H98" s="8">
        <f ca="1">+H97*(1+Deltas!H98)</f>
        <v>99.631880331891992</v>
      </c>
      <c r="I98" s="8">
        <f ca="1">+I97*(1+Deltas!I98)</f>
        <v>108.88205325386907</v>
      </c>
      <c r="J98" s="8">
        <f ca="1">+J97*(1+Deltas!J98)</f>
        <v>111.98274857209461</v>
      </c>
      <c r="K98" s="8">
        <f ca="1">+K97*(1+Deltas!K98)</f>
        <v>90.59381237524957</v>
      </c>
      <c r="L98" s="8">
        <f ca="1">+L97*(1+Deltas!L98)</f>
        <v>107.54927482335437</v>
      </c>
      <c r="M98" s="8">
        <f ca="1">+M97*(1+Deltas!M98)</f>
        <v>102.60122853202967</v>
      </c>
      <c r="N98" s="8">
        <f ca="1">+N97*(1+Deltas!N98)</f>
        <v>164.21646484796901</v>
      </c>
      <c r="O98" s="8">
        <f ca="1">+O97*(1+Deltas!O98)</f>
        <v>98.074932726143672</v>
      </c>
      <c r="P98" s="8">
        <f ca="1">+P97*(1+Deltas!P98)</f>
        <v>131.20125286407509</v>
      </c>
    </row>
    <row r="99" spans="1:16" x14ac:dyDescent="0.25">
      <c r="A99" vm="1491">
        <f ca="1"/>
        <v>45488</v>
      </c>
      <c r="B99" s="8">
        <f ca="1">+B98*(1+Deltas!B99)</f>
        <v>126.49076252941489</v>
      </c>
      <c r="C99" s="8">
        <f ca="1">+C98*(1+Deltas!C99)</f>
        <v>111.05220698398062</v>
      </c>
      <c r="D99" s="8">
        <f ca="1">+D98*(1+Deltas!D99)</f>
        <v>111.4066948071071</v>
      </c>
      <c r="E99" s="8">
        <f ca="1">+E98*(1+Deltas!E99)</f>
        <v>97.177468570731094</v>
      </c>
      <c r="F99" s="8">
        <f ca="1">+F98*(1+Deltas!F99)</f>
        <v>103.31450094161953</v>
      </c>
      <c r="G99" s="8">
        <f ca="1">+G98*(1+Deltas!G99)</f>
        <v>114.49986372308528</v>
      </c>
      <c r="H99" s="8">
        <f ca="1">+H98*(1+Deltas!H99)</f>
        <v>100.37980600677804</v>
      </c>
      <c r="I99" s="8">
        <f ca="1">+I98*(1+Deltas!I99)</f>
        <v>110.74689993271171</v>
      </c>
      <c r="J99" s="8">
        <f ca="1">+J98*(1+Deltas!J99)</f>
        <v>111.46986828301664</v>
      </c>
      <c r="K99" s="8">
        <f ca="1">+K98*(1+Deltas!K99)</f>
        <v>90.59381237524957</v>
      </c>
      <c r="L99" s="8">
        <f ca="1">+L98*(1+Deltas!L99)</f>
        <v>108.21866865005573</v>
      </c>
      <c r="M99" s="8">
        <f ca="1">+M98*(1+Deltas!M99)</f>
        <v>104.61953115206225</v>
      </c>
      <c r="N99" s="8">
        <f ca="1">+N98*(1+Deltas!N99)</f>
        <v>163.19995933977975</v>
      </c>
      <c r="O99" s="8">
        <f ca="1">+O98*(1+Deltas!O99)</f>
        <v>98.116332022355635</v>
      </c>
      <c r="P99" s="8">
        <f ca="1">+P98*(1+Deltas!P99)</f>
        <v>132.24504910393992</v>
      </c>
    </row>
    <row r="100" spans="1:16" x14ac:dyDescent="0.25">
      <c r="A100" vm="1505">
        <f ca="1"/>
        <v>45489</v>
      </c>
      <c r="B100" s="8">
        <f ca="1">+B99*(1+Deltas!B100)</f>
        <v>128.45341210634376</v>
      </c>
      <c r="C100" s="8">
        <f ca="1">+C99*(1+Deltas!C100)</f>
        <v>111.22507779186354</v>
      </c>
      <c r="D100" s="8">
        <f ca="1">+D99*(1+Deltas!D100)</f>
        <v>110.31707077647984</v>
      </c>
      <c r="E100" s="8">
        <f ca="1">+E99*(1+Deltas!E100)</f>
        <v>99.597217136579971</v>
      </c>
      <c r="F100" s="8">
        <f ca="1">+F99*(1+Deltas!F100)</f>
        <v>104.80225988700558</v>
      </c>
      <c r="G100" s="8">
        <f ca="1">+G99*(1+Deltas!G100)</f>
        <v>116.44589806486778</v>
      </c>
      <c r="H100" s="8">
        <f ca="1">+H99*(1+Deltas!H100)</f>
        <v>106.90467843091423</v>
      </c>
      <c r="I100" s="8">
        <f ca="1">+I99*(1+Deltas!I100)</f>
        <v>111.54474670768049</v>
      </c>
      <c r="J100" s="8">
        <f ca="1">+J99*(1+Deltas!J100)</f>
        <v>112.05268679333251</v>
      </c>
      <c r="K100" s="8">
        <f ca="1">+K99*(1+Deltas!K100)</f>
        <v>90.918163672654757</v>
      </c>
      <c r="L100" s="8">
        <f ca="1">+L99*(1+Deltas!L100)</f>
        <v>109.7062104871699</v>
      </c>
      <c r="M100" s="8">
        <f ca="1">+M99*(1+Deltas!M100)</f>
        <v>105.18365300238193</v>
      </c>
      <c r="N100" s="8">
        <f ca="1">+N99*(1+Deltas!N100)</f>
        <v>160.55704501848777</v>
      </c>
      <c r="O100" s="8">
        <f ca="1">+O99*(1+Deltas!O100)</f>
        <v>98.157731318567613</v>
      </c>
      <c r="P100" s="8">
        <f ca="1">+P99*(1+Deltas!P100)</f>
        <v>130.6673969897318</v>
      </c>
    </row>
    <row r="101" spans="1:16" x14ac:dyDescent="0.25">
      <c r="A101" vm="1519">
        <f ca="1"/>
        <v>45490</v>
      </c>
      <c r="B101" s="8">
        <f ca="1">+B100*(1+Deltas!B101)</f>
        <v>124.41796425174005</v>
      </c>
      <c r="C101" s="8">
        <f ca="1">+C100*(1+Deltas!C101)</f>
        <v>108.29203641811685</v>
      </c>
      <c r="D101" s="8">
        <f ca="1">+D100*(1+Deltas!D101)</f>
        <v>108.84460587022677</v>
      </c>
      <c r="E101" s="8">
        <f ca="1">+E100*(1+Deltas!E101)</f>
        <v>99.414134016843619</v>
      </c>
      <c r="F101" s="8">
        <f ca="1">+F100*(1+Deltas!F101)</f>
        <v>106.36534839924664</v>
      </c>
      <c r="G101" s="8">
        <f ca="1">+G100*(1+Deltas!G101)</f>
        <v>118.21749795584624</v>
      </c>
      <c r="H101" s="8">
        <f ca="1">+H100*(1+Deltas!H101)</f>
        <v>111.65907054653107</v>
      </c>
      <c r="I101" s="8">
        <f ca="1">+I100*(1+Deltas!I101)</f>
        <v>113.08276458713833</v>
      </c>
      <c r="J101" s="8">
        <f ca="1">+J100*(1+Deltas!J101)</f>
        <v>111.85452849982512</v>
      </c>
      <c r="K101" s="8">
        <f ca="1">+K100*(1+Deltas!K101)</f>
        <v>89.92015968063879</v>
      </c>
      <c r="L101" s="8">
        <f ca="1">+L100*(1+Deltas!L101)</f>
        <v>111.67720342134618</v>
      </c>
      <c r="M101" s="8">
        <f ca="1">+M100*(1+Deltas!M101)</f>
        <v>106.99511094396397</v>
      </c>
      <c r="N101" s="8">
        <f ca="1">+N100*(1+Deltas!N101)</f>
        <v>149.92185613905804</v>
      </c>
      <c r="O101" s="8">
        <f ca="1">+O100*(1+Deltas!O101)</f>
        <v>100.43469261022567</v>
      </c>
      <c r="P101" s="8">
        <f ca="1">+P100*(1+Deltas!P101)</f>
        <v>120.33358277466193</v>
      </c>
    </row>
    <row r="102" spans="1:16" x14ac:dyDescent="0.25">
      <c r="A102" vm="1535">
        <f ca="1"/>
        <v>45491</v>
      </c>
      <c r="B102" s="8">
        <f ca="1">+B101*(1+Deltas!B102)</f>
        <v>124.78345766785178</v>
      </c>
      <c r="C102" s="8">
        <f ca="1">+C101*(1+Deltas!C102)</f>
        <v>105.88336982828166</v>
      </c>
      <c r="D102" s="8">
        <f ca="1">+D101*(1+Deltas!D102)</f>
        <v>108.07156179444391</v>
      </c>
      <c r="E102" s="8">
        <f ca="1">+E101*(1+Deltas!E102)</f>
        <v>99.310386915659663</v>
      </c>
      <c r="F102" s="8">
        <f ca="1">+F101*(1+Deltas!F102)</f>
        <v>105.73760200878839</v>
      </c>
      <c r="G102" s="8">
        <f ca="1">+G101*(1+Deltas!G102)</f>
        <v>114.46170618697188</v>
      </c>
      <c r="H102" s="8">
        <f ca="1">+H101*(1+Deltas!H102)</f>
        <v>109.91780608468697</v>
      </c>
      <c r="I102" s="8">
        <f ca="1">+I101*(1+Deltas!I102)</f>
        <v>114.19782754974527</v>
      </c>
      <c r="J102" s="8">
        <f ca="1">+J101*(1+Deltas!J102)</f>
        <v>108.63737032288142</v>
      </c>
      <c r="K102" s="8">
        <f ca="1">+K101*(1+Deltas!K102)</f>
        <v>89.570858283433196</v>
      </c>
      <c r="L102" s="8">
        <f ca="1">+L101*(1+Deltas!L102)</f>
        <v>110.48716995165485</v>
      </c>
      <c r="M102" s="8">
        <f ca="1">+M101*(1+Deltas!M102)</f>
        <v>110.74965525886932</v>
      </c>
      <c r="N102" s="8">
        <f ca="1">+N101*(1+Deltas!N102)</f>
        <v>153.86081498329128</v>
      </c>
      <c r="O102" s="8">
        <f ca="1">+O101*(1+Deltas!O102)</f>
        <v>99.441109501138513</v>
      </c>
      <c r="P102" s="8">
        <f ca="1">+P101*(1+Deltas!P102)</f>
        <v>123.83604761500665</v>
      </c>
    </row>
    <row r="103" spans="1:16" x14ac:dyDescent="0.25">
      <c r="A103" vm="1551">
        <f ca="1"/>
        <v>45492</v>
      </c>
      <c r="B103" s="8">
        <f ca="1">+B102*(1+Deltas!B103)</f>
        <v>119.7616782656588</v>
      </c>
      <c r="C103" s="8">
        <f ca="1">+C102*(1+Deltas!C103)</f>
        <v>105.52610349199031</v>
      </c>
      <c r="D103" s="8">
        <f ca="1">+D102*(1+Deltas!D103)</f>
        <v>107.27152252871308</v>
      </c>
      <c r="E103" s="8">
        <f ca="1">+E102*(1+Deltas!E103)</f>
        <v>98.208836811912576</v>
      </c>
      <c r="F103" s="8">
        <f ca="1">+F102*(1+Deltas!F103)</f>
        <v>105.43628374136843</v>
      </c>
      <c r="G103" s="8">
        <f ca="1">+G102*(1+Deltas!G103)</f>
        <v>114.35268465521936</v>
      </c>
      <c r="H103" s="8">
        <f ca="1">+H102*(1+Deltas!H103)</f>
        <v>110.11063067274354</v>
      </c>
      <c r="I103" s="8">
        <f ca="1">+I102*(1+Deltas!I103)</f>
        <v>111.57358454292032</v>
      </c>
      <c r="J103" s="8">
        <f ca="1">+J102*(1+Deltas!J103)</f>
        <v>108.20608462524766</v>
      </c>
      <c r="K103" s="8">
        <f ca="1">+K102*(1+Deltas!K103)</f>
        <v>89.171656686626818</v>
      </c>
      <c r="L103" s="8">
        <f ca="1">+L102*(1+Deltas!L103)</f>
        <v>111.45407214577904</v>
      </c>
      <c r="M103" s="8">
        <f ca="1">+M102*(1+Deltas!M103)</f>
        <v>109.30174250971551</v>
      </c>
      <c r="N103" s="8">
        <f ca="1">+N102*(1+Deltas!N103)</f>
        <v>149.84561822594387</v>
      </c>
      <c r="O103" s="8">
        <f ca="1">+O102*(1+Deltas!O103)</f>
        <v>97.950734837507795</v>
      </c>
      <c r="P103" s="8">
        <f ca="1">+P102*(1+Deltas!P103)</f>
        <v>121.39049397097742</v>
      </c>
    </row>
    <row r="104" spans="1:16" x14ac:dyDescent="0.25">
      <c r="A104" vm="1566">
        <f ca="1"/>
        <v>45495</v>
      </c>
      <c r="B104" s="8">
        <f ca="1">+B103*(1+Deltas!B104)</f>
        <v>125.92499874831039</v>
      </c>
      <c r="C104" s="8">
        <f ca="1">+C103*(1+Deltas!C104)</f>
        <v>105.19188659675004</v>
      </c>
      <c r="D104" s="8">
        <f ca="1">+D103*(1+Deltas!D104)</f>
        <v>108.70226759595563</v>
      </c>
      <c r="E104" s="8">
        <f ca="1">+E103*(1+Deltas!E104)</f>
        <v>98.361406078359536</v>
      </c>
      <c r="F104" s="8">
        <f ca="1">+F103*(1+Deltas!F104)</f>
        <v>105.61833019460131</v>
      </c>
      <c r="G104" s="8">
        <f ca="1">+G103*(1+Deltas!G104)</f>
        <v>114.62523848460067</v>
      </c>
      <c r="H104" s="8">
        <f ca="1">+H103*(1+Deltas!H104)</f>
        <v>108.78617895679946</v>
      </c>
      <c r="I104" s="8">
        <f ca="1">+I103*(1+Deltas!I104)</f>
        <v>110.8045756031914</v>
      </c>
      <c r="J104" s="8">
        <f ca="1">+J103*(1+Deltas!J104)</f>
        <v>108.18277188483503</v>
      </c>
      <c r="K104" s="8">
        <f ca="1">+K103*(1+Deltas!K104)</f>
        <v>90.294411177644776</v>
      </c>
      <c r="L104" s="8">
        <f ca="1">+L103*(1+Deltas!L104)</f>
        <v>110.07809594644844</v>
      </c>
      <c r="M104" s="8">
        <f ca="1">+M103*(1+Deltas!M104)</f>
        <v>109.58380343487535</v>
      </c>
      <c r="N104" s="8">
        <f ca="1">+N103*(1+Deltas!N104)</f>
        <v>156.97386310212079</v>
      </c>
      <c r="O104" s="8">
        <f ca="1">+O103*(1+Deltas!O104)</f>
        <v>96.915752432208677</v>
      </c>
      <c r="P104" s="8">
        <f ca="1">+P103*(1+Deltas!P104)</f>
        <v>124.25264034932077</v>
      </c>
    </row>
    <row r="105" spans="1:16" x14ac:dyDescent="0.25">
      <c r="A105" vm="1580">
        <f ca="1"/>
        <v>45496</v>
      </c>
      <c r="B105" s="8">
        <f ca="1">+B104*(1+Deltas!B105)</f>
        <v>123.3565313172785</v>
      </c>
      <c r="C105" s="8">
        <f ca="1">+C104*(1+Deltas!C105)</f>
        <v>107.4161576581768</v>
      </c>
      <c r="D105" s="8">
        <f ca="1">+D104*(1+Deltas!D105)</f>
        <v>109.17100225777953</v>
      </c>
      <c r="E105" s="8">
        <f ca="1">+E104*(1+Deltas!E105)</f>
        <v>105.12022458196016</v>
      </c>
      <c r="F105" s="8">
        <f ca="1">+F104*(1+Deltas!F105)</f>
        <v>104.59510357815437</v>
      </c>
      <c r="G105" s="8">
        <f ca="1">+G104*(1+Deltas!G105)</f>
        <v>114.65249386753879</v>
      </c>
      <c r="H105" s="8">
        <f ca="1">+H104*(1+Deltas!H105)</f>
        <v>108.0402010050251</v>
      </c>
      <c r="I105" s="8">
        <f ca="1">+I104*(1+Deltas!I105)</f>
        <v>109.01662981832165</v>
      </c>
      <c r="J105" s="8">
        <f ca="1">+J104*(1+Deltas!J105)</f>
        <v>106.8539456813148</v>
      </c>
      <c r="K105" s="8">
        <f ca="1">+K104*(1+Deltas!K105)</f>
        <v>88.997005988024029</v>
      </c>
      <c r="L105" s="8">
        <f ca="1">+L104*(1+Deltas!L105)</f>
        <v>109.7062104871699</v>
      </c>
      <c r="M105" s="8">
        <f ca="1">+M104*(1+Deltas!M105)</f>
        <v>108.81283690610512</v>
      </c>
      <c r="N105" s="8">
        <f ca="1">+N104*(1+Deltas!N105)</f>
        <v>155.76676281114607</v>
      </c>
      <c r="O105" s="8">
        <f ca="1">+O104*(1+Deltas!O105)</f>
        <v>95.963568619333486</v>
      </c>
      <c r="P105" s="8">
        <f ca="1">+P104*(1+Deltas!P105)</f>
        <v>126.34331870115648</v>
      </c>
    </row>
    <row r="106" spans="1:16" x14ac:dyDescent="0.25">
      <c r="A106" vm="1594">
        <f ca="1"/>
        <v>45497</v>
      </c>
      <c r="B106" s="8">
        <f ca="1">+B105*(1+Deltas!B106)</f>
        <v>108.14099033695504</v>
      </c>
      <c r="C106" s="8">
        <f ca="1">+C105*(1+Deltas!C106)</f>
        <v>104.2007606315547</v>
      </c>
      <c r="D106" s="8">
        <f ca="1">+D105*(1+Deltas!D106)</f>
        <v>105.25669971532345</v>
      </c>
      <c r="E106" s="8">
        <f ca="1">+E105*(1+Deltas!E106)</f>
        <v>101.31209569144386</v>
      </c>
      <c r="F106" s="8">
        <f ca="1">+F105*(1+Deltas!F106)</f>
        <v>105.46139359698675</v>
      </c>
      <c r="G106" s="8">
        <f ca="1">+G105*(1+Deltas!G106)</f>
        <v>113.70400654129186</v>
      </c>
      <c r="H106" s="8">
        <f ca="1">+H105*(1+Deltas!H106)</f>
        <v>109.02380117642471</v>
      </c>
      <c r="I106" s="8">
        <f ca="1">+I105*(1+Deltas!I106)</f>
        <v>110.5546476977795</v>
      </c>
      <c r="J106" s="8">
        <f ca="1">+J105*(1+Deltas!J106)</f>
        <v>103.963165870148</v>
      </c>
      <c r="K106" s="8">
        <f ca="1">+K105*(1+Deltas!K106)</f>
        <v>87.475049900199679</v>
      </c>
      <c r="L106" s="8">
        <f ca="1">+L105*(1+Deltas!L106)</f>
        <v>111.4912606917069</v>
      </c>
      <c r="M106" s="8">
        <f ca="1">+M105*(1+Deltas!M106)</f>
        <v>108.02306631565759</v>
      </c>
      <c r="N106" s="8">
        <f ca="1">+N105*(1+Deltas!N106)</f>
        <v>145.1696928882734</v>
      </c>
      <c r="O106" s="8">
        <f ca="1">+O105*(1+Deltas!O106)</f>
        <v>96.97785137652663</v>
      </c>
      <c r="P106" s="8">
        <f ca="1">+P105*(1+Deltas!P106)</f>
        <v>116.75397113166649</v>
      </c>
    </row>
    <row r="107" spans="1:16" x14ac:dyDescent="0.25">
      <c r="A107" vm="1609">
        <f ca="1"/>
        <v>45498</v>
      </c>
      <c r="B107" s="8">
        <f ca="1">+B106*(1+Deltas!B107)</f>
        <v>110.27386972412772</v>
      </c>
      <c r="C107" s="8">
        <f ca="1">+C106*(1+Deltas!C107)</f>
        <v>103.63604932580385</v>
      </c>
      <c r="D107" s="8">
        <f ca="1">+D106*(1+Deltas!D107)</f>
        <v>102.67988612938058</v>
      </c>
      <c r="E107" s="8">
        <f ca="1">+E106*(1+Deltas!E107)</f>
        <v>104.58318076406682</v>
      </c>
      <c r="F107" s="8">
        <f ca="1">+F106*(1+Deltas!F107)</f>
        <v>104.77087256748267</v>
      </c>
      <c r="G107" s="8">
        <f ca="1">+G106*(1+Deltas!G107)</f>
        <v>113.74761515399285</v>
      </c>
      <c r="H107" s="8">
        <f ca="1">+H106*(1+Deltas!H107)</f>
        <v>109.01016711464293</v>
      </c>
      <c r="I107" s="8">
        <f ca="1">+I106*(1+Deltas!I107)</f>
        <v>112.88089974045948</v>
      </c>
      <c r="J107" s="8">
        <f ca="1">+J106*(1+Deltas!J107)</f>
        <v>100.27975288495159</v>
      </c>
      <c r="K107" s="8">
        <f ca="1">+K106*(1+Deltas!K107)</f>
        <v>87.200598802395291</v>
      </c>
      <c r="L107" s="8">
        <f ca="1">+L106*(1+Deltas!L107)</f>
        <v>112.23503161026399</v>
      </c>
      <c r="M107" s="8">
        <f ca="1">+M106*(1+Deltas!M107)</f>
        <v>103.67306004763702</v>
      </c>
      <c r="N107" s="8">
        <f ca="1">+N106*(1+Deltas!N107)</f>
        <v>142.66654807435745</v>
      </c>
      <c r="O107" s="8">
        <f ca="1">+O106*(1+Deltas!O107)</f>
        <v>97.785137652659927</v>
      </c>
      <c r="P107" s="8">
        <f ca="1">+P106*(1+Deltas!P107)</f>
        <v>115.14931763653058</v>
      </c>
    </row>
    <row r="108" spans="1:16" x14ac:dyDescent="0.25">
      <c r="A108" vm="1624">
        <f ca="1"/>
        <v>45499</v>
      </c>
      <c r="B108" s="8">
        <f ca="1">+B107*(1+Deltas!B108)</f>
        <v>110.04856556351089</v>
      </c>
      <c r="C108" s="8">
        <f ca="1">+C107*(1+Deltas!C108)</f>
        <v>105.16307479543622</v>
      </c>
      <c r="D108" s="8">
        <f ca="1">+D107*(1+Deltas!D108)</f>
        <v>104.36585844704034</v>
      </c>
      <c r="E108" s="8">
        <f ca="1">+E107*(1+Deltas!E108)</f>
        <v>106.56047845721953</v>
      </c>
      <c r="F108" s="8">
        <f ca="1">+F107*(1+Deltas!F108)</f>
        <v>106.15819209039542</v>
      </c>
      <c r="G108" s="8">
        <f ca="1">+G107*(1+Deltas!G108)</f>
        <v>115.69364949577536</v>
      </c>
      <c r="H108" s="8">
        <f ca="1">+H107*(1+Deltas!H108)</f>
        <v>110.9656811187721</v>
      </c>
      <c r="I108" s="8">
        <f ca="1">+I107*(1+Deltas!I108)</f>
        <v>112.78477362299336</v>
      </c>
      <c r="J108" s="8">
        <f ca="1">+J107*(1+Deltas!J108)</f>
        <v>101.78342464156657</v>
      </c>
      <c r="K108" s="8">
        <f ca="1">+K107*(1+Deltas!K108)</f>
        <v>88.473053892215646</v>
      </c>
      <c r="L108" s="8">
        <f ca="1">+L107*(1+Deltas!L108)</f>
        <v>114.42915582000738</v>
      </c>
      <c r="M108" s="8">
        <f ca="1">+M107*(1+Deltas!M108)</f>
        <v>106.03610379842051</v>
      </c>
      <c r="N108" s="8">
        <f ca="1">+N107*(1+Deltas!N108)</f>
        <v>143.65764094484194</v>
      </c>
      <c r="O108" s="8">
        <f ca="1">+O107*(1+Deltas!O108)</f>
        <v>99.10991513144279</v>
      </c>
      <c r="P108" s="8">
        <f ca="1">+P107*(1+Deltas!P108)</f>
        <v>116.9776968593537</v>
      </c>
    </row>
    <row r="109" spans="1:16" x14ac:dyDescent="0.25">
      <c r="A109" vm="1639">
        <f ca="1"/>
        <v>45502</v>
      </c>
      <c r="B109" s="8">
        <f ca="1">+B108*(1+Deltas!B109)</f>
        <v>116.20687928703767</v>
      </c>
      <c r="C109" s="8">
        <f ca="1">+C108*(1+Deltas!C109)</f>
        <v>105.56644001382968</v>
      </c>
      <c r="D109" s="8">
        <f ca="1">+D108*(1+Deltas!D109)</f>
        <v>104.72415824089528</v>
      </c>
      <c r="E109" s="8">
        <f ca="1">+E108*(1+Deltas!E109)</f>
        <v>107.57658977175632</v>
      </c>
      <c r="F109" s="8">
        <f ca="1">+F108*(1+Deltas!F109)</f>
        <v>106.67294413057118</v>
      </c>
      <c r="G109" s="8">
        <f ca="1">+G108*(1+Deltas!G109)</f>
        <v>114.93594985009534</v>
      </c>
      <c r="H109" s="8">
        <f ca="1">+H108*(1+Deltas!H109)</f>
        <v>110.38720735460241</v>
      </c>
      <c r="I109" s="8">
        <f ca="1">+I108*(1+Deltas!I109)</f>
        <v>111.60242237816013</v>
      </c>
      <c r="J109" s="8">
        <f ca="1">+J108*(1+Deltas!J109)</f>
        <v>100.71103858258535</v>
      </c>
      <c r="K109" s="8">
        <f ca="1">+K108*(1+Deltas!K109)</f>
        <v>87.974051896207655</v>
      </c>
      <c r="L109" s="8">
        <f ca="1">+L108*(1+Deltas!L109)</f>
        <v>114.24321309036812</v>
      </c>
      <c r="M109" s="8">
        <f ca="1">+M108*(1+Deltas!M109)</f>
        <v>106.07371192177517</v>
      </c>
      <c r="N109" s="8">
        <f ca="1">+N108*(1+Deltas!N109)</f>
        <v>141.78981207354425</v>
      </c>
      <c r="O109" s="8">
        <f ca="1">+O108*(1+Deltas!O109)</f>
        <v>99.337611260608597</v>
      </c>
      <c r="P109" s="8">
        <f ca="1">+P108*(1+Deltas!P109)</f>
        <v>115.88992694197792</v>
      </c>
    </row>
    <row r="110" spans="1:16" x14ac:dyDescent="0.25">
      <c r="A110" vm="1655">
        <f ca="1"/>
        <v>45503</v>
      </c>
      <c r="B110" s="8">
        <f ca="1">+B109*(1+Deltas!B110)</f>
        <v>111.46047163670971</v>
      </c>
      <c r="C110" s="8">
        <f ca="1">+C109*(1+Deltas!C110)</f>
        <v>104.70784833467791</v>
      </c>
      <c r="D110" s="8">
        <f ca="1">+D109*(1+Deltas!D110)</f>
        <v>103.78914302542458</v>
      </c>
      <c r="E110" s="8">
        <f ca="1">+E109*(1+Deltas!E110)</f>
        <v>107.35994141340161</v>
      </c>
      <c r="F110" s="8">
        <f ca="1">+F109*(1+Deltas!F110)</f>
        <v>101.50659133709974</v>
      </c>
      <c r="G110" s="8">
        <f ca="1">+G109*(1+Deltas!G110)</f>
        <v>117.30171708912506</v>
      </c>
      <c r="H110" s="8">
        <f ca="1">+H109*(1+Deltas!H110)</f>
        <v>112.25312609559418</v>
      </c>
      <c r="I110" s="8">
        <f ca="1">+I109*(1+Deltas!I110)</f>
        <v>113.59223300970872</v>
      </c>
      <c r="J110" s="8">
        <f ca="1">+J109*(1+Deltas!J110)</f>
        <v>103.01899988343624</v>
      </c>
      <c r="K110" s="8">
        <f ca="1">+K109*(1+Deltas!K110)</f>
        <v>91.691616766467149</v>
      </c>
      <c r="L110" s="8">
        <f ca="1">+L109*(1+Deltas!L110)</f>
        <v>116.73484566753436</v>
      </c>
      <c r="M110" s="8">
        <f ca="1">+M109*(1+Deltas!M110)</f>
        <v>108.80656888554603</v>
      </c>
      <c r="N110" s="8">
        <f ca="1">+N109*(1+Deltas!N110)</f>
        <v>131.80264545558515</v>
      </c>
      <c r="O110" s="8">
        <f ca="1">+O109*(1+Deltas!O110)</f>
        <v>99.648105982198317</v>
      </c>
      <c r="P110" s="8">
        <f ca="1">+P109*(1+Deltas!P110)</f>
        <v>110.72109116437673</v>
      </c>
    </row>
    <row r="111" spans="1:16" x14ac:dyDescent="0.25">
      <c r="A111" vm="1670">
        <f ca="1"/>
        <v>45504</v>
      </c>
      <c r="B111" s="8">
        <f ca="1">+B110*(1+Deltas!B111)</f>
        <v>116.1918590096632</v>
      </c>
      <c r="C111" s="8">
        <f ca="1">+C110*(1+Deltas!C111)</f>
        <v>107.74461219315432</v>
      </c>
      <c r="D111" s="8">
        <f ca="1">+D110*(1+Deltas!D111)</f>
        <v>102.66761558849517</v>
      </c>
      <c r="E111" s="8">
        <f ca="1">+E110*(1+Deltas!E111)</f>
        <v>107.04259733919193</v>
      </c>
      <c r="F111" s="8">
        <f ca="1">+F110*(1+Deltas!F111)</f>
        <v>100.91650973006898</v>
      </c>
      <c r="G111" s="8">
        <f ca="1">+G110*(1+Deltas!G111)</f>
        <v>115.99890978468245</v>
      </c>
      <c r="H111" s="8">
        <f ca="1">+H110*(1+Deltas!H111)</f>
        <v>112.22001480269556</v>
      </c>
      <c r="I111" s="8">
        <f ca="1">+I110*(1+Deltas!I111)</f>
        <v>113.99596270306641</v>
      </c>
      <c r="J111" s="8">
        <f ca="1">+J110*(1+Deltas!J111)</f>
        <v>103.26378365776891</v>
      </c>
      <c r="K111" s="8">
        <f ca="1">+K110*(1+Deltas!K111)</f>
        <v>94.311377245509064</v>
      </c>
      <c r="L111" s="8">
        <f ca="1">+L110*(1+Deltas!L111)</f>
        <v>113.57381926366675</v>
      </c>
      <c r="M111" s="8">
        <f ca="1">+M110*(1+Deltas!M111)</f>
        <v>107.25836780744649</v>
      </c>
      <c r="N111" s="8">
        <f ca="1">+N110*(1+Deltas!N111)</f>
        <v>148.68934321037861</v>
      </c>
      <c r="O111" s="8">
        <f ca="1">+O110*(1+Deltas!O111)</f>
        <v>100.28979507348376</v>
      </c>
      <c r="P111" s="8">
        <f ca="1">+P110*(1+Deltas!P111)</f>
        <v>123.95948249924784</v>
      </c>
    </row>
    <row r="112" spans="1:16" x14ac:dyDescent="0.25">
      <c r="A112" vm="1686">
        <f ca="1"/>
        <v>45505</v>
      </c>
      <c r="B112" s="8">
        <f ca="1">+B111*(1+Deltas!B112)</f>
        <v>108.57657838081427</v>
      </c>
      <c r="C112" s="8">
        <f ca="1">+C111*(1+Deltas!C112)</f>
        <v>106.0677653566901</v>
      </c>
      <c r="D112" s="8">
        <f ca="1">+D111*(1+Deltas!D112)</f>
        <v>102.36330617453621</v>
      </c>
      <c r="E112" s="8">
        <f ca="1">+E111*(1+Deltas!E112)</f>
        <v>106.91443915537647</v>
      </c>
      <c r="F112" s="8">
        <f ca="1">+F111*(1+Deltas!F112)</f>
        <v>104.01129943502818</v>
      </c>
      <c r="G112" s="8">
        <f ca="1">+G111*(1+Deltas!G112)</f>
        <v>113.36058871627145</v>
      </c>
      <c r="H112" s="8">
        <f ca="1">+H111*(1+Deltas!H112)</f>
        <v>111.55973666783521</v>
      </c>
      <c r="I112" s="8">
        <f ca="1">+I111*(1+Deltas!I112)</f>
        <v>112.41949437662213</v>
      </c>
      <c r="J112" s="8">
        <f ca="1">+J111*(1+Deltas!J112)</f>
        <v>98.997552162256625</v>
      </c>
      <c r="K112" s="8">
        <f ca="1">+K111*(1+Deltas!K112)</f>
        <v>89.670658682634809</v>
      </c>
      <c r="L112" s="8">
        <f ca="1">+L111*(1+Deltas!L112)</f>
        <v>113.98289326887316</v>
      </c>
      <c r="M112" s="8">
        <f ca="1">+M111*(1+Deltas!M112)</f>
        <v>111.18214867744773</v>
      </c>
      <c r="N112" s="8">
        <f ca="1">+N111*(1+Deltas!N112)</f>
        <v>138.76570818668131</v>
      </c>
      <c r="O112" s="8">
        <f ca="1">+O111*(1+Deltas!O112)</f>
        <v>98.095632374249647</v>
      </c>
      <c r="P112" s="8">
        <f ca="1">+P111*(1+Deltas!P112)</f>
        <v>113.42122925715346</v>
      </c>
    </row>
    <row r="113" spans="1:16" x14ac:dyDescent="0.25">
      <c r="A113" vm="1702">
        <f ca="1"/>
        <v>45506</v>
      </c>
      <c r="B113" s="8">
        <f ca="1">+B112*(1+Deltas!B113)</f>
        <v>103.97536674510604</v>
      </c>
      <c r="C113" s="8">
        <f ca="1">+C112*(1+Deltas!C113)</f>
        <v>96.750028811801329</v>
      </c>
      <c r="D113" s="8">
        <f ca="1">+D112*(1+Deltas!D113)</f>
        <v>100.24786492588596</v>
      </c>
      <c r="E113" s="8">
        <f ca="1">+E112*(1+Deltas!E113)</f>
        <v>105.95935554741845</v>
      </c>
      <c r="F113" s="8">
        <f ca="1">+F112*(1+Deltas!F113)</f>
        <v>106.76710608913993</v>
      </c>
      <c r="G113" s="8">
        <f ca="1">+G112*(1+Deltas!G113)</f>
        <v>108.55273916598526</v>
      </c>
      <c r="H113" s="8">
        <f ca="1">+H112*(1+Deltas!H113)</f>
        <v>114.88255229636546</v>
      </c>
      <c r="I113" s="8">
        <f ca="1">+I112*(1+Deltas!I113)</f>
        <v>112.35220609439583</v>
      </c>
      <c r="J113" s="8">
        <f ca="1">+J112*(1+Deltas!J113)</f>
        <v>95.127637253759119</v>
      </c>
      <c r="K113" s="8">
        <f ca="1">+K112*(1+Deltas!K113)</f>
        <v>89.99500998004001</v>
      </c>
      <c r="L113" s="8">
        <f ca="1">+L112*(1+Deltas!L113)</f>
        <v>113.16474525846036</v>
      </c>
      <c r="M113" s="8">
        <f ca="1">+M112*(1+Deltas!M113)</f>
        <v>110.8311395261377</v>
      </c>
      <c r="N113" s="8">
        <f ca="1">+N112*(1+Deltas!N113)</f>
        <v>136.30068232932246</v>
      </c>
      <c r="O113" s="8">
        <f ca="1">+O112*(1+Deltas!O113)</f>
        <v>96.58455806251294</v>
      </c>
      <c r="P113" s="8">
        <f ca="1">+P112*(1+Deltas!P113)</f>
        <v>110.95253157232899</v>
      </c>
    </row>
    <row r="114" spans="1:16" x14ac:dyDescent="0.25">
      <c r="A114" vm="1716">
        <f ca="1"/>
        <v>45509</v>
      </c>
      <c r="B114" s="8">
        <f ca="1">+B113*(1+Deltas!B114)</f>
        <v>99.57442547439058</v>
      </c>
      <c r="C114" s="8">
        <f ca="1">+C113*(1+Deltas!C114)</f>
        <v>92.785524951019966</v>
      </c>
      <c r="D114" s="8">
        <f ca="1">+D113*(1+Deltas!D114)</f>
        <v>96.974084617649964</v>
      </c>
      <c r="E114" s="8">
        <f ca="1">+E113*(1+Deltas!E114)</f>
        <v>103.46942511900394</v>
      </c>
      <c r="F114" s="8">
        <f ca="1">+F113*(1+Deltas!F114)</f>
        <v>105.49905838041425</v>
      </c>
      <c r="G114" s="8">
        <f ca="1">+G113*(1+Deltas!G114)</f>
        <v>106.24148269283182</v>
      </c>
      <c r="H114" s="8">
        <f ca="1">+H113*(1+Deltas!H114)</f>
        <v>111.01242647345245</v>
      </c>
      <c r="I114" s="8">
        <f ca="1">+I113*(1+Deltas!I114)</f>
        <v>110.32394501586079</v>
      </c>
      <c r="J114" s="8">
        <f ca="1">+J113*(1+Deltas!J114)</f>
        <v>96.025177759645601</v>
      </c>
      <c r="K114" s="8">
        <f ca="1">+K113*(1+Deltas!K114)</f>
        <v>88.972055888223636</v>
      </c>
      <c r="L114" s="8">
        <f ca="1">+L113*(1+Deltas!L114)</f>
        <v>110.59873558943841</v>
      </c>
      <c r="M114" s="8">
        <f ca="1">+M113*(1+Deltas!M114)</f>
        <v>105.94208349003392</v>
      </c>
      <c r="N114" s="8">
        <f ca="1">+N113*(1+Deltas!N114)</f>
        <v>127.63497287200933</v>
      </c>
      <c r="O114" s="8">
        <f ca="1">+O113*(1+Deltas!O114)</f>
        <v>92.610225626164379</v>
      </c>
      <c r="P114" s="8">
        <f ca="1">+P113*(1+Deltas!P114)</f>
        <v>109.61017720620571</v>
      </c>
    </row>
    <row r="115" spans="1:16" x14ac:dyDescent="0.25">
      <c r="A115" vm="1730">
        <f ca="1"/>
        <v>45510</v>
      </c>
      <c r="B115" s="8">
        <f ca="1">+B114*(1+Deltas!B115)</f>
        <v>100.45561508035864</v>
      </c>
      <c r="C115" s="8">
        <f ca="1">+C114*(1+Deltas!C115)</f>
        <v>93.309899734931449</v>
      </c>
      <c r="D115" s="8">
        <f ca="1">+D114*(1+Deltas!D115)</f>
        <v>98.068616864631423</v>
      </c>
      <c r="E115" s="8">
        <f ca="1">+E114*(1+Deltas!E115)</f>
        <v>105.00427193946042</v>
      </c>
      <c r="F115" s="8">
        <f ca="1">+F114*(1+Deltas!F115)</f>
        <v>105.517890772128</v>
      </c>
      <c r="G115" s="8">
        <f ca="1">+G114*(1+Deltas!G115)</f>
        <v>109.20686835650039</v>
      </c>
      <c r="H115" s="8">
        <f ca="1">+H114*(1+Deltas!H115)</f>
        <v>110.69884305247157</v>
      </c>
      <c r="I115" s="8">
        <f ca="1">+I114*(1+Deltas!I115)</f>
        <v>109.73757569931749</v>
      </c>
      <c r="J115" s="8">
        <f ca="1">+J114*(1+Deltas!J115)</f>
        <v>96.80615456346888</v>
      </c>
      <c r="K115" s="8">
        <f ca="1">+K114*(1+Deltas!K115)</f>
        <v>90.693612774451196</v>
      </c>
      <c r="L115" s="8">
        <f ca="1">+L114*(1+Deltas!L115)</f>
        <v>109.03681666046853</v>
      </c>
      <c r="M115" s="8">
        <f ca="1">+M114*(1+Deltas!M115)</f>
        <v>106.42472107308518</v>
      </c>
      <c r="N115" s="8">
        <f ca="1">+N114*(1+Deltas!N115)</f>
        <v>132.46337403590812</v>
      </c>
      <c r="O115" s="8">
        <f ca="1">+O114*(1+Deltas!O115)</f>
        <v>93.479610846615614</v>
      </c>
      <c r="P115" s="8">
        <f ca="1">+P114*(1+Deltas!P115)</f>
        <v>111.02967837497975</v>
      </c>
    </row>
    <row r="116" spans="1:16" x14ac:dyDescent="0.25">
      <c r="A116" vm="1745">
        <f ca="1"/>
        <v>45511</v>
      </c>
      <c r="B116" s="8">
        <f ca="1">+B115*(1+Deltas!B116)</f>
        <v>96.009612977519808</v>
      </c>
      <c r="C116" s="8">
        <f ca="1">+C115*(1+Deltas!C116)</f>
        <v>93.79393799700361</v>
      </c>
      <c r="D116" s="8">
        <f ca="1">+D115*(1+Deltas!D116)</f>
        <v>97.779032099734991</v>
      </c>
      <c r="E116" s="8">
        <f ca="1">+E115*(1+Deltas!E116)</f>
        <v>103.65861100939816</v>
      </c>
      <c r="F116" s="8">
        <f ca="1">+F115*(1+Deltas!F116)</f>
        <v>106.72944130571244</v>
      </c>
      <c r="G116" s="8">
        <f ca="1">+G115*(1+Deltas!G116)</f>
        <v>109.23957481602616</v>
      </c>
      <c r="H116" s="8">
        <f ca="1">+H115*(1+Deltas!H116)</f>
        <v>110.25670990611967</v>
      </c>
      <c r="I116" s="8">
        <f ca="1">+I115*(1+Deltas!I116)</f>
        <v>111.19869268480245</v>
      </c>
      <c r="J116" s="8">
        <f ca="1">+J115*(1+Deltas!J116)</f>
        <v>98.566266464622856</v>
      </c>
      <c r="K116" s="8">
        <f ca="1">+K115*(1+Deltas!K116)</f>
        <v>91.04291417165679</v>
      </c>
      <c r="L116" s="8">
        <f ca="1">+L115*(1+Deltas!L116)</f>
        <v>107.28895500185939</v>
      </c>
      <c r="M116" s="8">
        <f ca="1">+M115*(1+Deltas!M116)</f>
        <v>106.97630688228664</v>
      </c>
      <c r="N116" s="8">
        <f ca="1">+N115*(1+Deltas!N116)</f>
        <v>125.67819976874505</v>
      </c>
      <c r="O116" s="8">
        <f ca="1">+O115*(1+Deltas!O116)</f>
        <v>93.396812254191687</v>
      </c>
      <c r="P116" s="8">
        <f ca="1">+P115*(1+Deltas!P116)</f>
        <v>105.12794797219631</v>
      </c>
    </row>
    <row r="117" spans="1:16" x14ac:dyDescent="0.25">
      <c r="A117" vm="1760">
        <f ca="1"/>
        <v>45512</v>
      </c>
      <c r="B117" s="8">
        <f ca="1">+B116*(1+Deltas!B117)</f>
        <v>99.554398437891308</v>
      </c>
      <c r="C117" s="8">
        <f ca="1">+C116*(1+Deltas!C117)</f>
        <v>95.539933156621004</v>
      </c>
      <c r="D117" s="8">
        <f ca="1">+D116*(1+Deltas!D117)</f>
        <v>98.824482183174666</v>
      </c>
      <c r="E117" s="8">
        <f ca="1">+E116*(1+Deltas!E117)</f>
        <v>104.57402660807996</v>
      </c>
      <c r="F117" s="8">
        <f ca="1">+F116*(1+Deltas!F117)</f>
        <v>107.26302573760195</v>
      </c>
      <c r="G117" s="8">
        <f ca="1">+G116*(1+Deltas!G117)</f>
        <v>111.2346688470973</v>
      </c>
      <c r="H117" s="8">
        <f ca="1">+H116*(1+Deltas!H117)</f>
        <v>110.28787347590659</v>
      </c>
      <c r="I117" s="8">
        <f ca="1">+I116*(1+Deltas!I117)</f>
        <v>113.3230798808036</v>
      </c>
      <c r="J117" s="8">
        <f ca="1">+J116*(1+Deltas!J117)</f>
        <v>98.414733651940736</v>
      </c>
      <c r="K117" s="8">
        <f ca="1">+K116*(1+Deltas!K117)</f>
        <v>91.392215568862369</v>
      </c>
      <c r="L117" s="8">
        <f ca="1">+L116*(1+Deltas!L117)</f>
        <v>106.95425808850869</v>
      </c>
      <c r="M117" s="8">
        <f ca="1">+M116*(1+Deltas!M117)</f>
        <v>106.88228657390005</v>
      </c>
      <c r="N117" s="8">
        <f ca="1">+N116*(1+Deltas!N117)</f>
        <v>133.37822899327841</v>
      </c>
      <c r="O117" s="8">
        <f ca="1">+O116*(1+Deltas!O117)</f>
        <v>94.86648726971643</v>
      </c>
      <c r="P117" s="8">
        <f ca="1">+P116*(1+Deltas!P117)</f>
        <v>112.43375018322367</v>
      </c>
    </row>
    <row r="118" spans="1:16" x14ac:dyDescent="0.25">
      <c r="A118" vm="1776">
        <f ca="1"/>
        <v>45513</v>
      </c>
      <c r="B118" s="8">
        <f ca="1">+B117*(1+Deltas!B118)</f>
        <v>100.13518249637026</v>
      </c>
      <c r="C118" s="8">
        <f ca="1">+C117*(1+Deltas!C118)</f>
        <v>96.196842226576038</v>
      </c>
      <c r="D118" s="8">
        <f ca="1">+D117*(1+Deltas!D118)</f>
        <v>99.641700206145103</v>
      </c>
      <c r="E118" s="8">
        <f ca="1">+E117*(1+Deltas!E118)</f>
        <v>105.46808250945919</v>
      </c>
      <c r="F118" s="8">
        <f ca="1">+F117*(1+Deltas!F118)</f>
        <v>107.05586942875071</v>
      </c>
      <c r="G118" s="8">
        <f ca="1">+G117*(1+Deltas!G118)</f>
        <v>112.18315617334423</v>
      </c>
      <c r="H118" s="8">
        <f ca="1">+H117*(1+Deltas!H118)</f>
        <v>108.83097658836812</v>
      </c>
      <c r="I118" s="8">
        <f ca="1">+I117*(1+Deltas!I118)</f>
        <v>114.24589060847832</v>
      </c>
      <c r="J118" s="8">
        <f ca="1">+J117*(1+Deltas!J118)</f>
        <v>98.379764541321777</v>
      </c>
      <c r="K118" s="8">
        <f ca="1">+K117*(1+Deltas!K118)</f>
        <v>91.866267465069953</v>
      </c>
      <c r="L118" s="8">
        <f ca="1">+L117*(1+Deltas!L118)</f>
        <v>106.17329862402376</v>
      </c>
      <c r="M118" s="8">
        <f ca="1">+M117*(1+Deltas!M118)</f>
        <v>107.20195562241453</v>
      </c>
      <c r="N118" s="8">
        <f ca="1">+N117*(1+Deltas!N118)</f>
        <v>133.09868997852638</v>
      </c>
      <c r="O118" s="8">
        <f ca="1">+O117*(1+Deltas!O118)</f>
        <v>94.121299937901071</v>
      </c>
      <c r="P118" s="8">
        <f ca="1">+P117*(1+Deltas!P118)</f>
        <v>114.37784961002291</v>
      </c>
    </row>
    <row r="119" spans="1:16" x14ac:dyDescent="0.25">
      <c r="A119" vm="1791">
        <f ca="1"/>
        <v>45516</v>
      </c>
      <c r="B119" s="8">
        <f ca="1">+B118*(1+Deltas!B119)</f>
        <v>98.878485956040819</v>
      </c>
      <c r="C119" s="8">
        <f ca="1">+C118*(1+Deltas!C119)</f>
        <v>96.116169182897352</v>
      </c>
      <c r="D119" s="8">
        <f ca="1">+D118*(1+Deltas!D119)</f>
        <v>99.835574752135088</v>
      </c>
      <c r="E119" s="8">
        <f ca="1">+E118*(1+Deltas!E119)</f>
        <v>104.73575003051376</v>
      </c>
      <c r="F119" s="8">
        <f ca="1">+F118*(1+Deltas!F119)</f>
        <v>104.71437539234142</v>
      </c>
      <c r="G119" s="8">
        <f ca="1">+G118*(1+Deltas!G119)</f>
        <v>112.39574816026165</v>
      </c>
      <c r="H119" s="8">
        <f ca="1">+H118*(1+Deltas!H119)</f>
        <v>110.10283978029675</v>
      </c>
      <c r="I119" s="8">
        <f ca="1">+I118*(1+Deltas!I119)</f>
        <v>114.3900797846775</v>
      </c>
      <c r="J119" s="8">
        <f ca="1">+J118*(1+Deltas!J119)</f>
        <v>98.75276838792395</v>
      </c>
      <c r="K119" s="8">
        <f ca="1">+K118*(1+Deltas!K119)</f>
        <v>91.192614770459173</v>
      </c>
      <c r="L119" s="8">
        <f ca="1">+L118*(1+Deltas!L119)</f>
        <v>105.80141316474521</v>
      </c>
      <c r="M119" s="8">
        <f ca="1">+M118*(1+Deltas!M119)</f>
        <v>107.40880030086507</v>
      </c>
      <c r="N119" s="8">
        <f ca="1">+N118*(1+Deltas!N119)</f>
        <v>138.52428812848635</v>
      </c>
      <c r="O119" s="8">
        <f ca="1">+O118*(1+Deltas!O119)</f>
        <v>92.85862140343616</v>
      </c>
      <c r="P119" s="8">
        <f ca="1">+P118*(1+Deltas!P119)</f>
        <v>114.65557809956567</v>
      </c>
    </row>
    <row r="120" spans="1:16" x14ac:dyDescent="0.25">
      <c r="A120" vm="1804">
        <f ca="1"/>
        <v>45517</v>
      </c>
      <c r="B120" s="8">
        <f ca="1">+B119*(1+Deltas!B120)</f>
        <v>104.05547489110316</v>
      </c>
      <c r="C120" s="8">
        <f ca="1">+C119*(1+Deltas!C120)</f>
        <v>98.092658753025262</v>
      </c>
      <c r="D120" s="8">
        <f ca="1">+D119*(1+Deltas!D120)</f>
        <v>101.60253263963877</v>
      </c>
      <c r="E120" s="8">
        <f ca="1">+E119*(1+Deltas!E120)</f>
        <v>106.51775906261433</v>
      </c>
      <c r="F120" s="8">
        <f ca="1">+F119*(1+Deltas!F120)</f>
        <v>105.01569365976137</v>
      </c>
      <c r="G120" s="8">
        <f ca="1">+G119*(1+Deltas!G120)</f>
        <v>113.3496865630962</v>
      </c>
      <c r="H120" s="8">
        <f ca="1">+H119*(1+Deltas!H120)</f>
        <v>111.84605196525253</v>
      </c>
      <c r="I120" s="8">
        <f ca="1">+I119*(1+Deltas!I120)</f>
        <v>113.29424204556378</v>
      </c>
      <c r="J120" s="8">
        <f ca="1">+J119*(1+Deltas!J120)</f>
        <v>103.81163305746587</v>
      </c>
      <c r="K120" s="8">
        <f ca="1">+K119*(1+Deltas!K120)</f>
        <v>92.271706586826454</v>
      </c>
      <c r="L120" s="8">
        <f ca="1">+L119*(1+Deltas!L120)</f>
        <v>107.28895500185939</v>
      </c>
      <c r="M120" s="8">
        <f ca="1">+M119*(1+Deltas!M120)</f>
        <v>107.78488153441151</v>
      </c>
      <c r="N120" s="8">
        <f ca="1">+N119*(1+Deltas!N120)</f>
        <v>147.57118715137042</v>
      </c>
      <c r="O120" s="8">
        <f ca="1">+O119*(1+Deltas!O120)</f>
        <v>93.914303456841253</v>
      </c>
      <c r="P120" s="8">
        <f ca="1">+P119*(1+Deltas!P120)</f>
        <v>120.47244701943328</v>
      </c>
    </row>
    <row r="121" spans="1:16" x14ac:dyDescent="0.25">
      <c r="A121" vm="1818">
        <f ca="1"/>
        <v>45518</v>
      </c>
      <c r="B121" s="8">
        <f ca="1">+B120*(1+Deltas!B121)</f>
        <v>100.82611525559521</v>
      </c>
      <c r="C121" s="8">
        <f ca="1">+C120*(1+Deltas!C121)</f>
        <v>98.01774806960934</v>
      </c>
      <c r="D121" s="8">
        <f ca="1">+D120*(1+Deltas!D121)</f>
        <v>102.30195347010898</v>
      </c>
      <c r="E121" s="8">
        <f ca="1">+E120*(1+Deltas!E121)</f>
        <v>107.45453435859871</v>
      </c>
      <c r="F121" s="8">
        <f ca="1">+F120*(1+Deltas!F121)</f>
        <v>105.96359070935335</v>
      </c>
      <c r="G121" s="8">
        <f ca="1">+G120*(1+Deltas!G121)</f>
        <v>114.6034341782502</v>
      </c>
      <c r="H121" s="8">
        <f ca="1">+H120*(1+Deltas!H121)</f>
        <v>112.9036656148961</v>
      </c>
      <c r="I121" s="8">
        <f ca="1">+I120*(1+Deltas!I121)</f>
        <v>114.34201672594443</v>
      </c>
      <c r="J121" s="8">
        <f ca="1">+J120*(1+Deltas!J121)</f>
        <v>103.73003846602163</v>
      </c>
      <c r="K121" s="8">
        <f ca="1">+K120*(1+Deltas!K121)</f>
        <v>92.539920159680747</v>
      </c>
      <c r="L121" s="8">
        <f ca="1">+L120*(1+Deltas!L121)</f>
        <v>107.40052063964295</v>
      </c>
      <c r="M121" s="8">
        <f ca="1">+M120*(1+Deltas!M121)</f>
        <v>113.41983201704909</v>
      </c>
      <c r="N121" s="8">
        <f ca="1">+N120*(1+Deltas!N121)</f>
        <v>150.03621300872928</v>
      </c>
      <c r="O121" s="8">
        <f ca="1">+O120*(1+Deltas!O121)</f>
        <v>94.059200993583133</v>
      </c>
      <c r="P121" s="8">
        <f ca="1">+P120*(1+Deltas!P121)</f>
        <v>121.65279309998998</v>
      </c>
    </row>
    <row r="122" spans="1:16" x14ac:dyDescent="0.25">
      <c r="A122" vm="1833">
        <f ca="1"/>
        <v>45519</v>
      </c>
      <c r="B122" s="8">
        <f ca="1">+B121*(1+Deltas!B122)</f>
        <v>107.21473989886364</v>
      </c>
      <c r="C122" s="8">
        <f ca="1">+C121*(1+Deltas!C122)</f>
        <v>102.3337559064193</v>
      </c>
      <c r="D122" s="8">
        <f ca="1">+D121*(1+Deltas!D122)</f>
        <v>103.32531657995486</v>
      </c>
      <c r="E122" s="8">
        <f ca="1">+E121*(1+Deltas!E122)</f>
        <v>108.77273282070053</v>
      </c>
      <c r="F122" s="8">
        <f ca="1">+F121*(1+Deltas!F122)</f>
        <v>105.41117388575007</v>
      </c>
      <c r="G122" s="8">
        <f ca="1">+G121*(1+Deltas!G122)</f>
        <v>115.3175252112292</v>
      </c>
      <c r="H122" s="8">
        <f ca="1">+H121*(1+Deltas!H122)</f>
        <v>112.89197927622601</v>
      </c>
      <c r="I122" s="8">
        <f ca="1">+I121*(1+Deltas!I122)</f>
        <v>114.13053926751897</v>
      </c>
      <c r="J122" s="8">
        <f ca="1">+J121*(1+Deltas!J122)</f>
        <v>103.11225084508679</v>
      </c>
      <c r="K122" s="8">
        <f ca="1">+K121*(1+Deltas!K122)</f>
        <v>93.73752495009991</v>
      </c>
      <c r="L122" s="8">
        <f ca="1">+L121*(1+Deltas!L122)</f>
        <v>106.76831535886943</v>
      </c>
      <c r="M122" s="8">
        <f ca="1">+M121*(1+Deltas!M122)</f>
        <v>111.63971417826259</v>
      </c>
      <c r="N122" s="8">
        <f ca="1">+N121*(1+Deltas!N122)</f>
        <v>156.1098334201599</v>
      </c>
      <c r="O122" s="8">
        <f ca="1">+O121*(1+Deltas!O122)</f>
        <v>100.45539225833163</v>
      </c>
      <c r="P122" s="8">
        <f ca="1">+P121*(1+Deltas!P122)</f>
        <v>128.16398324371448</v>
      </c>
    </row>
    <row r="123" spans="1:16" x14ac:dyDescent="0.25">
      <c r="A123" vm="1849">
        <f ca="1"/>
        <v>45520</v>
      </c>
      <c r="B123" s="8">
        <f ca="1">+B122*(1+Deltas!B123)</f>
        <v>108.20607820557773</v>
      </c>
      <c r="C123" s="8">
        <f ca="1">+C122*(1+Deltas!C123)</f>
        <v>102.02835081249283</v>
      </c>
      <c r="D123" s="8">
        <f ca="1">+D122*(1+Deltas!D123)</f>
        <v>102.69706488662023</v>
      </c>
      <c r="E123" s="8">
        <f ca="1">+E122*(1+Deltas!E123)</f>
        <v>108.14109605761007</v>
      </c>
      <c r="F123" s="8">
        <f ca="1">+F122*(1+Deltas!F123)</f>
        <v>105.39234149403633</v>
      </c>
      <c r="G123" s="8">
        <f ca="1">+G122*(1+Deltas!G123)</f>
        <v>116.6366857454347</v>
      </c>
      <c r="H123" s="8">
        <f ca="1">+H122*(1+Deltas!H123)</f>
        <v>112.51606871567128</v>
      </c>
      <c r="I123" s="8">
        <f ca="1">+I122*(1+Deltas!I123)</f>
        <v>113.59223300970872</v>
      </c>
      <c r="J123" s="8">
        <f ca="1">+J122*(1+Deltas!J123)</f>
        <v>105.18708474181133</v>
      </c>
      <c r="K123" s="8">
        <f ca="1">+K122*(1+Deltas!K123)</f>
        <v>94.58582834331348</v>
      </c>
      <c r="L123" s="8">
        <f ca="1">+L122*(1+Deltas!L123)</f>
        <v>105.2435849758274</v>
      </c>
      <c r="M123" s="8">
        <f ca="1">+M122*(1+Deltas!M123)</f>
        <v>112.59872132380602</v>
      </c>
      <c r="N123" s="8">
        <f ca="1">+N122*(1+Deltas!N123)</f>
        <v>158.29532026276672</v>
      </c>
      <c r="O123" s="8">
        <f ca="1">+O122*(1+Deltas!O123)</f>
        <v>102.38045953218796</v>
      </c>
      <c r="P123" s="8">
        <f ca="1">+P122*(1+Deltas!P123)</f>
        <v>127.84768135284635</v>
      </c>
    </row>
    <row r="124" spans="1:16" x14ac:dyDescent="0.25">
      <c r="A124" vm="1863">
        <f ca="1"/>
        <v>45523</v>
      </c>
      <c r="B124" s="8">
        <f ca="1">+B123*(1+Deltas!B124)</f>
        <v>111.51053922795793</v>
      </c>
      <c r="C124" s="8">
        <f ca="1">+C123*(1+Deltas!C124)</f>
        <v>102.69678460297341</v>
      </c>
      <c r="D124" s="8">
        <f ca="1">+D123*(1+Deltas!D124)</f>
        <v>103.44802198880929</v>
      </c>
      <c r="E124" s="8">
        <f ca="1">+E123*(1+Deltas!E124)</f>
        <v>108.62931771024039</v>
      </c>
      <c r="F124" s="8">
        <f ca="1">+F123*(1+Deltas!F124)</f>
        <v>105.72504708097919</v>
      </c>
      <c r="G124" s="8">
        <f ca="1">+G123*(1+Deltas!G124)</f>
        <v>117.44344508040335</v>
      </c>
      <c r="H124" s="8">
        <f ca="1">+H123*(1+Deltas!H124)</f>
        <v>112.73031825795634</v>
      </c>
      <c r="I124" s="8">
        <f ca="1">+I123*(1+Deltas!I124)</f>
        <v>113.93828703258674</v>
      </c>
      <c r="J124" s="8">
        <f ca="1">+J123*(1+Deltas!J124)</f>
        <v>106.59750553677578</v>
      </c>
      <c r="K124" s="8">
        <f ca="1">+K123*(1+Deltas!K124)</f>
        <v>95.658682634730667</v>
      </c>
      <c r="L124" s="8">
        <f ca="1">+L123*(1+Deltas!L124)</f>
        <v>107.1030122722201</v>
      </c>
      <c r="M124" s="8">
        <f ca="1">+M123*(1+Deltas!M124)</f>
        <v>113.21298733859855</v>
      </c>
      <c r="N124" s="8">
        <f ca="1">+N123*(1+Deltas!N124)</f>
        <v>165.18214508074871</v>
      </c>
      <c r="O124" s="8">
        <f ca="1">+O123*(1+Deltas!O124)</f>
        <v>103.45684123369902</v>
      </c>
      <c r="P124" s="8">
        <f ca="1">+P123*(1+Deltas!P124)</f>
        <v>129.38290272559658</v>
      </c>
    </row>
    <row r="125" spans="1:16" x14ac:dyDescent="0.25">
      <c r="A125" vm="1877">
        <f ca="1"/>
        <v>45524</v>
      </c>
      <c r="B125" s="8">
        <f ca="1">+B124*(1+Deltas!B125)</f>
        <v>110.69944424973734</v>
      </c>
      <c r="C125" s="8">
        <f ca="1">+C124*(1+Deltas!C125)</f>
        <v>103.07710038031581</v>
      </c>
      <c r="D125" s="8">
        <f ca="1">+D124*(1+Deltas!D125)</f>
        <v>104.25051536271722</v>
      </c>
      <c r="E125" s="8">
        <f ca="1">+E124*(1+Deltas!E125)</f>
        <v>108.42792627853039</v>
      </c>
      <c r="F125" s="8">
        <f ca="1">+F124*(1+Deltas!F125)</f>
        <v>106.97426239799114</v>
      </c>
      <c r="G125" s="8">
        <f ca="1">+G124*(1+Deltas!G125)</f>
        <v>116.93649495775414</v>
      </c>
      <c r="H125" s="8">
        <f ca="1">+H124*(1+Deltas!H125)</f>
        <v>113.09454247984095</v>
      </c>
      <c r="I125" s="8">
        <f ca="1">+I124*(1+Deltas!I125)</f>
        <v>110.14130539267518</v>
      </c>
      <c r="J125" s="8">
        <f ca="1">+J124*(1+Deltas!J125)</f>
        <v>105.82818510315883</v>
      </c>
      <c r="K125" s="8">
        <f ca="1">+K124*(1+Deltas!K125)</f>
        <v>95.958083832335447</v>
      </c>
      <c r="L125" s="8">
        <f ca="1">+L124*(1+Deltas!L125)</f>
        <v>107.47489773149863</v>
      </c>
      <c r="M125" s="8">
        <f ca="1">+M124*(1+Deltas!M125)</f>
        <v>113.08135890685729</v>
      </c>
      <c r="N125" s="8">
        <f ca="1">+N124*(1+Deltas!N125)</f>
        <v>161.68790739634827</v>
      </c>
      <c r="O125" s="8">
        <f ca="1">+O124*(1+Deltas!O125)</f>
        <v>103.99503208445456</v>
      </c>
      <c r="P125" s="8">
        <f ca="1">+P124*(1+Deltas!P125)</f>
        <v>128.0251189989431</v>
      </c>
    </row>
    <row r="126" spans="1:16" x14ac:dyDescent="0.25">
      <c r="A126" vm="1893">
        <f ca="1"/>
        <v>45525</v>
      </c>
      <c r="B126" s="8">
        <f ca="1">+B125*(1+Deltas!B126)</f>
        <v>111.78591097982296</v>
      </c>
      <c r="C126" s="8">
        <f ca="1">+C125*(1+Deltas!C126)</f>
        <v>103.78587069263574</v>
      </c>
      <c r="D126" s="8">
        <f ca="1">+D125*(1+Deltas!D126)</f>
        <v>104.08854422302937</v>
      </c>
      <c r="E126" s="8">
        <f ca="1">+E125*(1+Deltas!E126)</f>
        <v>109.23044062004145</v>
      </c>
      <c r="F126" s="8">
        <f ca="1">+F125*(1+Deltas!F126)</f>
        <v>106.81732580037658</v>
      </c>
      <c r="G126" s="8">
        <f ca="1">+G125*(1+Deltas!G126)</f>
        <v>116.98010357045514</v>
      </c>
      <c r="H126" s="8">
        <f ca="1">+H125*(1+Deltas!H126)</f>
        <v>112.59202991702689</v>
      </c>
      <c r="I126" s="8">
        <f ca="1">+I125*(1+Deltas!I126)</f>
        <v>109.43958473517253</v>
      </c>
      <c r="J126" s="8">
        <f ca="1">+J125*(1+Deltas!J126)</f>
        <v>108.15945914442239</v>
      </c>
      <c r="K126" s="8">
        <f ca="1">+K125*(1+Deltas!K126)</f>
        <v>96.606786427145806</v>
      </c>
      <c r="L126" s="8">
        <f ca="1">+L125*(1+Deltas!L126)</f>
        <v>107.95834882856076</v>
      </c>
      <c r="M126" s="8">
        <f ca="1">+M125*(1+Deltas!M126)</f>
        <v>112.09727967907743</v>
      </c>
      <c r="N126" s="8">
        <f ca="1">+N125*(1+Deltas!N126)</f>
        <v>163.27619725289395</v>
      </c>
      <c r="O126" s="8">
        <f ca="1">+O125*(1+Deltas!O126)</f>
        <v>104.42972469468019</v>
      </c>
      <c r="P126" s="8">
        <f ca="1">+P125*(1+Deltas!P126)</f>
        <v>127.8939694344368</v>
      </c>
    </row>
    <row r="127" spans="1:16" x14ac:dyDescent="0.25">
      <c r="A127" vm="1908">
        <f ca="1"/>
        <v>45526</v>
      </c>
      <c r="B127" s="8">
        <f ca="1">+B126*(1+Deltas!B127)</f>
        <v>105.47238772342681</v>
      </c>
      <c r="C127" s="8">
        <f ca="1">+C126*(1+Deltas!C127)</f>
        <v>101.49245130805581</v>
      </c>
      <c r="D127" s="8">
        <f ca="1">+D126*(1+Deltas!D127)</f>
        <v>101.9804652989104</v>
      </c>
      <c r="E127" s="8">
        <f ca="1">+E126*(1+Deltas!E127)</f>
        <v>109.21213230806781</v>
      </c>
      <c r="F127" s="8">
        <f ca="1">+F126*(1+Deltas!F127)</f>
        <v>106.81104833647201</v>
      </c>
      <c r="G127" s="8">
        <f ca="1">+G126*(1+Deltas!G127)</f>
        <v>118.08667211774323</v>
      </c>
      <c r="H127" s="8">
        <f ca="1">+H126*(1+Deltas!H127)</f>
        <v>112.71863191928624</v>
      </c>
      <c r="I127" s="8">
        <f ca="1">+I126*(1+Deltas!I127)</f>
        <v>110.28549456887436</v>
      </c>
      <c r="J127" s="8">
        <f ca="1">+J126*(1+Deltas!J127)</f>
        <v>106.41100361347472</v>
      </c>
      <c r="K127" s="8">
        <f ca="1">+K126*(1+Deltas!K127)</f>
        <v>95.808383233533036</v>
      </c>
      <c r="L127" s="8">
        <f ca="1">+L126*(1+Deltas!L127)</f>
        <v>107.0286351803644</v>
      </c>
      <c r="M127" s="8">
        <f ca="1">+M126*(1+Deltas!M127)</f>
        <v>113.59533659270409</v>
      </c>
      <c r="N127" s="8">
        <f ca="1">+N126*(1+Deltas!N127)</f>
        <v>157.22798947916806</v>
      </c>
      <c r="O127" s="8">
        <f ca="1">+O126*(1+Deltas!O127)</f>
        <v>103.95363278824259</v>
      </c>
      <c r="P127" s="8">
        <f ca="1">+P126*(1+Deltas!P127)</f>
        <v>125.24011942325052</v>
      </c>
    </row>
    <row r="128" spans="1:16" x14ac:dyDescent="0.25">
      <c r="A128" vm="1923">
        <f ca="1"/>
        <v>45527</v>
      </c>
      <c r="B128" s="8">
        <f ca="1">+B127*(1+Deltas!B128)</f>
        <v>110.3089170380015</v>
      </c>
      <c r="C128" s="8">
        <f ca="1">+C127*(1+Deltas!C128)</f>
        <v>102.01682609196729</v>
      </c>
      <c r="D128" s="8">
        <f ca="1">+D127*(1+Deltas!D128)</f>
        <v>102.28477471286938</v>
      </c>
      <c r="E128" s="8">
        <f ca="1">+E127*(1+Deltas!E128)</f>
        <v>109.46234590504083</v>
      </c>
      <c r="F128" s="8">
        <f ca="1">+F127*(1+Deltas!F128)</f>
        <v>106.19585687382292</v>
      </c>
      <c r="G128" s="8">
        <f ca="1">+G127*(1+Deltas!G128)</f>
        <v>119.00245298446443</v>
      </c>
      <c r="H128" s="8">
        <f ca="1">+H127*(1+Deltas!H128)</f>
        <v>113.84636360095038</v>
      </c>
      <c r="I128" s="8">
        <f ca="1">+I127*(1+Deltas!I128)</f>
        <v>111.81389983658558</v>
      </c>
      <c r="J128" s="8">
        <f ca="1">+J127*(1+Deltas!J128)</f>
        <v>107.6932043361697</v>
      </c>
      <c r="K128" s="8">
        <f ca="1">+K127*(1+Deltas!K128)</f>
        <v>98.278443113772568</v>
      </c>
      <c r="L128" s="8">
        <f ca="1">+L127*(1+Deltas!L128)</f>
        <v>107.47489773149866</v>
      </c>
      <c r="M128" s="8">
        <f ca="1">+M127*(1+Deltas!M128)</f>
        <v>113.14403911244835</v>
      </c>
      <c r="N128" s="8">
        <f ca="1">+N127*(1+Deltas!N128)</f>
        <v>164.38164699304974</v>
      </c>
      <c r="O128" s="8">
        <f ca="1">+O127*(1+Deltas!O128)</f>
        <v>105.03001448975365</v>
      </c>
      <c r="P128" s="8">
        <f ca="1">+P127*(1+Deltas!P128)</f>
        <v>128.34142088981125</v>
      </c>
    </row>
    <row r="129" spans="1:16" x14ac:dyDescent="0.25">
      <c r="A129" vm="1937">
        <f ca="1"/>
        <v>45530</v>
      </c>
      <c r="B129" s="8">
        <f ca="1">+B128*(1+Deltas!B129)</f>
        <v>106.74911130025555</v>
      </c>
      <c r="C129" s="8">
        <f ca="1">+C128*(1+Deltas!C129)</f>
        <v>101.1294226115017</v>
      </c>
      <c r="D129" s="8">
        <f ca="1">+D128*(1+Deltas!D129)</f>
        <v>101.47491901443018</v>
      </c>
      <c r="E129" s="8">
        <f ca="1">+E128*(1+Deltas!E129)</f>
        <v>110.06041742951294</v>
      </c>
      <c r="F129" s="8">
        <f ca="1">+F128*(1+Deltas!F129)</f>
        <v>106.93659761456367</v>
      </c>
      <c r="G129" s="8">
        <f ca="1">+G128*(1+Deltas!G129)</f>
        <v>119.47124557100025</v>
      </c>
      <c r="H129" s="8">
        <f ca="1">+H128*(1+Deltas!H129)</f>
        <v>114.35666705621119</v>
      </c>
      <c r="I129" s="8">
        <f ca="1">+I128*(1+Deltas!I129)</f>
        <v>114.20744016149185</v>
      </c>
      <c r="J129" s="8">
        <f ca="1">+J128*(1+Deltas!J129)</f>
        <v>108.18277188483505</v>
      </c>
      <c r="K129" s="8">
        <f ca="1">+K128*(1+Deltas!K129)</f>
        <v>98.203592814371362</v>
      </c>
      <c r="L129" s="8">
        <f ca="1">+L128*(1+Deltas!L129)</f>
        <v>107.54927482335437</v>
      </c>
      <c r="M129" s="8">
        <f ca="1">+M128*(1+Deltas!M129)</f>
        <v>114.76118841669809</v>
      </c>
      <c r="N129" s="8">
        <f ca="1">+N128*(1+Deltas!N129)</f>
        <v>160.68410820701143</v>
      </c>
      <c r="O129" s="8">
        <f ca="1">+O128*(1+Deltas!O129)</f>
        <v>105.13351273028356</v>
      </c>
      <c r="P129" s="8">
        <f ca="1">+P128*(1+Deltas!P129)</f>
        <v>123.14172639114973</v>
      </c>
    </row>
    <row r="130" spans="1:16" x14ac:dyDescent="0.25">
      <c r="A130" vm="1951">
        <f ca="1"/>
        <v>45531</v>
      </c>
      <c r="B130" s="8">
        <f ca="1">+B129*(1+Deltas!B130)</f>
        <v>104.74640765032815</v>
      </c>
      <c r="C130" s="8">
        <f ca="1">+C129*(1+Deltas!C130)</f>
        <v>99.757980868963955</v>
      </c>
      <c r="D130" s="8">
        <f ca="1">+D129*(1+Deltas!D130)</f>
        <v>101.56081280062827</v>
      </c>
      <c r="E130" s="8">
        <f ca="1">+E129*(1+Deltas!E130)</f>
        <v>109.84376907115825</v>
      </c>
      <c r="F130" s="8">
        <f ca="1">+F129*(1+Deltas!F130)</f>
        <v>106.24607658505958</v>
      </c>
      <c r="G130" s="8">
        <f ca="1">+G129*(1+Deltas!G130)</f>
        <v>120.02180430635049</v>
      </c>
      <c r="H130" s="8">
        <f ca="1">+H129*(1+Deltas!H130)</f>
        <v>114.39951696466822</v>
      </c>
      <c r="I130" s="8">
        <f ca="1">+I129*(1+Deltas!I130)</f>
        <v>113.12121503412475</v>
      </c>
      <c r="J130" s="8">
        <f ca="1">+J129*(1+Deltas!J130)</f>
        <v>111.98274857209462</v>
      </c>
      <c r="K130" s="8">
        <f ca="1">+K129*(1+Deltas!K130)</f>
        <v>98.00399201596818</v>
      </c>
      <c r="L130" s="8">
        <f ca="1">+L129*(1+Deltas!L130)</f>
        <v>107.17738936407581</v>
      </c>
      <c r="M130" s="8">
        <f ca="1">+M129*(1+Deltas!M130)</f>
        <v>116.0461326313151</v>
      </c>
      <c r="N130" s="8">
        <f ca="1">+N129*(1+Deltas!N130)</f>
        <v>163.02207087584668</v>
      </c>
      <c r="O130" s="8">
        <f ca="1">+O129*(1+Deltas!O130)</f>
        <v>104.9679155454357</v>
      </c>
      <c r="P130" s="8">
        <f ca="1">+P129*(1+Deltas!P130)</f>
        <v>124.50722479806824</v>
      </c>
    </row>
    <row r="131" spans="1:16" x14ac:dyDescent="0.25">
      <c r="A131" vm="1965">
        <f ca="1"/>
        <v>45532</v>
      </c>
      <c r="B131" s="8">
        <f ca="1">+B130*(1+Deltas!B131)</f>
        <v>103.01406899314094</v>
      </c>
      <c r="C131" s="8">
        <f ca="1">+C130*(1+Deltas!C131)</f>
        <v>98.421113288002786</v>
      </c>
      <c r="D131" s="8">
        <f ca="1">+D130*(1+Deltas!D131)</f>
        <v>100.76568175125162</v>
      </c>
      <c r="E131" s="8">
        <f ca="1">+E130*(1+Deltas!E131)</f>
        <v>110.36860734773582</v>
      </c>
      <c r="F131" s="8">
        <f ca="1">+F130*(1+Deltas!F131)</f>
        <v>106.12680477087251</v>
      </c>
      <c r="G131" s="8">
        <f ca="1">+G130*(1+Deltas!G131)</f>
        <v>120.62687380757697</v>
      </c>
      <c r="H131" s="8">
        <f ca="1">+H130*(1+Deltas!H131)</f>
        <v>114.63129601495842</v>
      </c>
      <c r="I131" s="8">
        <f ca="1">+I130*(1+Deltas!I131)</f>
        <v>112.00615207151779</v>
      </c>
      <c r="J131" s="8">
        <f ca="1">+J130*(1+Deltas!J131)</f>
        <v>112.77538174612425</v>
      </c>
      <c r="K131" s="8">
        <f ca="1">+K130*(1+Deltas!K131)</f>
        <v>97.480039920159783</v>
      </c>
      <c r="L131" s="8">
        <f ca="1">+L130*(1+Deltas!L131)</f>
        <v>106.91706954258082</v>
      </c>
      <c r="M131" s="8">
        <f ca="1">+M130*(1+Deltas!M131)</f>
        <v>117.24959257866374</v>
      </c>
      <c r="N131" s="8">
        <f ca="1">+N130*(1+Deltas!N131)</f>
        <v>159.6040711045604</v>
      </c>
      <c r="O131" s="8">
        <f ca="1">+O130*(1+Deltas!O131)</f>
        <v>103.18774580832124</v>
      </c>
      <c r="P131" s="8">
        <f ca="1">+P130*(1+Deltas!P131)</f>
        <v>122.03081243297873</v>
      </c>
    </row>
    <row r="132" spans="1:16" x14ac:dyDescent="0.25">
      <c r="A132" vm="1980">
        <f ca="1"/>
        <v>45533</v>
      </c>
      <c r="B132" s="8">
        <f ca="1">+B131*(1+Deltas!B132)</f>
        <v>103.27942722675633</v>
      </c>
      <c r="C132" s="8">
        <f ca="1">+C131*(1+Deltas!C132)</f>
        <v>99.181744842687593</v>
      </c>
      <c r="D132" s="8">
        <f ca="1">+D131*(1+Deltas!D132)</f>
        <v>101.3841170118779</v>
      </c>
      <c r="E132" s="8">
        <f ca="1">+E131*(1+Deltas!E132)</f>
        <v>110.03600634688144</v>
      </c>
      <c r="F132" s="8">
        <f ca="1">+F131*(1+Deltas!F132)</f>
        <v>106.73571876961702</v>
      </c>
      <c r="G132" s="8">
        <f ca="1">+G131*(1+Deltas!G132)</f>
        <v>121.12837285363858</v>
      </c>
      <c r="H132" s="8">
        <f ca="1">+H131*(1+Deltas!H132)</f>
        <v>115.22145611779821</v>
      </c>
      <c r="I132" s="8">
        <f ca="1">+I131*(1+Deltas!I132)</f>
        <v>113.55378256272225</v>
      </c>
      <c r="J132" s="8">
        <f ca="1">+J131*(1+Deltas!J132)</f>
        <v>112.84531996736213</v>
      </c>
      <c r="K132" s="8">
        <f ca="1">+K131*(1+Deltas!K132)</f>
        <v>96.781437125748596</v>
      </c>
      <c r="L132" s="8">
        <f ca="1">+L131*(1+Deltas!L132)</f>
        <v>106.80550390479725</v>
      </c>
      <c r="M132" s="8">
        <f ca="1">+M131*(1+Deltas!M132)</f>
        <v>118.0581672307886</v>
      </c>
      <c r="N132" s="8">
        <f ca="1">+N131*(1+Deltas!N132)</f>
        <v>149.41360338496344</v>
      </c>
      <c r="O132" s="8">
        <f ca="1">+O131*(1+Deltas!O132)</f>
        <v>104.30552680604427</v>
      </c>
      <c r="P132" s="8">
        <f ca="1">+P131*(1+Deltas!P132)</f>
        <v>121.06647739984419</v>
      </c>
    </row>
    <row r="133" spans="1:16" x14ac:dyDescent="0.25">
      <c r="A133" vm="1996">
        <f ca="1"/>
        <v>45534</v>
      </c>
      <c r="B133" s="8">
        <f ca="1">+B132*(1+Deltas!B133)</f>
        <v>107.19971962148924</v>
      </c>
      <c r="C133" s="8">
        <f ca="1">+C132*(1+Deltas!C133)</f>
        <v>102.8581306903308</v>
      </c>
      <c r="D133" s="8">
        <f ca="1">+D132*(1+Deltas!D133)</f>
        <v>102.37066849906745</v>
      </c>
      <c r="E133" s="8">
        <f ca="1">+E132*(1+Deltas!E133)</f>
        <v>112.7090198950323</v>
      </c>
      <c r="F133" s="8">
        <f ca="1">+F132*(1+Deltas!F133)</f>
        <v>107.683615819209</v>
      </c>
      <c r="G133" s="8">
        <f ca="1">+G132*(1+Deltas!G133)</f>
        <v>122.54020168983374</v>
      </c>
      <c r="H133" s="8">
        <f ca="1">+H132*(1+Deltas!H133)</f>
        <v>114.95461805149772</v>
      </c>
      <c r="I133" s="8">
        <f ca="1">+I132*(1+Deltas!I133)</f>
        <v>113.37114293953664</v>
      </c>
      <c r="J133" s="8">
        <f ca="1">+J132*(1+Deltas!J133)</f>
        <v>113.71954773283598</v>
      </c>
      <c r="K133" s="8">
        <f ca="1">+K132*(1+Deltas!K133)</f>
        <v>95.783433133732629</v>
      </c>
      <c r="L133" s="8">
        <f ca="1">+L132*(1+Deltas!L133)</f>
        <v>107.88397173670504</v>
      </c>
      <c r="M133" s="8">
        <f ca="1">+M132*(1+Deltas!M133)</f>
        <v>118.42798044377594</v>
      </c>
      <c r="N133" s="8">
        <f ca="1">+N132*(1+Deltas!N133)</f>
        <v>151.67532814068446</v>
      </c>
      <c r="O133" s="8">
        <f ca="1">+O132*(1+Deltas!O133)</f>
        <v>104.61602152763399</v>
      </c>
      <c r="P133" s="8">
        <f ca="1">+P132*(1+Deltas!P133)</f>
        <v>125.61042407597419</v>
      </c>
    </row>
    <row r="134" spans="1:16" x14ac:dyDescent="0.25">
      <c r="A134" vm="2011">
        <f ca="1"/>
        <v>45538</v>
      </c>
      <c r="B134" s="8">
        <f ca="1">+B133*(1+Deltas!B134)</f>
        <v>105.44234716867793</v>
      </c>
      <c r="C134" s="8">
        <f ca="1">+C133*(1+Deltas!C134)</f>
        <v>101.56159963120898</v>
      </c>
      <c r="D134" s="8">
        <f ca="1">+D133*(1+Deltas!D134)</f>
        <v>100.48100520270935</v>
      </c>
      <c r="E134" s="8">
        <f ca="1">+E133*(1+Deltas!E134)</f>
        <v>110.99414134016838</v>
      </c>
      <c r="F134" s="8">
        <f ca="1">+F133*(1+Deltas!F134)</f>
        <v>109.5543000627746</v>
      </c>
      <c r="G134" s="8">
        <f ca="1">+G133*(1+Deltas!G134)</f>
        <v>120.08721722540201</v>
      </c>
      <c r="H134" s="8">
        <f ca="1">+H133*(1+Deltas!H134)</f>
        <v>116.6062872502044</v>
      </c>
      <c r="I134" s="8">
        <f ca="1">+I133*(1+Deltas!I134)</f>
        <v>110.99682783812359</v>
      </c>
      <c r="J134" s="8">
        <f ca="1">+J133*(1+Deltas!J134)</f>
        <v>111.29502272992188</v>
      </c>
      <c r="K134" s="8">
        <f ca="1">+K133*(1+Deltas!K134)</f>
        <v>92.290419161676752</v>
      </c>
      <c r="L134" s="8">
        <f ca="1">+L133*(1+Deltas!L134)</f>
        <v>105.24358497582739</v>
      </c>
      <c r="M134" s="8">
        <f ca="1">+M133*(1+Deltas!M134)</f>
        <v>118.59094897831272</v>
      </c>
      <c r="N134" s="8">
        <f ca="1">+N133*(1+Deltas!N134)</f>
        <v>137.22824360554512</v>
      </c>
      <c r="O134" s="8">
        <f ca="1">+O133*(1+Deltas!O134)</f>
        <v>103.62243841854685</v>
      </c>
      <c r="P134" s="8">
        <f ca="1">+P133*(1+Deltas!P134)</f>
        <v>117.87259977010254</v>
      </c>
    </row>
    <row r="135" spans="1:16" x14ac:dyDescent="0.25">
      <c r="A135" vm="2026">
        <f ca="1"/>
        <v>45539</v>
      </c>
      <c r="B135" s="8">
        <f ca="1">+B134*(1+Deltas!B135)</f>
        <v>109.85330195764303</v>
      </c>
      <c r="C135" s="8">
        <f ca="1">+C134*(1+Deltas!C135)</f>
        <v>99.878990434482006</v>
      </c>
      <c r="D135" s="8">
        <f ca="1">+D134*(1+Deltas!D135)</f>
        <v>100.34848336114658</v>
      </c>
      <c r="E135" s="8">
        <f ca="1">+E134*(1+Deltas!E135)</f>
        <v>110.67374588062975</v>
      </c>
      <c r="F135" s="8">
        <f ca="1">+F134*(1+Deltas!F135)</f>
        <v>110.420590081607</v>
      </c>
      <c r="G135" s="8">
        <f ca="1">+G134*(1+Deltas!G135)</f>
        <v>119.55846279640228</v>
      </c>
      <c r="H135" s="8">
        <f ca="1">+H134*(1+Deltas!H135)</f>
        <v>117.67753496162975</v>
      </c>
      <c r="I135" s="8">
        <f ca="1">+I134*(1+Deltas!I135)</f>
        <v>109.64144958185136</v>
      </c>
      <c r="J135" s="8">
        <f ca="1">+J134*(1+Deltas!J135)</f>
        <v>110.10607296887747</v>
      </c>
      <c r="K135" s="8">
        <f ca="1">+K134*(1+Deltas!K135)</f>
        <v>92.115768463073962</v>
      </c>
      <c r="L135" s="8">
        <f ca="1">+L134*(1+Deltas!L135)</f>
        <v>105.57828188917807</v>
      </c>
      <c r="M135" s="8">
        <f ca="1">+M134*(1+Deltas!M135)</f>
        <v>119.01090635577293</v>
      </c>
      <c r="N135" s="8">
        <f ca="1">+N134*(1+Deltas!N135)</f>
        <v>134.9538125309717</v>
      </c>
      <c r="O135" s="8">
        <f ca="1">+O134*(1+Deltas!O135)</f>
        <v>102.87725108673149</v>
      </c>
      <c r="P135" s="8">
        <f ca="1">+P134*(1+Deltas!P135)</f>
        <v>118.89865224535771</v>
      </c>
    </row>
    <row r="136" spans="1:16" x14ac:dyDescent="0.25">
      <c r="A136" vm="2041">
        <f ca="1"/>
        <v>45540</v>
      </c>
      <c r="B136" s="8">
        <f ca="1">+B135*(1+Deltas!B136)</f>
        <v>115.24057477594775</v>
      </c>
      <c r="C136" s="8">
        <f ca="1">+C135*(1+Deltas!C136)</f>
        <v>102.5066267143022</v>
      </c>
      <c r="D136" s="8">
        <f ca="1">+D135*(1+Deltas!D136)</f>
        <v>100.22332384411507</v>
      </c>
      <c r="E136" s="8">
        <f ca="1">+E135*(1+Deltas!E136)</f>
        <v>109.87428292444764</v>
      </c>
      <c r="F136" s="8">
        <f ca="1">+F135*(1+Deltas!F136)</f>
        <v>110.15065913370995</v>
      </c>
      <c r="G136" s="8">
        <f ca="1">+G135*(1+Deltas!G136)</f>
        <v>118.63177977650584</v>
      </c>
      <c r="H136" s="8">
        <f ca="1">+H135*(1+Deltas!H136)</f>
        <v>115.98496357757772</v>
      </c>
      <c r="I136" s="8">
        <f ca="1">+I135*(1+Deltas!I136)</f>
        <v>108.78592713640293</v>
      </c>
      <c r="J136" s="8">
        <f ca="1">+J135*(1+Deltas!J136)</f>
        <v>109.9895092668143</v>
      </c>
      <c r="K136" s="8">
        <f ca="1">+K135*(1+Deltas!K136)</f>
        <v>91.367265469061977</v>
      </c>
      <c r="L136" s="8">
        <f ca="1">+L135*(1+Deltas!L136)</f>
        <v>106.02454444031233</v>
      </c>
      <c r="M136" s="8">
        <f ca="1">+M135*(1+Deltas!M136)</f>
        <v>116.43474990597976</v>
      </c>
      <c r="N136" s="8">
        <f ca="1">+N135*(1+Deltas!N136)</f>
        <v>136.22444441620823</v>
      </c>
      <c r="O136" s="8">
        <f ca="1">+O135*(1+Deltas!O136)</f>
        <v>101.69737114469051</v>
      </c>
      <c r="P136" s="8">
        <f ca="1">+P135*(1+Deltas!P136)</f>
        <v>117.89574381089777</v>
      </c>
    </row>
    <row r="137" spans="1:16" x14ac:dyDescent="0.25">
      <c r="A137" vm="2056">
        <f ca="1"/>
        <v>45541</v>
      </c>
      <c r="B137" s="8">
        <f ca="1">+B136*(1+Deltas!B137)</f>
        <v>105.50743503730055</v>
      </c>
      <c r="C137" s="8">
        <f ca="1">+C136*(1+Deltas!C137)</f>
        <v>98.761092543505839</v>
      </c>
      <c r="D137" s="8">
        <f ca="1">+D136*(1+Deltas!D137)</f>
        <v>98.581525473642898</v>
      </c>
      <c r="E137" s="8">
        <f ca="1">+E136*(1+Deltas!E137)</f>
        <v>110.10313682411808</v>
      </c>
      <c r="F137" s="8">
        <f ca="1">+F136*(1+Deltas!F137)</f>
        <v>110.22598870056494</v>
      </c>
      <c r="G137" s="8">
        <f ca="1">+G136*(1+Deltas!G137)</f>
        <v>115.81357318070317</v>
      </c>
      <c r="H137" s="8">
        <f ca="1">+H136*(1+Deltas!H137)</f>
        <v>116.25569709010156</v>
      </c>
      <c r="I137" s="8">
        <f ca="1">+I136*(1+Deltas!I137)</f>
        <v>108.27645871383253</v>
      </c>
      <c r="J137" s="8">
        <f ca="1">+J136*(1+Deltas!J137)</f>
        <v>104.96561370789135</v>
      </c>
      <c r="K137" s="8">
        <f ca="1">+K136*(1+Deltas!K137)</f>
        <v>88.448103792415282</v>
      </c>
      <c r="L137" s="8">
        <f ca="1">+L136*(1+Deltas!L137)</f>
        <v>106.21048716995158</v>
      </c>
      <c r="M137" s="8">
        <f ca="1">+M136*(1+Deltas!M137)</f>
        <v>116.18402908361547</v>
      </c>
      <c r="N137" s="8">
        <f ca="1">+N136*(1+Deltas!N137)</f>
        <v>130.65907675887223</v>
      </c>
      <c r="O137" s="8">
        <f ca="1">+O136*(1+Deltas!O137)</f>
        <v>100.39329331401362</v>
      </c>
      <c r="P137" s="8">
        <f ca="1">+P136*(1+Deltas!P137)</f>
        <v>105.68726229141436</v>
      </c>
    </row>
    <row r="138" spans="1:16" x14ac:dyDescent="0.25">
      <c r="A138" vm="2071">
        <f ca="1"/>
        <v>45544</v>
      </c>
      <c r="B138" s="8">
        <f ca="1">+B137*(1+Deltas!B138)</f>
        <v>108.28117959245002</v>
      </c>
      <c r="C138" s="8">
        <f ca="1">+C137*(1+Deltas!C138)</f>
        <v>101.07179900887407</v>
      </c>
      <c r="D138" s="8">
        <f ca="1">+D137*(1+Deltas!D138)</f>
        <v>99.568076960832471</v>
      </c>
      <c r="E138" s="8">
        <f ca="1">+E137*(1+Deltas!E138)</f>
        <v>111.03991212010244</v>
      </c>
      <c r="F138" s="8">
        <f ca="1">+F137*(1+Deltas!F138)</f>
        <v>110.52102950408033</v>
      </c>
      <c r="G138" s="8">
        <f ca="1">+G137*(1+Deltas!G138)</f>
        <v>118.18479149632051</v>
      </c>
      <c r="H138" s="8">
        <f ca="1">+H137*(1+Deltas!H138)</f>
        <v>115.71423006505384</v>
      </c>
      <c r="I138" s="8">
        <f ca="1">+I137*(1+Deltas!I138)</f>
        <v>110.55464769777946</v>
      </c>
      <c r="J138" s="8">
        <f ca="1">+J137*(1+Deltas!J138)</f>
        <v>106.13125072852313</v>
      </c>
      <c r="K138" s="8">
        <f ca="1">+K137*(1+Deltas!K138)</f>
        <v>89.296407185628837</v>
      </c>
      <c r="L138" s="8">
        <f ca="1">+L137*(1+Deltas!L138)</f>
        <v>109.3715135738192</v>
      </c>
      <c r="M138" s="8">
        <f ca="1">+M137*(1+Deltas!M138)</f>
        <v>117.33734486649124</v>
      </c>
      <c r="N138" s="8">
        <f ca="1">+N137*(1+Deltas!N138)</f>
        <v>135.2841768211332</v>
      </c>
      <c r="O138" s="8">
        <f ca="1">+O137*(1+Deltas!O138)</f>
        <v>100.80728627613325</v>
      </c>
      <c r="P138" s="8">
        <f ca="1">+P137*(1+Deltas!P138)</f>
        <v>108.63812749280608</v>
      </c>
    </row>
    <row r="139" spans="1:16" x14ac:dyDescent="0.25">
      <c r="A139" vm="2086">
        <f ca="1"/>
        <v>45545</v>
      </c>
      <c r="B139" s="8">
        <f ca="1">+B138*(1+Deltas!B139)</f>
        <v>113.23787112602034</v>
      </c>
      <c r="C139" s="8">
        <f ca="1">+C138*(1+Deltas!C139)</f>
        <v>103.46317851792098</v>
      </c>
      <c r="D139" s="8">
        <f ca="1">+D138*(1+Deltas!D139)</f>
        <v>101.64916069500346</v>
      </c>
      <c r="E139" s="8">
        <f ca="1">+E138*(1+Deltas!E139)</f>
        <v>113.46576345660922</v>
      </c>
      <c r="F139" s="8">
        <f ca="1">+F138*(1+Deltas!F139)</f>
        <v>111.60703075957311</v>
      </c>
      <c r="G139" s="8">
        <f ca="1">+G138*(1+Deltas!G139)</f>
        <v>112.05233033524119</v>
      </c>
      <c r="H139" s="8">
        <f ca="1">+H138*(1+Deltas!H139)</f>
        <v>116.67445755911328</v>
      </c>
      <c r="I139" s="8">
        <f ca="1">+I138*(1+Deltas!I139)</f>
        <v>106.52696337594921</v>
      </c>
      <c r="J139" s="8">
        <f ca="1">+J138*(1+Deltas!J139)</f>
        <v>108.38093017834244</v>
      </c>
      <c r="K139" s="8">
        <f ca="1">+K138*(1+Deltas!K139)</f>
        <v>89.770459081836407</v>
      </c>
      <c r="L139" s="8">
        <f ca="1">+L138*(1+Deltas!L139)</f>
        <v>110.59873558943838</v>
      </c>
      <c r="M139" s="8">
        <f ca="1">+M138*(1+Deltas!M139)</f>
        <v>115.87689607621921</v>
      </c>
      <c r="N139" s="8">
        <f ca="1">+N138*(1+Deltas!N139)</f>
        <v>137.35530679406872</v>
      </c>
      <c r="O139" s="8">
        <f ca="1">+O138*(1+Deltas!O139)</f>
        <v>100.99358310908707</v>
      </c>
      <c r="P139" s="8">
        <f ca="1">+P138*(1+Deltas!P139)</f>
        <v>114.33927620869756</v>
      </c>
    </row>
    <row r="140" spans="1:16" x14ac:dyDescent="0.25">
      <c r="A140" vm="2101">
        <f ca="1"/>
        <v>45546</v>
      </c>
      <c r="B140" s="8">
        <f ca="1">+B139*(1+Deltas!B140)</f>
        <v>114.21919591448479</v>
      </c>
      <c r="C140" s="8">
        <f ca="1">+C139*(1+Deltas!C140)</f>
        <v>106.3270715685145</v>
      </c>
      <c r="D140" s="8">
        <f ca="1">+D139*(1+Deltas!D140)</f>
        <v>103.81859232354965</v>
      </c>
      <c r="E140" s="8">
        <f ca="1">+E139*(1+Deltas!E140)</f>
        <v>113.38947882338574</v>
      </c>
      <c r="F140" s="8">
        <f ca="1">+F139*(1+Deltas!F140)</f>
        <v>109.17765222849965</v>
      </c>
      <c r="G140" s="8">
        <f ca="1">+G139*(1+Deltas!G140)</f>
        <v>112.96266012537474</v>
      </c>
      <c r="H140" s="8">
        <f ca="1">+H139*(1+Deltas!H140)</f>
        <v>114.86697051147198</v>
      </c>
      <c r="I140" s="8">
        <f ca="1">+I139*(1+Deltas!I140)</f>
        <v>105.46957608382195</v>
      </c>
      <c r="J140" s="8">
        <f ca="1">+J139*(1+Deltas!J140)</f>
        <v>109.30178342464156</v>
      </c>
      <c r="K140" s="8">
        <f ca="1">+K139*(1+Deltas!K140)</f>
        <v>90.369261477045981</v>
      </c>
      <c r="L140" s="8">
        <f ca="1">+L139*(1+Deltas!L140)</f>
        <v>110.30122722201554</v>
      </c>
      <c r="M140" s="8">
        <f ca="1">+M139*(1+Deltas!M140)</f>
        <v>115.57603108938204</v>
      </c>
      <c r="N140" s="8">
        <f ca="1">+N139*(1+Deltas!N140)</f>
        <v>148.54957370300255</v>
      </c>
      <c r="O140" s="8">
        <f ca="1">+O139*(1+Deltas!O140)</f>
        <v>101.6559718484785</v>
      </c>
      <c r="P140" s="8">
        <f ca="1">+P139*(1+Deltas!P140)</f>
        <v>122.10024455536444</v>
      </c>
    </row>
    <row r="141" spans="1:16" x14ac:dyDescent="0.25">
      <c r="A141" vm="2117">
        <f ca="1"/>
        <v>45547</v>
      </c>
      <c r="B141" s="8">
        <f ca="1">+B140*(1+Deltas!B141)</f>
        <v>115.0603314474543</v>
      </c>
      <c r="C141" s="8">
        <f ca="1">+C140*(1+Deltas!C141)</f>
        <v>107.75613691367987</v>
      </c>
      <c r="D141" s="8">
        <f ca="1">+D140*(1+Deltas!D141)</f>
        <v>104.79041916167668</v>
      </c>
      <c r="E141" s="8">
        <f ca="1">+E140*(1+Deltas!E141)</f>
        <v>114.11265714634436</v>
      </c>
      <c r="F141" s="8">
        <f ca="1">+F140*(1+Deltas!F141)</f>
        <v>108.89516635279345</v>
      </c>
      <c r="G141" s="8">
        <f ca="1">+G140*(1+Deltas!G141)</f>
        <v>112.6192423003543</v>
      </c>
      <c r="H141" s="8">
        <f ca="1">+H140*(1+Deltas!H141)</f>
        <v>114.6079233376182</v>
      </c>
      <c r="I141" s="8">
        <f ca="1">+I140*(1+Deltas!I141)</f>
        <v>106.92108045756031</v>
      </c>
      <c r="J141" s="8">
        <f ca="1">+J140*(1+Deltas!J141)</f>
        <v>109.12693787154679</v>
      </c>
      <c r="K141" s="8">
        <f ca="1">+K140*(1+Deltas!K141)</f>
        <v>89.995009980039995</v>
      </c>
      <c r="L141" s="8">
        <f ca="1">+L140*(1+Deltas!L141)</f>
        <v>108.44179992562283</v>
      </c>
      <c r="M141" s="8">
        <f ca="1">+M140*(1+Deltas!M141)</f>
        <v>116.64786260498941</v>
      </c>
      <c r="N141" s="8">
        <f ca="1">+N140*(1+Deltas!N141)</f>
        <v>151.38308280708003</v>
      </c>
      <c r="O141" s="8">
        <f ca="1">+O140*(1+Deltas!O141)</f>
        <v>102.6909542537776</v>
      </c>
      <c r="P141" s="8">
        <f ca="1">+P140*(1+Deltas!P141)</f>
        <v>126.9527784420975</v>
      </c>
    </row>
    <row r="142" spans="1:16" x14ac:dyDescent="0.25">
      <c r="A142" vm="2130">
        <f ca="1"/>
        <v>45548</v>
      </c>
      <c r="B142" s="8">
        <f ca="1">+B141*(1+Deltas!B142)</f>
        <v>115.30065588544559</v>
      </c>
      <c r="C142" s="8">
        <f ca="1">+C141*(1+Deltas!C142)</f>
        <v>107.46225654027893</v>
      </c>
      <c r="D142" s="8">
        <f ca="1">+D141*(1+Deltas!D142)</f>
        <v>105.67144399725143</v>
      </c>
      <c r="E142" s="8">
        <f ca="1">+E141*(1+Deltas!E142)</f>
        <v>114.54900524838267</v>
      </c>
      <c r="F142" s="8">
        <f ca="1">+F141*(1+Deltas!F142)</f>
        <v>109.278091650973</v>
      </c>
      <c r="G142" s="8">
        <f ca="1">+G141*(1+Deltas!G142)</f>
        <v>111.37639683837556</v>
      </c>
      <c r="H142" s="8">
        <f ca="1">+H141*(1+Deltas!H142)</f>
        <v>115.75707997351087</v>
      </c>
      <c r="I142" s="8">
        <f ca="1">+I141*(1+Deltas!I142)</f>
        <v>106.84417956358742</v>
      </c>
      <c r="J142" s="8">
        <f ca="1">+J141*(1+Deltas!J142)</f>
        <v>108.91712320783306</v>
      </c>
      <c r="K142" s="8">
        <f ca="1">+K141*(1+Deltas!K142)</f>
        <v>89.945109780439182</v>
      </c>
      <c r="L142" s="8">
        <f ca="1">+L141*(1+Deltas!L142)</f>
        <v>108.85087393082922</v>
      </c>
      <c r="M142" s="8">
        <f ca="1">+M141*(1+Deltas!M142)</f>
        <v>118.02682712799306</v>
      </c>
      <c r="N142" s="8">
        <f ca="1">+N141*(1+Deltas!N142)</f>
        <v>151.33225753167056</v>
      </c>
      <c r="O142" s="8">
        <f ca="1">+O141*(1+Deltas!O142)</f>
        <v>103.08424756779127</v>
      </c>
      <c r="P142" s="8">
        <f ca="1">+P141*(1+Deltas!P142)</f>
        <v>129.36747336506642</v>
      </c>
    </row>
    <row r="143" spans="1:16" x14ac:dyDescent="0.25">
      <c r="A143" vm="2146">
        <f ca="1"/>
        <v>45551</v>
      </c>
      <c r="B143" s="8">
        <f ca="1">+B142*(1+Deltas!B143)</f>
        <v>113.5432834326343</v>
      </c>
      <c r="C143" s="8">
        <f ca="1">+C142*(1+Deltas!C143)</f>
        <v>106.54027889823674</v>
      </c>
      <c r="D143" s="8">
        <f ca="1">+D142*(1+Deltas!D143)</f>
        <v>105.85550211053307</v>
      </c>
      <c r="E143" s="8">
        <f ca="1">+E142*(1+Deltas!E143)</f>
        <v>115.66581227877447</v>
      </c>
      <c r="F143" s="8">
        <f ca="1">+F142*(1+Deltas!F143)</f>
        <v>111.26177024482108</v>
      </c>
      <c r="G143" s="8">
        <f ca="1">+G142*(1+Deltas!G143)</f>
        <v>113.30607795039519</v>
      </c>
      <c r="H143" s="8">
        <f ca="1">+H142*(1+Deltas!H143)</f>
        <v>114.74815940165935</v>
      </c>
      <c r="I143" s="8">
        <f ca="1">+I142*(1+Deltas!I143)</f>
        <v>108.3437469960588</v>
      </c>
      <c r="J143" s="8">
        <f ca="1">+J142*(1+Deltas!J143)</f>
        <v>108.53246299102459</v>
      </c>
      <c r="K143" s="8">
        <f ca="1">+K142*(1+Deltas!K143)</f>
        <v>90.119760479041986</v>
      </c>
      <c r="L143" s="8">
        <f ca="1">+L142*(1+Deltas!L143)</f>
        <v>111.82595760505757</v>
      </c>
      <c r="M143" s="8">
        <f ca="1">+M142*(1+Deltas!M143)</f>
        <v>119.44339977435135</v>
      </c>
      <c r="N143" s="8">
        <f ca="1">+N142*(1+Deltas!N143)</f>
        <v>148.38439155792184</v>
      </c>
      <c r="O143" s="8">
        <f ca="1">+O142*(1+Deltas!O143)</f>
        <v>105.63030428482708</v>
      </c>
      <c r="P143" s="8">
        <f ca="1">+P142*(1+Deltas!P143)</f>
        <v>126.53618570778337</v>
      </c>
    </row>
    <row r="144" spans="1:16" x14ac:dyDescent="0.25">
      <c r="A144" vm="2162">
        <f ca="1"/>
        <v>45552</v>
      </c>
      <c r="B144" s="8">
        <f ca="1">+B143*(1+Deltas!B144)</f>
        <v>114.08902017723952</v>
      </c>
      <c r="C144" s="8">
        <f ca="1">+C143*(1+Deltas!C144)</f>
        <v>107.6869885905267</v>
      </c>
      <c r="D144" s="8">
        <f ca="1">+D143*(1+Deltas!D144)</f>
        <v>106.79051732600377</v>
      </c>
      <c r="E144" s="8">
        <f ca="1">+E143*(1+Deltas!E144)</f>
        <v>115.34236543390691</v>
      </c>
      <c r="F144" s="8">
        <f ca="1">+F143*(1+Deltas!F144)</f>
        <v>110.40803515379785</v>
      </c>
      <c r="G144" s="8">
        <f ca="1">+G143*(1+Deltas!G144)</f>
        <v>114.0637775960752</v>
      </c>
      <c r="H144" s="8">
        <f ca="1">+H143*(1+Deltas!H144)</f>
        <v>112.5706049627984</v>
      </c>
      <c r="I144" s="8">
        <f ca="1">+I143*(1+Deltas!I144)</f>
        <v>109.75680092281071</v>
      </c>
      <c r="J144" s="8">
        <f ca="1">+J143*(1+Deltas!J144)</f>
        <v>105.54843221820724</v>
      </c>
      <c r="K144" s="8">
        <f ca="1">+K143*(1+Deltas!K144)</f>
        <v>89.520958083832426</v>
      </c>
      <c r="L144" s="8">
        <f ca="1">+L143*(1+Deltas!L144)</f>
        <v>110.93343250278906</v>
      </c>
      <c r="M144" s="8">
        <f ca="1">+M143*(1+Deltas!M144)</f>
        <v>119.25535915757813</v>
      </c>
      <c r="N144" s="8">
        <f ca="1">+N143*(1+Deltas!N144)</f>
        <v>146.87233961449039</v>
      </c>
      <c r="O144" s="8">
        <f ca="1">+O143*(1+Deltas!O144)</f>
        <v>104.76091906437581</v>
      </c>
      <c r="P144" s="8">
        <f ca="1">+P143*(1+Deltas!P144)</f>
        <v>125.34041026669652</v>
      </c>
    </row>
    <row r="145" spans="1:16" x14ac:dyDescent="0.25">
      <c r="A145" vm="2176">
        <f ca="1"/>
        <v>45553</v>
      </c>
      <c r="B145" s="8">
        <f ca="1">+B144*(1+Deltas!B145)</f>
        <v>113.75356731587667</v>
      </c>
      <c r="C145" s="8">
        <f ca="1">+C144*(1+Deltas!C145)</f>
        <v>107.42768237870234</v>
      </c>
      <c r="D145" s="8">
        <f ca="1">+D144*(1+Deltas!D145)</f>
        <v>105.72543437714738</v>
      </c>
      <c r="E145" s="8">
        <f ca="1">+E144*(1+Deltas!E145)</f>
        <v>114.52154278042222</v>
      </c>
      <c r="F145" s="8">
        <f ca="1">+F144*(1+Deltas!F145)</f>
        <v>109.17765222849967</v>
      </c>
      <c r="G145" s="8">
        <f ca="1">+G144*(1+Deltas!G145)</f>
        <v>113.12619242300352</v>
      </c>
      <c r="H145" s="8">
        <f ca="1">+H144*(1+Deltas!H145)</f>
        <v>113.09454247984097</v>
      </c>
      <c r="I145" s="8">
        <f ca="1">+I144*(1+Deltas!I145)</f>
        <v>110.14130539267515</v>
      </c>
      <c r="J145" s="8">
        <f ca="1">+J144*(1+Deltas!J145)</f>
        <v>105.47849399696933</v>
      </c>
      <c r="K145" s="8">
        <f ca="1">+K144*(1+Deltas!K145)</f>
        <v>89.358782435129825</v>
      </c>
      <c r="L145" s="8">
        <f ca="1">+L144*(1+Deltas!L145)</f>
        <v>110.63592413536624</v>
      </c>
      <c r="M145" s="8">
        <f ca="1">+M144*(1+Deltas!M145)</f>
        <v>119.72546069951119</v>
      </c>
      <c r="N145" s="8">
        <f ca="1">+N144*(1+Deltas!N145)</f>
        <v>144.0515368292653</v>
      </c>
      <c r="O145" s="8">
        <f ca="1">+O144*(1+Deltas!O145)</f>
        <v>104.67812047195189</v>
      </c>
      <c r="P145" s="8">
        <f ca="1">+P144*(1+Deltas!P145)</f>
        <v>124.72323584549041</v>
      </c>
    </row>
    <row r="146" spans="1:16" x14ac:dyDescent="0.25">
      <c r="A146" vm="2188">
        <f ca="1"/>
        <v>45554</v>
      </c>
      <c r="B146" s="8">
        <f ca="1">+B145*(1+Deltas!B146)</f>
        <v>122.12486857257322</v>
      </c>
      <c r="C146" s="8">
        <f ca="1">+C145*(1+Deltas!C146)</f>
        <v>109.40993430909303</v>
      </c>
      <c r="D146" s="8">
        <f ca="1">+D145*(1+Deltas!D146)</f>
        <v>107.65927162069308</v>
      </c>
      <c r="E146" s="8">
        <f ca="1">+E145*(1+Deltas!E146)</f>
        <v>115.8763578664713</v>
      </c>
      <c r="F146" s="8">
        <f ca="1">+F145*(1+Deltas!F146)</f>
        <v>107.68361581920902</v>
      </c>
      <c r="G146" s="8">
        <f ca="1">+G145*(1+Deltas!G146)</f>
        <v>114.73426001635319</v>
      </c>
      <c r="H146" s="8">
        <f ca="1">+H145*(1+Deltas!H146)</f>
        <v>112.39725760585867</v>
      </c>
      <c r="I146" s="8">
        <f ca="1">+I145*(1+Deltas!I146)</f>
        <v>111.50629626069399</v>
      </c>
      <c r="J146" s="8">
        <f ca="1">+J145*(1+Deltas!J146)</f>
        <v>108.67233943350041</v>
      </c>
      <c r="K146" s="8">
        <f ca="1">+K145*(1+Deltas!K146)</f>
        <v>93.038922155688709</v>
      </c>
      <c r="L146" s="8">
        <f ca="1">+L145*(1+Deltas!L146)</f>
        <v>110.30122722201556</v>
      </c>
      <c r="M146" s="8">
        <f ca="1">+M145*(1+Deltas!M146)</f>
        <v>119.51861602106065</v>
      </c>
      <c r="N146" s="8">
        <f ca="1">+N145*(1+Deltas!N146)</f>
        <v>149.7693803128297</v>
      </c>
      <c r="O146" s="8">
        <f ca="1">+O145*(1+Deltas!O146)</f>
        <v>106.47898985717232</v>
      </c>
      <c r="P146" s="8">
        <f ca="1">+P145*(1+Deltas!P146)</f>
        <v>129.15917699790936</v>
      </c>
    </row>
    <row r="147" spans="1:16" x14ac:dyDescent="0.25">
      <c r="A147" vm="2199">
        <f ca="1"/>
        <v>45555</v>
      </c>
      <c r="B147" s="8">
        <f ca="1">+B146*(1+Deltas!B147)</f>
        <v>119.28603614880113</v>
      </c>
      <c r="C147" s="8">
        <f ca="1">+C146*(1+Deltas!C147)</f>
        <v>110.40682263455115</v>
      </c>
      <c r="D147" s="8">
        <f ca="1">+D146*(1+Deltas!D147)</f>
        <v>106.81996662412882</v>
      </c>
      <c r="E147" s="8">
        <f ca="1">+E146*(1+Deltas!E147)</f>
        <v>115.50103747101174</v>
      </c>
      <c r="F147" s="8">
        <f ca="1">+F146*(1+Deltas!F147)</f>
        <v>109.36597614563716</v>
      </c>
      <c r="G147" s="8">
        <f ca="1">+G146*(1+Deltas!G147)</f>
        <v>115.06677568819839</v>
      </c>
      <c r="H147" s="8">
        <f ca="1">+H146*(1+Deltas!H147)</f>
        <v>111.99407892174038</v>
      </c>
      <c r="I147" s="8">
        <f ca="1">+I146*(1+Deltas!I147)</f>
        <v>110.80457560319134</v>
      </c>
      <c r="J147" s="8">
        <f ca="1">+J146*(1+Deltas!J147)</f>
        <v>108.50915025061194</v>
      </c>
      <c r="K147" s="8">
        <f ca="1">+K146*(1+Deltas!K147)</f>
        <v>91.067864271457168</v>
      </c>
      <c r="L147" s="8">
        <f ca="1">+L146*(1+Deltas!L147)</f>
        <v>109.40870211974706</v>
      </c>
      <c r="M147" s="8">
        <f ca="1">+M146*(1+Deltas!M147)</f>
        <v>119.71919267895208</v>
      </c>
      <c r="N147" s="8">
        <f ca="1">+N146*(1+Deltas!N147)</f>
        <v>147.39329868743738</v>
      </c>
      <c r="O147" s="8">
        <f ca="1">+O146*(1+Deltas!O147)</f>
        <v>107.57607120678939</v>
      </c>
      <c r="P147" s="8">
        <f ca="1">+P146*(1+Deltas!P147)</f>
        <v>131.99817933545748</v>
      </c>
    </row>
    <row r="148" spans="1:16" x14ac:dyDescent="0.25">
      <c r="A148" vm="2213">
        <f ca="1"/>
        <v>45558</v>
      </c>
      <c r="B148" s="8">
        <f ca="1">+B147*(1+Deltas!B148)</f>
        <v>125.1689781204629</v>
      </c>
      <c r="C148" s="8">
        <f ca="1">+C147*(1+Deltas!C148)</f>
        <v>111.72064077446124</v>
      </c>
      <c r="D148" s="8">
        <f ca="1">+D147*(1+Deltas!D148)</f>
        <v>106.38804358496127</v>
      </c>
      <c r="E148" s="8">
        <f ca="1">+E147*(1+Deltas!E148)</f>
        <v>116.52325155620643</v>
      </c>
      <c r="F148" s="8">
        <f ca="1">+F147*(1+Deltas!F148)</f>
        <v>109.08349026993096</v>
      </c>
      <c r="G148" s="8">
        <f ca="1">+G147*(1+Deltas!G148)</f>
        <v>115.2575633687653</v>
      </c>
      <c r="H148" s="8">
        <f ca="1">+H147*(1+Deltas!H148)</f>
        <v>111.68439094698286</v>
      </c>
      <c r="I148" s="8">
        <f ca="1">+I147*(1+Deltas!I148)</f>
        <v>112.81361145823317</v>
      </c>
      <c r="J148" s="8">
        <f ca="1">+J147*(1+Deltas!J148)</f>
        <v>109.81466371371954</v>
      </c>
      <c r="K148" s="8">
        <f ca="1">+K147*(1+Deltas!K148)</f>
        <v>92.390219560878336</v>
      </c>
      <c r="L148" s="8">
        <f ca="1">+L147*(1+Deltas!L148)</f>
        <v>108.99962811454066</v>
      </c>
      <c r="M148" s="8">
        <f ca="1">+M147*(1+Deltas!M148)</f>
        <v>120.90384856462339</v>
      </c>
      <c r="N148" s="8">
        <f ca="1">+N147*(1+Deltas!N148)</f>
        <v>147.72366297759888</v>
      </c>
      <c r="O148" s="8">
        <f ca="1">+O147*(1+Deltas!O148)</f>
        <v>108.03146346512101</v>
      </c>
      <c r="P148" s="8">
        <f ca="1">+P147*(1+Deltas!P148)</f>
        <v>133.41768050423153</v>
      </c>
    </row>
    <row r="149" spans="1:16" x14ac:dyDescent="0.25">
      <c r="A149" vm="2228">
        <f ca="1"/>
        <v>45559</v>
      </c>
      <c r="B149" s="8">
        <f ca="1">+B148*(1+Deltas!B149)</f>
        <v>127.3068642667604</v>
      </c>
      <c r="C149" s="8">
        <f ca="1">+C148*(1+Deltas!C149)</f>
        <v>111.76673965656336</v>
      </c>
      <c r="D149" s="8">
        <f ca="1">+D148*(1+Deltas!D149)</f>
        <v>105.32296063610488</v>
      </c>
      <c r="E149" s="8">
        <f ca="1">+E148*(1+Deltas!E149)</f>
        <v>116.42865861100931</v>
      </c>
      <c r="F149" s="8">
        <f ca="1">+F148*(1+Deltas!F149)</f>
        <v>108.75078468298808</v>
      </c>
      <c r="G149" s="8">
        <f ca="1">+G148*(1+Deltas!G149)</f>
        <v>115.3393295175797</v>
      </c>
      <c r="H149" s="8">
        <f ca="1">+H148*(1+Deltas!H149)</f>
        <v>112.03108566086235</v>
      </c>
      <c r="I149" s="8">
        <f ca="1">+I148*(1+Deltas!I149)</f>
        <v>112.51562049408821</v>
      </c>
      <c r="J149" s="8">
        <f ca="1">+J148*(1+Deltas!J149)</f>
        <v>111.38827369157242</v>
      </c>
      <c r="K149" s="8">
        <f ca="1">+K148*(1+Deltas!K149)</f>
        <v>93.862275449101872</v>
      </c>
      <c r="L149" s="8">
        <f ca="1">+L148*(1+Deltas!L149)</f>
        <v>109.7062104871699</v>
      </c>
      <c r="M149" s="8">
        <f ca="1">+M148*(1+Deltas!M149)</f>
        <v>120.23317036479889</v>
      </c>
      <c r="N149" s="8">
        <f ca="1">+N148*(1+Deltas!N149)</f>
        <v>153.58127596853927</v>
      </c>
      <c r="O149" s="8">
        <f ca="1">+O148*(1+Deltas!O149)</f>
        <v>108.71455185261843</v>
      </c>
      <c r="P149" s="8">
        <f ca="1">+P148*(1+Deltas!P149)</f>
        <v>134.88346975459606</v>
      </c>
    </row>
    <row r="150" spans="1:16" x14ac:dyDescent="0.25">
      <c r="A150" vm="2241">
        <f ca="1"/>
        <v>45560</v>
      </c>
      <c r="B150" s="8">
        <f ca="1">+B149*(1+Deltas!B150)</f>
        <v>128.68372302608549</v>
      </c>
      <c r="C150" s="8">
        <f ca="1">+C149*(1+Deltas!C150)</f>
        <v>110.94272213898816</v>
      </c>
      <c r="D150" s="8">
        <f ca="1">+D149*(1+Deltas!D150)</f>
        <v>106.04446844016888</v>
      </c>
      <c r="E150" s="8">
        <f ca="1">+E149*(1+Deltas!E150)</f>
        <v>116.31270596850962</v>
      </c>
      <c r="F150" s="8">
        <f ca="1">+F149*(1+Deltas!F150)</f>
        <v>108.13559322033898</v>
      </c>
      <c r="G150" s="8">
        <f ca="1">+G149*(1+Deltas!G150)</f>
        <v>114.57617879531205</v>
      </c>
      <c r="H150" s="8">
        <f ca="1">+H149*(1+Deltas!H150)</f>
        <v>112.24923064937076</v>
      </c>
      <c r="I150" s="8">
        <f ca="1">+I149*(1+Deltas!I150)</f>
        <v>110.32394501586077</v>
      </c>
      <c r="J150" s="8">
        <f ca="1">+J149*(1+Deltas!J150)</f>
        <v>111.91281035085673</v>
      </c>
      <c r="K150" s="8">
        <f ca="1">+K149*(1+Deltas!K150)</f>
        <v>92.365269461077929</v>
      </c>
      <c r="L150" s="8">
        <f ca="1">+L149*(1+Deltas!L150)</f>
        <v>107.5864633692822</v>
      </c>
      <c r="M150" s="8">
        <f ca="1">+M149*(1+Deltas!M150)</f>
        <v>119.09239062304134</v>
      </c>
      <c r="N150" s="8">
        <f ca="1">+N149*(1+Deltas!N150)</f>
        <v>156.93574414556372</v>
      </c>
      <c r="O150" s="8">
        <f ca="1">+O149*(1+Deltas!O150)</f>
        <v>108.9836472779962</v>
      </c>
      <c r="P150" s="8">
        <f ca="1">+P149*(1+Deltas!P150)</f>
        <v>135.40806801262124</v>
      </c>
    </row>
    <row r="151" spans="1:16" x14ac:dyDescent="0.25">
      <c r="A151" vm="2256">
        <f ca="1"/>
        <v>45561</v>
      </c>
      <c r="B151" s="8">
        <f ca="1">+B150*(1+Deltas!B151)</f>
        <v>127.28183047113632</v>
      </c>
      <c r="C151" s="8">
        <f ca="1">+C150*(1+Deltas!C151)</f>
        <v>110.15327878298953</v>
      </c>
      <c r="D151" s="8">
        <f ca="1">+D150*(1+Deltas!D151)</f>
        <v>105.84813978600181</v>
      </c>
      <c r="E151" s="8">
        <f ca="1">+E150*(1+Deltas!E151)</f>
        <v>117.15183693396793</v>
      </c>
      <c r="F151" s="8">
        <f ca="1">+F150*(1+Deltas!F151)</f>
        <v>108.73195229127433</v>
      </c>
      <c r="G151" s="8">
        <f ca="1">+G150*(1+Deltas!G151)</f>
        <v>114.35268465521938</v>
      </c>
      <c r="H151" s="8">
        <f ca="1">+H150*(1+Deltas!H151)</f>
        <v>111.9570721826184</v>
      </c>
      <c r="I151" s="8">
        <f ca="1">+I150*(1+Deltas!I151)</f>
        <v>108.43026050177829</v>
      </c>
      <c r="J151" s="8">
        <f ca="1">+J150*(1+Deltas!J151)</f>
        <v>114.9900920853246</v>
      </c>
      <c r="K151" s="8">
        <f ca="1">+K150*(1+Deltas!K151)</f>
        <v>93.812375249501073</v>
      </c>
      <c r="L151" s="8">
        <f ca="1">+L150*(1+Deltas!L151)</f>
        <v>107.7352175529936</v>
      </c>
      <c r="M151" s="8">
        <f ca="1">+M150*(1+Deltas!M151)</f>
        <v>118.27127992979827</v>
      </c>
      <c r="N151" s="8">
        <f ca="1">+N150*(1+Deltas!N151)</f>
        <v>157.60917904473905</v>
      </c>
      <c r="O151" s="8">
        <f ca="1">+O150*(1+Deltas!O151)</f>
        <v>109.39764024011585</v>
      </c>
      <c r="P151" s="8">
        <f ca="1">+P150*(1+Deltas!P151)</f>
        <v>137.39074084074588</v>
      </c>
    </row>
    <row r="152" spans="1:16" x14ac:dyDescent="0.25">
      <c r="A152" vm="2271">
        <f ca="1"/>
        <v>45562</v>
      </c>
      <c r="B152" s="8">
        <f ca="1">+B151*(1+Deltas!B152)</f>
        <v>130.40604816502307</v>
      </c>
      <c r="C152" s="8">
        <f ca="1">+C151*(1+Deltas!C152)</f>
        <v>108.31508585916794</v>
      </c>
      <c r="D152" s="8">
        <f ca="1">+D151*(1+Deltas!D152)</f>
        <v>105.04073819573971</v>
      </c>
      <c r="E152" s="8">
        <f ca="1">+E151*(1+Deltas!E152)</f>
        <v>116.78567069449521</v>
      </c>
      <c r="F152" s="8">
        <f ca="1">+F151*(1+Deltas!F152)</f>
        <v>108.94538606403015</v>
      </c>
      <c r="G152" s="8">
        <f ca="1">+G151*(1+Deltas!G152)</f>
        <v>114.74516216952846</v>
      </c>
      <c r="H152" s="8">
        <f ca="1">+H151*(1+Deltas!H152)</f>
        <v>113.32826925324287</v>
      </c>
      <c r="I152" s="8">
        <f ca="1">+I151*(1+Deltas!I152)</f>
        <v>111.33326924925497</v>
      </c>
      <c r="J152" s="8">
        <f ca="1">+J151*(1+Deltas!J152)</f>
        <v>112.08765590395147</v>
      </c>
      <c r="K152" s="8">
        <f ca="1">+K151*(1+Deltas!K152)</f>
        <v>92.889221556886298</v>
      </c>
      <c r="L152" s="8">
        <f ca="1">+L151*(1+Deltas!L152)</f>
        <v>108.18148010412787</v>
      </c>
      <c r="M152" s="8">
        <f ca="1">+M151*(1+Deltas!M152)</f>
        <v>118.06443525134773</v>
      </c>
      <c r="N152" s="8">
        <f ca="1">+N151*(1+Deltas!N152)</f>
        <v>154.25471086771461</v>
      </c>
      <c r="O152" s="8">
        <f ca="1">+O151*(1+Deltas!O152)</f>
        <v>109.74953425791755</v>
      </c>
      <c r="P152" s="8">
        <f ca="1">+P151*(1+Deltas!P152)</f>
        <v>133.2248134976046</v>
      </c>
    </row>
    <row r="153" spans="1:16" x14ac:dyDescent="0.25">
      <c r="A153" vm="2286">
        <f ca="1"/>
        <v>45565</v>
      </c>
      <c r="B153" s="8">
        <f ca="1">+B152*(1+Deltas!B153)</f>
        <v>130.99183898262683</v>
      </c>
      <c r="C153" s="8">
        <f ca="1">+C152*(1+Deltas!C153)</f>
        <v>107.37005877607471</v>
      </c>
      <c r="D153" s="8">
        <f ca="1">+D152*(1+Deltas!D153)</f>
        <v>105.60027486011589</v>
      </c>
      <c r="E153" s="8">
        <f ca="1">+E152*(1+Deltas!E153)</f>
        <v>116.46222384962763</v>
      </c>
      <c r="F153" s="8">
        <f ca="1">+F152*(1+Deltas!F153)</f>
        <v>108.72567482736974</v>
      </c>
      <c r="G153" s="8">
        <f ca="1">+G152*(1+Deltas!G153)</f>
        <v>114.941400926683</v>
      </c>
      <c r="H153" s="8">
        <f ca="1">+H152*(1+Deltas!H153)</f>
        <v>113.87947489384899</v>
      </c>
      <c r="I153" s="8">
        <f ca="1">+I152*(1+Deltas!I153)</f>
        <v>112.6790348937806</v>
      </c>
      <c r="J153" s="8">
        <f ca="1">+J152*(1+Deltas!J153)</f>
        <v>112.56556708241051</v>
      </c>
      <c r="K153" s="8">
        <f ca="1">+K152*(1+Deltas!K153)</f>
        <v>91.142714570858359</v>
      </c>
      <c r="L153" s="8">
        <f ca="1">+L152*(1+Deltas!L153)</f>
        <v>107.62365191521006</v>
      </c>
      <c r="M153" s="8">
        <f ca="1">+M152*(1+Deltas!M153)</f>
        <v>118.87300990347259</v>
      </c>
      <c r="N153" s="8">
        <f ca="1">+N152*(1+Deltas!N153)</f>
        <v>154.30553614312404</v>
      </c>
      <c r="O153" s="8">
        <f ca="1">+O152*(1+Deltas!O153)</f>
        <v>110.1635272200372</v>
      </c>
      <c r="P153" s="8">
        <f ca="1">+P152*(1+Deltas!P153)</f>
        <v>133.07823457256816</v>
      </c>
    </row>
    <row r="154" spans="1:16" x14ac:dyDescent="0.25">
      <c r="A154" vm="2302">
        <f ca="1"/>
        <v>45566</v>
      </c>
      <c r="B154" s="8">
        <f ca="1">+B153*(1+Deltas!B154)</f>
        <v>129.18439893856734</v>
      </c>
      <c r="C154" s="8">
        <f ca="1">+C153*(1+Deltas!C154)</f>
        <v>106.67857554454308</v>
      </c>
      <c r="D154" s="8">
        <f ca="1">+D153*(1+Deltas!D154)</f>
        <v>103.24187690193389</v>
      </c>
      <c r="E154" s="8">
        <f ca="1">+E153*(1+Deltas!E154)</f>
        <v>116.12962284877324</v>
      </c>
      <c r="F154" s="8">
        <f ca="1">+F153*(1+Deltas!F154)</f>
        <v>108.62523540489643</v>
      </c>
      <c r="G154" s="8">
        <f ca="1">+G153*(1+Deltas!G154)</f>
        <v>112.85908967020984</v>
      </c>
      <c r="H154" s="8">
        <f ca="1">+H153*(1+Deltas!H154)</f>
        <v>113.61068910443682</v>
      </c>
      <c r="I154" s="8">
        <f ca="1">+I153*(1+Deltas!I154)</f>
        <v>115.28405267711234</v>
      </c>
      <c r="J154" s="8">
        <f ca="1">+J153*(1+Deltas!J154)</f>
        <v>112.83366359715582</v>
      </c>
      <c r="K154" s="8">
        <f ca="1">+K153*(1+Deltas!K154)</f>
        <v>89.171656686626818</v>
      </c>
      <c r="L154" s="8">
        <f ca="1">+L153*(1+Deltas!L154)</f>
        <v>106.619561175158</v>
      </c>
      <c r="M154" s="8">
        <f ca="1">+M153*(1+Deltas!M154)</f>
        <v>119.01717437633205</v>
      </c>
      <c r="N154" s="8">
        <f ca="1">+N153*(1+Deltas!N154)</f>
        <v>148.66393057267385</v>
      </c>
      <c r="O154" s="8">
        <f ca="1">+O153*(1+Deltas!O154)</f>
        <v>109.16994411095006</v>
      </c>
      <c r="P154" s="8">
        <f ca="1">+P153*(1+Deltas!P154)</f>
        <v>129.19775039923474</v>
      </c>
    </row>
    <row r="155" spans="1:16" x14ac:dyDescent="0.25">
      <c r="A155" vm="2317">
        <f ca="1"/>
        <v>45567</v>
      </c>
      <c r="B155" s="8">
        <f ca="1">+B154*(1+Deltas!B155)</f>
        <v>124.67831572623069</v>
      </c>
      <c r="C155" s="8">
        <f ca="1">+C154*(1+Deltas!C155)</f>
        <v>106.46536821482083</v>
      </c>
      <c r="D155" s="8">
        <f ca="1">+D154*(1+Deltas!D155)</f>
        <v>102.36821439089042</v>
      </c>
      <c r="E155" s="8">
        <f ca="1">+E154*(1+Deltas!E155)</f>
        <v>115.39118759916994</v>
      </c>
      <c r="F155" s="8">
        <f ca="1">+F154*(1+Deltas!F155)</f>
        <v>107.92215944758318</v>
      </c>
      <c r="G155" s="8">
        <f ca="1">+G154*(1+Deltas!G155)</f>
        <v>112.99536658490049</v>
      </c>
      <c r="H155" s="8">
        <f ca="1">+H154*(1+Deltas!H155)</f>
        <v>115.36558762806268</v>
      </c>
      <c r="I155" s="8">
        <f ca="1">+I154*(1+Deltas!I155)</f>
        <v>116.81245794482356</v>
      </c>
      <c r="J155" s="8">
        <f ca="1">+J154*(1+Deltas!J155)</f>
        <v>110.67723510898702</v>
      </c>
      <c r="K155" s="8">
        <f ca="1">+K154*(1+Deltas!K155)</f>
        <v>87.599800399201655</v>
      </c>
      <c r="L155" s="8">
        <f ca="1">+L154*(1+Deltas!L155)</f>
        <v>106.39642989959086</v>
      </c>
      <c r="M155" s="8">
        <f ca="1">+M154*(1+Deltas!M155)</f>
        <v>119.23028707534171</v>
      </c>
      <c r="N155" s="8">
        <f ca="1">+N154*(1+Deltas!N155)</f>
        <v>151.0145995603614</v>
      </c>
      <c r="O155" s="8">
        <f ca="1">+O154*(1+Deltas!O155)</f>
        <v>108.92154833367826</v>
      </c>
      <c r="P155" s="8">
        <f ca="1">+P154*(1+Deltas!P155)</f>
        <v>131.65873340379412</v>
      </c>
    </row>
    <row r="156" spans="1:16" x14ac:dyDescent="0.25">
      <c r="A156" vm="2330">
        <f ca="1"/>
        <v>45568</v>
      </c>
      <c r="B156" s="8">
        <f ca="1">+B155*(1+Deltas!B156)</f>
        <v>120.49266509788239</v>
      </c>
      <c r="C156" s="8">
        <f ca="1">+C155*(1+Deltas!C156)</f>
        <v>104.85190734124701</v>
      </c>
      <c r="D156" s="8">
        <f ca="1">+D155*(1+Deltas!D156)</f>
        <v>102.2234220084422</v>
      </c>
      <c r="E156" s="8">
        <f ca="1">+E155*(1+Deltas!E156)</f>
        <v>113.84718662272664</v>
      </c>
      <c r="F156" s="8">
        <f ca="1">+F155*(1+Deltas!F156)</f>
        <v>106.79221594475834</v>
      </c>
      <c r="G156" s="8">
        <f ca="1">+G155*(1+Deltas!G156)</f>
        <v>111.87244480784953</v>
      </c>
      <c r="H156" s="8">
        <f ca="1">+H155*(1+Deltas!H156)</f>
        <v>115.45128744497671</v>
      </c>
      <c r="I156" s="8">
        <f ca="1">+I155*(1+Deltas!I156)</f>
        <v>117.83139478996441</v>
      </c>
      <c r="J156" s="8">
        <f ca="1">+J155*(1+Deltas!J156)</f>
        <v>109.56987993938685</v>
      </c>
      <c r="K156" s="8">
        <f ca="1">+K155*(1+Deltas!K156)</f>
        <v>86.776447105788478</v>
      </c>
      <c r="L156" s="8">
        <f ca="1">+L155*(1+Deltas!L156)</f>
        <v>105.39233915953879</v>
      </c>
      <c r="M156" s="8">
        <f ca="1">+M155*(1+Deltas!M156)</f>
        <v>117.73849818227414</v>
      </c>
      <c r="N156" s="8">
        <f ca="1">+N155*(1+Deltas!N156)</f>
        <v>156.09712710130754</v>
      </c>
      <c r="O156" s="8">
        <f ca="1">+O155*(1+Deltas!O156)</f>
        <v>108.5282550196646</v>
      </c>
      <c r="P156" s="8">
        <f ca="1">+P155*(1+Deltas!P156)</f>
        <v>132.6076390763985</v>
      </c>
    </row>
    <row r="157" spans="1:16" x14ac:dyDescent="0.25">
      <c r="A157" vm="2345">
        <f ca="1"/>
        <v>45569</v>
      </c>
      <c r="B157" s="8">
        <f ca="1">+B156*(1+Deltas!B157)</f>
        <v>125.20903219346145</v>
      </c>
      <c r="C157" s="8">
        <f ca="1">+C156*(1+Deltas!C157)</f>
        <v>107.47378126080444</v>
      </c>
      <c r="D157" s="8">
        <f ca="1">+D156*(1+Deltas!D157)</f>
        <v>102.10562481594195</v>
      </c>
      <c r="E157" s="8">
        <f ca="1">+E156*(1+Deltas!E157)</f>
        <v>113.29793726351757</v>
      </c>
      <c r="F157" s="8">
        <f ca="1">+F156*(1+Deltas!F157)</f>
        <v>106.01381042059009</v>
      </c>
      <c r="G157" s="8">
        <f ca="1">+G156*(1+Deltas!G157)</f>
        <v>115.13763968383753</v>
      </c>
      <c r="H157" s="8">
        <f ca="1">+H156*(1+Deltas!H157)</f>
        <v>115.14939036266594</v>
      </c>
      <c r="I157" s="8">
        <f ca="1">+I156*(1+Deltas!I157)</f>
        <v>119.994232432952</v>
      </c>
      <c r="J157" s="8">
        <f ca="1">+J156*(1+Deltas!J157)</f>
        <v>110.56067140692384</v>
      </c>
      <c r="K157" s="8">
        <f ca="1">+K156*(1+Deltas!K157)</f>
        <v>87.27544910179644</v>
      </c>
      <c r="L157" s="8">
        <f ca="1">+L156*(1+Deltas!L157)</f>
        <v>106.2848642618073</v>
      </c>
      <c r="M157" s="8">
        <f ca="1">+M156*(1+Deltas!M157)</f>
        <v>119.44966779491047</v>
      </c>
      <c r="N157" s="8">
        <f ca="1">+N156*(1+Deltas!N157)</f>
        <v>158.72733510374718</v>
      </c>
      <c r="O157" s="8">
        <f ca="1">+O156*(1+Deltas!O157)</f>
        <v>109.19064375905603</v>
      </c>
      <c r="P157" s="8">
        <f ca="1">+P156*(1+Deltas!P157)</f>
        <v>136.27211220230981</v>
      </c>
    </row>
    <row r="158" spans="1:16" x14ac:dyDescent="0.25">
      <c r="A158" vm="2359">
        <f ca="1"/>
        <v>45572</v>
      </c>
      <c r="B158" s="8">
        <f ca="1">+B157*(1+Deltas!B158)</f>
        <v>120.57778000300432</v>
      </c>
      <c r="C158" s="8">
        <f ca="1">+C157*(1+Deltas!C158)</f>
        <v>104.18347355076642</v>
      </c>
      <c r="D158" s="8">
        <f ca="1">+D157*(1+Deltas!D158)</f>
        <v>100.50554628448029</v>
      </c>
      <c r="E158" s="8">
        <f ca="1">+E157*(1+Deltas!E158)</f>
        <v>112.22384962773091</v>
      </c>
      <c r="F158" s="8">
        <f ca="1">+F157*(1+Deltas!F158)</f>
        <v>104.90897677338356</v>
      </c>
      <c r="G158" s="8">
        <f ca="1">+G157*(1+Deltas!G158)</f>
        <v>114.97955846279639</v>
      </c>
      <c r="H158" s="8">
        <f ca="1">+H157*(1+Deltas!H158)</f>
        <v>113.66132990534054</v>
      </c>
      <c r="I158" s="8">
        <f ca="1">+I157*(1+Deltas!I158)</f>
        <v>120.51331346726904</v>
      </c>
      <c r="J158" s="8">
        <f ca="1">+J157*(1+Deltas!J158)</f>
        <v>111.50483739363561</v>
      </c>
      <c r="K158" s="8">
        <f ca="1">+K157*(1+Deltas!K158)</f>
        <v>86.676646706586865</v>
      </c>
      <c r="L158" s="8">
        <f ca="1">+L157*(1+Deltas!L158)</f>
        <v>108.59055410933426</v>
      </c>
      <c r="M158" s="8">
        <f ca="1">+M157*(1+Deltas!M158)</f>
        <v>113.60787263382234</v>
      </c>
      <c r="N158" s="8">
        <f ca="1">+N157*(1+Deltas!N158)</f>
        <v>162.28510438240946</v>
      </c>
      <c r="O158" s="8">
        <f ca="1">+O157*(1+Deltas!O158)</f>
        <v>108.69385220451245</v>
      </c>
      <c r="P158" s="8">
        <f ca="1">+P157*(1+Deltas!P158)</f>
        <v>135.06862208095791</v>
      </c>
    </row>
    <row r="159" spans="1:16" x14ac:dyDescent="0.25">
      <c r="A159" vm="2373">
        <f ca="1"/>
        <v>45573</v>
      </c>
      <c r="B159" s="8">
        <f ca="1">+B158*(1+Deltas!B159)</f>
        <v>122.4152606018127</v>
      </c>
      <c r="C159" s="8">
        <f ca="1">+C158*(1+Deltas!C159)</f>
        <v>105.28984672121703</v>
      </c>
      <c r="D159" s="8">
        <f ca="1">+D158*(1+Deltas!D159)</f>
        <v>101.77432021203502</v>
      </c>
      <c r="E159" s="8">
        <f ca="1">+E158*(1+Deltas!E159)</f>
        <v>113.93872818259482</v>
      </c>
      <c r="F159" s="8">
        <f ca="1">+F158*(1+Deltas!F159)</f>
        <v>105.56183301946014</v>
      </c>
      <c r="G159" s="8">
        <f ca="1">+G158*(1+Deltas!G159)</f>
        <v>114.88143908421912</v>
      </c>
      <c r="H159" s="8">
        <f ca="1">+H158*(1+Deltas!H159)</f>
        <v>113.27568072922743</v>
      </c>
      <c r="I159" s="8">
        <f ca="1">+I158*(1+Deltas!I159)</f>
        <v>117.31231375564739</v>
      </c>
      <c r="J159" s="8">
        <f ca="1">+J158*(1+Deltas!J159)</f>
        <v>110.89870614290707</v>
      </c>
      <c r="K159" s="8">
        <f ca="1">+K158*(1+Deltas!K159)</f>
        <v>86.526946107784468</v>
      </c>
      <c r="L159" s="8">
        <f ca="1">+L158*(1+Deltas!L159)</f>
        <v>108.51617701747855</v>
      </c>
      <c r="M159" s="8">
        <f ca="1">+M158*(1+Deltas!M159)</f>
        <v>114.62329196439775</v>
      </c>
      <c r="N159" s="8">
        <f ca="1">+N158*(1+Deltas!N159)</f>
        <v>168.85427122908231</v>
      </c>
      <c r="O159" s="8">
        <f ca="1">+O158*(1+Deltas!O159)</f>
        <v>109.14924446284405</v>
      </c>
      <c r="P159" s="8">
        <f ca="1">+P158*(1+Deltas!P159)</f>
        <v>139.42741643072605</v>
      </c>
    </row>
    <row r="160" spans="1:16" x14ac:dyDescent="0.25">
      <c r="A160" vm="2389">
        <f ca="1"/>
        <v>45574</v>
      </c>
      <c r="B160" s="8">
        <f ca="1">+B159*(1+Deltas!B160)</f>
        <v>120.68792870375033</v>
      </c>
      <c r="C160" s="8">
        <f ca="1">+C159*(1+Deltas!C160)</f>
        <v>106.70162498559411</v>
      </c>
      <c r="D160" s="8">
        <f ca="1">+D159*(1+Deltas!D160)</f>
        <v>102.44919996073435</v>
      </c>
      <c r="E160" s="8">
        <f ca="1">+E159*(1+Deltas!E160)</f>
        <v>115.63529842548509</v>
      </c>
      <c r="F160" s="8">
        <f ca="1">+F159*(1+Deltas!F160)</f>
        <v>106.25863151286882</v>
      </c>
      <c r="G160" s="8">
        <f ca="1">+G159*(1+Deltas!G160)</f>
        <v>116.33687653311527</v>
      </c>
      <c r="H160" s="8">
        <f ca="1">+H159*(1+Deltas!H160)</f>
        <v>115.15328580888929</v>
      </c>
      <c r="I160" s="8">
        <f ca="1">+I159*(1+Deltas!I160)</f>
        <v>117.36037681438046</v>
      </c>
      <c r="J160" s="8">
        <f ca="1">+J159*(1+Deltas!J160)</f>
        <v>111.02692621517657</v>
      </c>
      <c r="K160" s="8">
        <f ca="1">+K159*(1+Deltas!K160)</f>
        <v>86.976047904191645</v>
      </c>
      <c r="L160" s="8">
        <f ca="1">+L159*(1+Deltas!L160)</f>
        <v>112.27222015619182</v>
      </c>
      <c r="M160" s="8">
        <f ca="1">+M159*(1+Deltas!M160)</f>
        <v>115.90196815845567</v>
      </c>
      <c r="N160" s="8">
        <f ca="1">+N159*(1+Deltas!N160)</f>
        <v>168.54931957662558</v>
      </c>
      <c r="O160" s="8">
        <f ca="1">+O159*(1+Deltas!O160)</f>
        <v>110.86731525564058</v>
      </c>
      <c r="P160" s="8">
        <f ca="1">+P159*(1+Deltas!P160)</f>
        <v>143.45447952909595</v>
      </c>
    </row>
    <row r="161" spans="1:16" x14ac:dyDescent="0.25">
      <c r="A161" vm="2404">
        <f ca="1"/>
        <v>45575</v>
      </c>
      <c r="B161" s="8">
        <f ca="1">+B160*(1+Deltas!B161)</f>
        <v>119.54638762329171</v>
      </c>
      <c r="C161" s="8">
        <f ca="1">+C160*(1+Deltas!C161)</f>
        <v>107.55445430448314</v>
      </c>
      <c r="D161" s="8">
        <f ca="1">+D160*(1+Deltas!D161)</f>
        <v>102.05163443604602</v>
      </c>
      <c r="E161" s="8">
        <f ca="1">+E160*(1+Deltas!E161)</f>
        <v>114.86940070792133</v>
      </c>
      <c r="F161" s="8">
        <f ca="1">+F160*(1+Deltas!F161)</f>
        <v>106.05775266792216</v>
      </c>
      <c r="G161" s="8">
        <f ca="1">+G160*(1+Deltas!G161)</f>
        <v>116.02071409103297</v>
      </c>
      <c r="H161" s="8">
        <f ca="1">+H160*(1+Deltas!H161)</f>
        <v>116.41541038525952</v>
      </c>
      <c r="I161" s="8">
        <f ca="1">+I160*(1+Deltas!I161)</f>
        <v>118.36970104777467</v>
      </c>
      <c r="J161" s="8">
        <f ca="1">+J160*(1+Deltas!J161)</f>
        <v>109.91957104557638</v>
      </c>
      <c r="K161" s="8">
        <f ca="1">+K160*(1+Deltas!K161)</f>
        <v>87.325349301397239</v>
      </c>
      <c r="L161" s="8">
        <f ca="1">+L160*(1+Deltas!L161)</f>
        <v>109.11119375232421</v>
      </c>
      <c r="M161" s="8">
        <f ca="1">+M160*(1+Deltas!M161)</f>
        <v>116.45355396765711</v>
      </c>
      <c r="N161" s="8">
        <f ca="1">+N160*(1+Deltas!N161)</f>
        <v>171.29388444873646</v>
      </c>
      <c r="O161" s="8">
        <f ca="1">+O160*(1+Deltas!O161)</f>
        <v>110.82591595942861</v>
      </c>
      <c r="P161" s="8">
        <f ca="1">+P160*(1+Deltas!P161)</f>
        <v>143.25389784220397</v>
      </c>
    </row>
    <row r="162" spans="1:16" x14ac:dyDescent="0.25">
      <c r="A162" vm="2419">
        <f ca="1"/>
        <v>45576</v>
      </c>
      <c r="B162" s="8">
        <f ca="1">+B161*(1+Deltas!B162)</f>
        <v>109.04721373854728</v>
      </c>
      <c r="C162" s="8">
        <f ca="1">+C161*(1+Deltas!C162)</f>
        <v>108.80488648150285</v>
      </c>
      <c r="D162" s="8">
        <f ca="1">+D161*(1+Deltas!D162)</f>
        <v>102.16943162854628</v>
      </c>
      <c r="E162" s="8">
        <f ca="1">+E161*(1+Deltas!E162)</f>
        <v>115.64445258147192</v>
      </c>
      <c r="F162" s="8">
        <f ca="1">+F161*(1+Deltas!F162)</f>
        <v>107.40112994350284</v>
      </c>
      <c r="G162" s="8">
        <f ca="1">+G161*(1+Deltas!G162)</f>
        <v>121.17198146633957</v>
      </c>
      <c r="H162" s="8">
        <f ca="1">+H161*(1+Deltas!H162)</f>
        <v>116.48358069416838</v>
      </c>
      <c r="I162" s="8">
        <f ca="1">+I161*(1+Deltas!I162)</f>
        <v>118.82149379986541</v>
      </c>
      <c r="J162" s="8">
        <f ca="1">+J161*(1+Deltas!J162)</f>
        <v>110.61895325795545</v>
      </c>
      <c r="K162" s="8">
        <f ca="1">+K161*(1+Deltas!K162)</f>
        <v>90.69361277445114</v>
      </c>
      <c r="L162" s="8">
        <f ca="1">+L161*(1+Deltas!L162)</f>
        <v>108.44179992562285</v>
      </c>
      <c r="M162" s="8">
        <f ca="1">+M161*(1+Deltas!M162)</f>
        <v>118.01429108687488</v>
      </c>
      <c r="N162" s="8">
        <f ca="1">+N161*(1+Deltas!N162)</f>
        <v>171.2811781298841</v>
      </c>
      <c r="O162" s="8">
        <f ca="1">+O161*(1+Deltas!O162)</f>
        <v>112.29559097495334</v>
      </c>
      <c r="P162" s="8">
        <f ca="1">+P161*(1+Deltas!P162)</f>
        <v>140.00601745060681</v>
      </c>
    </row>
    <row r="163" spans="1:16" x14ac:dyDescent="0.25">
      <c r="A163" vm="2432">
        <f ca="1"/>
        <v>45579</v>
      </c>
      <c r="B163" s="8">
        <f ca="1">+B162*(1+Deltas!B163)</f>
        <v>109.7281329795226</v>
      </c>
      <c r="C163" s="8">
        <f ca="1">+C162*(1+Deltas!C163)</f>
        <v>108.06730436786911</v>
      </c>
      <c r="D163" s="8">
        <f ca="1">+D162*(1+Deltas!D163)</f>
        <v>102.86149013448521</v>
      </c>
      <c r="E163" s="8">
        <f ca="1">+E162*(1+Deltas!E163)</f>
        <v>117.22201879653356</v>
      </c>
      <c r="F163" s="8">
        <f ca="1">+F162*(1+Deltas!F163)</f>
        <v>108.29252981795355</v>
      </c>
      <c r="G163" s="8">
        <f ca="1">+G162*(1+Deltas!G163)</f>
        <v>120.73044426274186</v>
      </c>
      <c r="H163" s="8">
        <f ca="1">+H162*(1+Deltas!H163)</f>
        <v>117.91515718125498</v>
      </c>
      <c r="I163" s="8">
        <f ca="1">+I162*(1+Deltas!I163)</f>
        <v>119.27328655195615</v>
      </c>
      <c r="J163" s="8">
        <f ca="1">+J162*(1+Deltas!J163)</f>
        <v>111.26005361930294</v>
      </c>
      <c r="K163" s="8">
        <f ca="1">+K162*(1+Deltas!K163)</f>
        <v>91.916167664670709</v>
      </c>
      <c r="L163" s="8">
        <f ca="1">+L162*(1+Deltas!L163)</f>
        <v>108.14429155820001</v>
      </c>
      <c r="M163" s="8">
        <f ca="1">+M162*(1+Deltas!M163)</f>
        <v>119.42459571267403</v>
      </c>
      <c r="N163" s="8">
        <f ca="1">+N162*(1+Deltas!N163)</f>
        <v>175.43614439460751</v>
      </c>
      <c r="O163" s="8">
        <f ca="1">+O162*(1+Deltas!O163)</f>
        <v>112.33699027116532</v>
      </c>
      <c r="P163" s="8">
        <f ca="1">+P162*(1+Deltas!P163)</f>
        <v>140.64633591260815</v>
      </c>
    </row>
    <row r="164" spans="1:16" x14ac:dyDescent="0.25">
      <c r="A164" vm="2448">
        <f ca="1"/>
        <v>45580</v>
      </c>
      <c r="B164" s="8">
        <f ca="1">+B163*(1+Deltas!B164)</f>
        <v>109.93341010364017</v>
      </c>
      <c r="C164" s="8">
        <f ca="1">+C163*(1+Deltas!C164)</f>
        <v>108.15373977181056</v>
      </c>
      <c r="D164" s="8">
        <f ca="1">+D163*(1+Deltas!D164)</f>
        <v>102.76332580740167</v>
      </c>
      <c r="E164" s="8">
        <f ca="1">+E163*(1+Deltas!E164)</f>
        <v>118.56157695593794</v>
      </c>
      <c r="F164" s="8">
        <f ca="1">+F163*(1+Deltas!F164)</f>
        <v>108.95794099183931</v>
      </c>
      <c r="G164" s="8">
        <f ca="1">+G163*(1+Deltas!G164)</f>
        <v>121.22649223221583</v>
      </c>
      <c r="H164" s="8">
        <f ca="1">+H163*(1+Deltas!H164)</f>
        <v>108.34988897978251</v>
      </c>
      <c r="I164" s="8">
        <f ca="1">+I163*(1+Deltas!I164)</f>
        <v>115.68778237047003</v>
      </c>
      <c r="J164" s="8">
        <f ca="1">+J163*(1+Deltas!J164)</f>
        <v>108.75393402494463</v>
      </c>
      <c r="K164" s="8">
        <f ca="1">+K163*(1+Deltas!K164)</f>
        <v>91.941117764471102</v>
      </c>
      <c r="L164" s="8">
        <f ca="1">+L163*(1+Deltas!L164)</f>
        <v>109.48307921160277</v>
      </c>
      <c r="M164" s="8">
        <f ca="1">+M163*(1+Deltas!M164)</f>
        <v>120.97906481133268</v>
      </c>
      <c r="N164" s="8">
        <f ca="1">+N163*(1+Deltas!N164)</f>
        <v>167.21515609712716</v>
      </c>
      <c r="O164" s="8">
        <f ca="1">+O163*(1+Deltas!O164)</f>
        <v>111.94369695715164</v>
      </c>
      <c r="P164" s="8">
        <f ca="1">+P163*(1+Deltas!P164)</f>
        <v>135.76294330481477</v>
      </c>
    </row>
    <row r="165" spans="1:16" x14ac:dyDescent="0.25">
      <c r="A165" vm="2464">
        <f ca="1"/>
        <v>45581</v>
      </c>
      <c r="B165" s="8">
        <f ca="1">+B164*(1+Deltas!B165)</f>
        <v>110.81459970960823</v>
      </c>
      <c r="C165" s="8">
        <f ca="1">+C164*(1+Deltas!C165)</f>
        <v>107.69275095078946</v>
      </c>
      <c r="D165" s="8">
        <f ca="1">+D164*(1+Deltas!D165)</f>
        <v>102.12034946500449</v>
      </c>
      <c r="E165" s="8">
        <f ca="1">+E164*(1+Deltas!E165)</f>
        <v>118.81789332356884</v>
      </c>
      <c r="F165" s="8">
        <f ca="1">+F164*(1+Deltas!F165)</f>
        <v>108.21092278719399</v>
      </c>
      <c r="G165" s="8">
        <f ca="1">+G164*(1+Deltas!G165)</f>
        <v>121.90787680566909</v>
      </c>
      <c r="H165" s="8">
        <f ca="1">+H164*(1+Deltas!H165)</f>
        <v>111.2812122628646</v>
      </c>
      <c r="I165" s="8">
        <f ca="1">+I164*(1+Deltas!I165)</f>
        <v>115.98577333461499</v>
      </c>
      <c r="J165" s="8">
        <f ca="1">+J164*(1+Deltas!J165)</f>
        <v>108.87049772700782</v>
      </c>
      <c r="K165" s="8">
        <f ca="1">+K164*(1+Deltas!K165)</f>
        <v>92.390219560878279</v>
      </c>
      <c r="L165" s="8">
        <f ca="1">+L164*(1+Deltas!L165)</f>
        <v>110.33841576794342</v>
      </c>
      <c r="M165" s="8">
        <f ca="1">+M164*(1+Deltas!M165)</f>
        <v>122.63382223893706</v>
      </c>
      <c r="N165" s="8">
        <f ca="1">+N164*(1+Deltas!N165)</f>
        <v>172.45015946430166</v>
      </c>
      <c r="O165" s="8">
        <f ca="1">+O164*(1+Deltas!O165)</f>
        <v>116.70461602152756</v>
      </c>
      <c r="P165" s="8">
        <f ca="1">+P164*(1+Deltas!P165)</f>
        <v>136.4109764470812</v>
      </c>
    </row>
    <row r="166" spans="1:16" x14ac:dyDescent="0.25">
      <c r="A166" vm="2476">
        <f ca="1"/>
        <v>45582</v>
      </c>
      <c r="B166" s="8">
        <f ca="1">+B165*(1+Deltas!B166)</f>
        <v>110.5943023081162</v>
      </c>
      <c r="C166" s="8">
        <f ca="1">+C165*(1+Deltas!C166)</f>
        <v>108.06154200760633</v>
      </c>
      <c r="D166" s="8">
        <f ca="1">+D165*(1+Deltas!D166)</f>
        <v>102.26759595562982</v>
      </c>
      <c r="E166" s="8">
        <f ca="1">+E165*(1+Deltas!E166)</f>
        <v>118.72330037837172</v>
      </c>
      <c r="F166" s="8">
        <f ca="1">+F165*(1+Deltas!F166)</f>
        <v>108.14814814814817</v>
      </c>
      <c r="G166" s="8">
        <f ca="1">+G165*(1+Deltas!G166)</f>
        <v>122.33306077950391</v>
      </c>
      <c r="H166" s="8">
        <f ca="1">+H165*(1+Deltas!H166)</f>
        <v>110.24697129056121</v>
      </c>
      <c r="I166" s="8">
        <f ca="1">+I165*(1+Deltas!I166)</f>
        <v>115.68778237047003</v>
      </c>
      <c r="J166" s="8">
        <f ca="1">+J165*(1+Deltas!J166)</f>
        <v>107.87970625947082</v>
      </c>
      <c r="K166" s="8">
        <f ca="1">+K165*(1+Deltas!K166)</f>
        <v>95.134730538922199</v>
      </c>
      <c r="L166" s="8">
        <f ca="1">+L165*(1+Deltas!L166)</f>
        <v>108.85087393082924</v>
      </c>
      <c r="M166" s="8">
        <f ca="1">+M165*(1+Deltas!M166)</f>
        <v>122.54606995110954</v>
      </c>
      <c r="N166" s="8">
        <f ca="1">+N165*(1+Deltas!N166)</f>
        <v>173.98762404543788</v>
      </c>
      <c r="O166" s="8">
        <f ca="1">+O165*(1+Deltas!O166)</f>
        <v>116.74601531773952</v>
      </c>
      <c r="P166" s="8">
        <f ca="1">+P165*(1+Deltas!P166)</f>
        <v>140.04459085193218</v>
      </c>
    </row>
    <row r="167" spans="1:16" x14ac:dyDescent="0.25">
      <c r="A167" vm="2490">
        <f ca="1"/>
        <v>45583</v>
      </c>
      <c r="B167" s="8">
        <f ca="1">+B166*(1+Deltas!B167)</f>
        <v>110.49917388474464</v>
      </c>
      <c r="C167" s="8">
        <f ca="1">+C166*(1+Deltas!C167)</f>
        <v>108.90284660596984</v>
      </c>
      <c r="D167" s="8">
        <f ca="1">+D166*(1+Deltas!D167)</f>
        <v>102.62098753313056</v>
      </c>
      <c r="E167" s="8">
        <f ca="1">+E166*(1+Deltas!E167)</f>
        <v>118.5036006346881</v>
      </c>
      <c r="F167" s="8">
        <f ca="1">+F166*(1+Deltas!F167)</f>
        <v>107.52040175768991</v>
      </c>
      <c r="G167" s="8">
        <f ca="1">+G166*(1+Deltas!G167)</f>
        <v>122.85091305532839</v>
      </c>
      <c r="H167" s="8">
        <f ca="1">+H166*(1+Deltas!H167)</f>
        <v>110.94425616454355</v>
      </c>
      <c r="I167" s="8">
        <f ca="1">+I166*(1+Deltas!I167)</f>
        <v>115.36095357108525</v>
      </c>
      <c r="J167" s="8">
        <f ca="1">+J166*(1+Deltas!J167)</f>
        <v>106.18953257955474</v>
      </c>
      <c r="K167" s="8">
        <f ca="1">+K166*(1+Deltas!K167)</f>
        <v>94.985029940119801</v>
      </c>
      <c r="L167" s="8">
        <f ca="1">+L166*(1+Deltas!L167)</f>
        <v>108.66493120118997</v>
      </c>
      <c r="M167" s="8">
        <f ca="1">+M166*(1+Deltas!M167)</f>
        <v>122.45831766328205</v>
      </c>
      <c r="N167" s="8">
        <f ca="1">+N166*(1+Deltas!N167)</f>
        <v>175.34720016264097</v>
      </c>
      <c r="O167" s="8">
        <f ca="1">+O166*(1+Deltas!O167)</f>
        <v>117.49120264955488</v>
      </c>
      <c r="P167" s="8">
        <f ca="1">+P166*(1+Deltas!P167)</f>
        <v>138.77938328845966</v>
      </c>
    </row>
    <row r="168" spans="1:16" x14ac:dyDescent="0.25">
      <c r="A168" vm="2506">
        <f ca="1"/>
        <v>45586</v>
      </c>
      <c r="B168" s="8">
        <f ca="1">+B167*(1+Deltas!B168)</f>
        <v>109.57292344665321</v>
      </c>
      <c r="C168" s="8">
        <f ca="1">+C167*(1+Deltas!C168)</f>
        <v>108.94894548807194</v>
      </c>
      <c r="D168" s="8">
        <f ca="1">+D167*(1+Deltas!D168)</f>
        <v>102.77314224011005</v>
      </c>
      <c r="E168" s="8">
        <f ca="1">+E167*(1+Deltas!E168)</f>
        <v>116.48663493225919</v>
      </c>
      <c r="F168" s="8">
        <f ca="1">+F167*(1+Deltas!F168)</f>
        <v>106.42812303829254</v>
      </c>
      <c r="G168" s="8">
        <f ca="1">+G167*(1+Deltas!G168)</f>
        <v>121.559007904061</v>
      </c>
      <c r="H168" s="8">
        <f ca="1">+H167*(1+Deltas!H168)</f>
        <v>111.30653266331649</v>
      </c>
      <c r="I168" s="8">
        <f ca="1">+I167*(1+Deltas!I168)</f>
        <v>115.42824185331152</v>
      </c>
      <c r="J168" s="8">
        <f ca="1">+J167*(1+Deltas!J168)</f>
        <v>105.49015036717569</v>
      </c>
      <c r="K168" s="8">
        <f ca="1">+K167*(1+Deltas!K168)</f>
        <v>93.787425149700653</v>
      </c>
      <c r="L168" s="8">
        <f ca="1">+L167*(1+Deltas!L168)</f>
        <v>107.5864633692822</v>
      </c>
      <c r="M168" s="8">
        <f ca="1">+M167*(1+Deltas!M168)</f>
        <v>120.74714805064569</v>
      </c>
      <c r="N168" s="8">
        <f ca="1">+N167*(1+Deltas!N168)</f>
        <v>182.60250822734159</v>
      </c>
      <c r="O168" s="8">
        <f ca="1">+O167*(1+Deltas!O168)</f>
        <v>117.1393086317532</v>
      </c>
      <c r="P168" s="8">
        <f ca="1">+P167*(1+Deltas!P168)</f>
        <v>138.85653009111044</v>
      </c>
    </row>
    <row r="169" spans="1:16" x14ac:dyDescent="0.25">
      <c r="A169" vm="2520">
        <f ca="1"/>
        <v>45587</v>
      </c>
      <c r="B169" s="8">
        <f ca="1">+B168*(1+Deltas!B169)</f>
        <v>109.13232864366918</v>
      </c>
      <c r="C169" s="8">
        <f ca="1">+C168*(1+Deltas!C169)</f>
        <v>109.31197418462604</v>
      </c>
      <c r="D169" s="8">
        <f ca="1">+D168*(1+Deltas!D169)</f>
        <v>104.91557867870827</v>
      </c>
      <c r="E169" s="8">
        <f ca="1">+E168*(1+Deltas!E169)</f>
        <v>110.27096301720975</v>
      </c>
      <c r="F169" s="8">
        <f ca="1">+F168*(1+Deltas!F169)</f>
        <v>106.52856246076587</v>
      </c>
      <c r="G169" s="8">
        <f ca="1">+G168*(1+Deltas!G169)</f>
        <v>122.16952848187512</v>
      </c>
      <c r="H169" s="8">
        <f ca="1">+H168*(1+Deltas!H169)</f>
        <v>110.99294924233561</v>
      </c>
      <c r="I169" s="8">
        <f ca="1">+I168*(1+Deltas!I169)</f>
        <v>116.02422378160145</v>
      </c>
      <c r="J169" s="8">
        <f ca="1">+J168*(1+Deltas!J169)</f>
        <v>104.26623149551232</v>
      </c>
      <c r="K169" s="8">
        <f ca="1">+K168*(1+Deltas!K169)</f>
        <v>95.384231536926194</v>
      </c>
      <c r="L169" s="8">
        <f ca="1">+L168*(1+Deltas!L169)</f>
        <v>107.25176645593152</v>
      </c>
      <c r="M169" s="8">
        <f ca="1">+M168*(1+Deltas!M169)</f>
        <v>120.8349003384732</v>
      </c>
      <c r="N169" s="8">
        <f ca="1">+N168*(1+Deltas!N169)</f>
        <v>182.45003240111319</v>
      </c>
      <c r="O169" s="8">
        <f ca="1">+O168*(1+Deltas!O169)</f>
        <v>117.16000827985918</v>
      </c>
      <c r="P169" s="8">
        <f ca="1">+P168*(1+Deltas!P169)</f>
        <v>138.38593459494078</v>
      </c>
    </row>
    <row r="170" spans="1:16" x14ac:dyDescent="0.25">
      <c r="A170" vm="2536">
        <f ca="1"/>
        <v>45588</v>
      </c>
      <c r="B170" s="8">
        <f ca="1">+B169*(1+Deltas!B170)</f>
        <v>106.96940870174758</v>
      </c>
      <c r="C170" s="8">
        <f ca="1">+C169*(1+Deltas!C170)</f>
        <v>106.43655641350699</v>
      </c>
      <c r="D170" s="8">
        <f ca="1">+D169*(1+Deltas!D170)</f>
        <v>104.20143319917554</v>
      </c>
      <c r="E170" s="8">
        <f ca="1">+E169*(1+Deltas!E170)</f>
        <v>110.67984865128763</v>
      </c>
      <c r="F170" s="8">
        <f ca="1">+F169*(1+Deltas!F170)</f>
        <v>106.45323289391089</v>
      </c>
      <c r="G170" s="8">
        <f ca="1">+G169*(1+Deltas!G170)</f>
        <v>121.78250204415367</v>
      </c>
      <c r="H170" s="8">
        <f ca="1">+H169*(1+Deltas!H170)</f>
        <v>109.97623777803737</v>
      </c>
      <c r="I170" s="8">
        <f ca="1">+I169*(1+Deltas!I170)</f>
        <v>115.61088147649714</v>
      </c>
      <c r="J170" s="8">
        <f ca="1">+J169*(1+Deltas!J170)</f>
        <v>102.16808485837512</v>
      </c>
      <c r="K170" s="8">
        <f ca="1">+K169*(1+Deltas!K170)</f>
        <v>94.635728542914222</v>
      </c>
      <c r="L170" s="8">
        <f ca="1">+L169*(1+Deltas!L170)</f>
        <v>107.32614354778723</v>
      </c>
      <c r="M170" s="8">
        <f ca="1">+M169*(1+Deltas!M170)</f>
        <v>120.8349003384732</v>
      </c>
      <c r="N170" s="8">
        <f ca="1">+N169*(1+Deltas!N170)</f>
        <v>177.32938590360996</v>
      </c>
      <c r="O170" s="8">
        <f ca="1">+O169*(1+Deltas!O170)</f>
        <v>116.49761954046775</v>
      </c>
      <c r="P170" s="8">
        <f ca="1">+P169*(1+Deltas!P170)</f>
        <v>133.85741727934092</v>
      </c>
    </row>
    <row r="171" spans="1:16" x14ac:dyDescent="0.25">
      <c r="A171" vm="2549">
        <f ca="1"/>
        <v>45589</v>
      </c>
      <c r="B171" s="8">
        <f ca="1">+B170*(1+Deltas!B171)</f>
        <v>130.41606168327272</v>
      </c>
      <c r="C171" s="8">
        <f ca="1">+C170*(1+Deltas!C171)</f>
        <v>107.39887057738852</v>
      </c>
      <c r="D171" s="8">
        <f ca="1">+D170*(1+Deltas!D171)</f>
        <v>104.23333660547769</v>
      </c>
      <c r="E171" s="8">
        <f ca="1">+E170*(1+Deltas!E171)</f>
        <v>110.33504210911747</v>
      </c>
      <c r="F171" s="8">
        <f ca="1">+F170*(1+Deltas!F171)</f>
        <v>106.4783427495292</v>
      </c>
      <c r="G171" s="8">
        <f ca="1">+G170*(1+Deltas!G171)</f>
        <v>122.63832106841096</v>
      </c>
      <c r="H171" s="8">
        <f ca="1">+H170*(1+Deltas!H171)</f>
        <v>109.23025982626299</v>
      </c>
      <c r="I171" s="8">
        <f ca="1">+I170*(1+Deltas!I171)</f>
        <v>114.95722387772757</v>
      </c>
      <c r="J171" s="8">
        <f ca="1">+J170*(1+Deltas!J171)</f>
        <v>103.10059447488054</v>
      </c>
      <c r="K171" s="8">
        <f ca="1">+K170*(1+Deltas!K171)</f>
        <v>95.059880239521007</v>
      </c>
      <c r="L171" s="8">
        <f ca="1">+L170*(1+Deltas!L171)</f>
        <v>106.50799553737444</v>
      </c>
      <c r="M171" s="8">
        <f ca="1">+M170*(1+Deltas!M171)</f>
        <v>120.34599473486283</v>
      </c>
      <c r="N171" s="8">
        <f ca="1">+N170*(1+Deltas!N171)</f>
        <v>178.40942300606099</v>
      </c>
      <c r="O171" s="8">
        <f ca="1">+O170*(1+Deltas!O171)</f>
        <v>115.83523080107632</v>
      </c>
      <c r="P171" s="8">
        <f ca="1">+P170*(1+Deltas!P171)</f>
        <v>132.19104634208443</v>
      </c>
    </row>
    <row r="172" spans="1:16" x14ac:dyDescent="0.25">
      <c r="A172" vm="2563">
        <f ca="1"/>
        <v>45590</v>
      </c>
      <c r="B172" s="8">
        <f ca="1">+B171*(1+Deltas!B172)</f>
        <v>134.77694888098961</v>
      </c>
      <c r="C172" s="8">
        <f ca="1">+C171*(1+Deltas!C172)</f>
        <v>108.23441281548926</v>
      </c>
      <c r="D172" s="8">
        <f ca="1">+D171*(1+Deltas!D172)</f>
        <v>105.07264160204193</v>
      </c>
      <c r="E172" s="8">
        <f ca="1">+E171*(1+Deltas!E172)</f>
        <v>109.55693885023796</v>
      </c>
      <c r="F172" s="8">
        <f ca="1">+F171*(1+Deltas!F172)</f>
        <v>105.59949780288764</v>
      </c>
      <c r="G172" s="8">
        <f ca="1">+G171*(1+Deltas!G172)</f>
        <v>121.18288361951481</v>
      </c>
      <c r="H172" s="8">
        <f ca="1">+H171*(1+Deltas!H172)</f>
        <v>109.9606559931439</v>
      </c>
      <c r="I172" s="8">
        <f ca="1">+I171*(1+Deltas!I172)</f>
        <v>114.86109776026144</v>
      </c>
      <c r="J172" s="8">
        <f ca="1">+J171*(1+Deltas!J172)</f>
        <v>102.69262151765942</v>
      </c>
      <c r="K172" s="8">
        <f ca="1">+K171*(1+Deltas!K172)</f>
        <v>94.560878243513017</v>
      </c>
      <c r="L172" s="8">
        <f ca="1">+L171*(1+Deltas!L172)</f>
        <v>105.8014131647452</v>
      </c>
      <c r="M172" s="8">
        <f ca="1">+M171*(1+Deltas!M172)</f>
        <v>117.91400275792915</v>
      </c>
      <c r="N172" s="8">
        <f ca="1">+N171*(1+Deltas!N172)</f>
        <v>179.84523703637825</v>
      </c>
      <c r="O172" s="8">
        <f ca="1">+O171*(1+Deltas!O172)</f>
        <v>115.37983854274471</v>
      </c>
      <c r="P172" s="8">
        <f ca="1">+P171*(1+Deltas!P172)</f>
        <v>133.46396858582204</v>
      </c>
    </row>
    <row r="173" spans="1:16" x14ac:dyDescent="0.25">
      <c r="A173" vm="2578">
        <f ca="1"/>
        <v>45593</v>
      </c>
      <c r="B173" s="8">
        <f ca="1">+B172*(1+Deltas!B173)</f>
        <v>131.43243378561084</v>
      </c>
      <c r="C173" s="8">
        <f ca="1">+C172*(1+Deltas!C173)</f>
        <v>108.55710499020401</v>
      </c>
      <c r="D173" s="8">
        <f ca="1">+D172*(1+Deltas!D173)</f>
        <v>104.68980072641612</v>
      </c>
      <c r="E173" s="8">
        <f ca="1">+E172*(1+Deltas!E173)</f>
        <v>110.84767484437928</v>
      </c>
      <c r="F173" s="8">
        <f ca="1">+F172*(1+Deltas!F173)</f>
        <v>106.27746390458256</v>
      </c>
      <c r="G173" s="8">
        <f ca="1">+G172*(1+Deltas!G173)</f>
        <v>122.92177705096753</v>
      </c>
      <c r="H173" s="8">
        <f ca="1">+H172*(1+Deltas!H173)</f>
        <v>110.09310116473833</v>
      </c>
      <c r="I173" s="8">
        <f ca="1">+I172*(1+Deltas!I173)</f>
        <v>114.29395366721137</v>
      </c>
      <c r="J173" s="8">
        <f ca="1">+J172*(1+Deltas!J173)</f>
        <v>103.45028558107006</v>
      </c>
      <c r="K173" s="8">
        <f ca="1">+K172*(1+Deltas!K173)</f>
        <v>94.436127744511026</v>
      </c>
      <c r="L173" s="8">
        <f ca="1">+L172*(1+Deltas!L173)</f>
        <v>107.32614354778723</v>
      </c>
      <c r="M173" s="8">
        <f ca="1">+M172*(1+Deltas!M173)</f>
        <v>118.59721699887186</v>
      </c>
      <c r="N173" s="8">
        <f ca="1">+N172*(1+Deltas!N173)</f>
        <v>178.54919251343702</v>
      </c>
      <c r="O173" s="8">
        <f ca="1">+O172*(1+Deltas!O173)</f>
        <v>114.42765472986953</v>
      </c>
      <c r="P173" s="8">
        <f ca="1">+P172*(1+Deltas!P173)</f>
        <v>132.70792991984456</v>
      </c>
    </row>
    <row r="174" spans="1:16" x14ac:dyDescent="0.25">
      <c r="A174" vm="2593">
        <f ca="1"/>
        <v>45594</v>
      </c>
      <c r="B174" s="8">
        <f ca="1">+B173*(1+Deltas!B174)</f>
        <v>129.93541280729011</v>
      </c>
      <c r="C174" s="8">
        <f ca="1">+C173*(1+Deltas!C174)</f>
        <v>109.96312089431837</v>
      </c>
      <c r="D174" s="8">
        <f ca="1">+D173*(1+Deltas!D174)</f>
        <v>106.00520270933553</v>
      </c>
      <c r="E174" s="8">
        <f ca="1">+E173*(1+Deltas!E174)</f>
        <v>110.3441962651043</v>
      </c>
      <c r="F174" s="8">
        <f ca="1">+F173*(1+Deltas!F174)</f>
        <v>104.94036409290646</v>
      </c>
      <c r="G174" s="8">
        <f ca="1">+G173*(1+Deltas!G174)</f>
        <v>121.50449713818476</v>
      </c>
      <c r="H174" s="8">
        <f ca="1">+H173*(1+Deltas!H174)</f>
        <v>109.48735927700508</v>
      </c>
      <c r="I174" s="8">
        <f ca="1">+I173*(1+Deltas!I174)</f>
        <v>112.73671056426029</v>
      </c>
      <c r="J174" s="8">
        <f ca="1">+J173*(1+Deltas!J174)</f>
        <v>104.03310409138595</v>
      </c>
      <c r="K174" s="8">
        <f ca="1">+K173*(1+Deltas!K174)</f>
        <v>94.835329341317419</v>
      </c>
      <c r="L174" s="8">
        <f ca="1">+L173*(1+Deltas!L174)</f>
        <v>105.83860171067306</v>
      </c>
      <c r="M174" s="8">
        <f ca="1">+M173*(1+Deltas!M174)</f>
        <v>116.94245957126749</v>
      </c>
      <c r="N174" s="8">
        <f ca="1">+N173*(1+Deltas!N174)</f>
        <v>179.47675378965968</v>
      </c>
      <c r="O174" s="8">
        <f ca="1">+O173*(1+Deltas!O174)</f>
        <v>115.25564065410882</v>
      </c>
      <c r="P174" s="8">
        <f ca="1">+P173*(1+Deltas!P174)</f>
        <v>138.27792907122972</v>
      </c>
    </row>
    <row r="175" spans="1:16" x14ac:dyDescent="0.25">
      <c r="A175" vm="2607">
        <f ca="1"/>
        <v>45595</v>
      </c>
      <c r="B175" s="8">
        <f ca="1">+B174*(1+Deltas!B175)</f>
        <v>128.94908125970088</v>
      </c>
      <c r="C175" s="8">
        <f ca="1">+C174*(1+Deltas!C175)</f>
        <v>111.05796934424343</v>
      </c>
      <c r="D175" s="8">
        <f ca="1">+D174*(1+Deltas!D175)</f>
        <v>106.14754098360666</v>
      </c>
      <c r="E175" s="8">
        <f ca="1">+E174*(1+Deltas!E175)</f>
        <v>110.42658366898567</v>
      </c>
      <c r="F175" s="8">
        <f ca="1">+F174*(1+Deltas!F175)</f>
        <v>104.30634023854363</v>
      </c>
      <c r="G175" s="8">
        <f ca="1">+G174*(1+Deltas!G175)</f>
        <v>122.32760970291629</v>
      </c>
      <c r="H175" s="8">
        <f ca="1">+H174*(1+Deltas!H175)</f>
        <v>109.64902029527472</v>
      </c>
      <c r="I175" s="8">
        <f ca="1">+I174*(1+Deltas!I175)</f>
        <v>112.1695664712102</v>
      </c>
      <c r="J175" s="8">
        <f ca="1">+J174*(1+Deltas!J175)</f>
        <v>104.79076815479661</v>
      </c>
      <c r="K175" s="8">
        <f ca="1">+K174*(1+Deltas!K175)</f>
        <v>98.153692614770534</v>
      </c>
      <c r="L175" s="8">
        <f ca="1">+L174*(1+Deltas!L175)</f>
        <v>106.06173298624017</v>
      </c>
      <c r="M175" s="8">
        <f ca="1">+M174*(1+Deltas!M175)</f>
        <v>118.74138147173134</v>
      </c>
      <c r="N175" s="8">
        <f ca="1">+N174*(1+Deltas!N175)</f>
        <v>177.04349372943176</v>
      </c>
      <c r="O175" s="8">
        <f ca="1">+O174*(1+Deltas!O175)</f>
        <v>115.06934382115499</v>
      </c>
      <c r="P175" s="8">
        <f ca="1">+P174*(1+Deltas!P175)</f>
        <v>136.27211220230984</v>
      </c>
    </row>
    <row r="176" spans="1:16" x14ac:dyDescent="0.25">
      <c r="A176" vm="2622">
        <f ca="1"/>
        <v>45596</v>
      </c>
      <c r="B176" s="8">
        <f ca="1">+B175*(1+Deltas!B176)</f>
        <v>125.0938767335906</v>
      </c>
      <c r="C176" s="8">
        <f ca="1">+C175*(1+Deltas!C176)</f>
        <v>107.41039529791406</v>
      </c>
      <c r="D176" s="8">
        <f ca="1">+D175*(1+Deltas!D176)</f>
        <v>99.72268577598912</v>
      </c>
      <c r="E176" s="8">
        <f ca="1">+E175*(1+Deltas!E176)</f>
        <v>109.4745514463566</v>
      </c>
      <c r="F176" s="8">
        <f ca="1">+F175*(1+Deltas!F176)</f>
        <v>103.69114877589455</v>
      </c>
      <c r="G176" s="8">
        <f ca="1">+G175*(1+Deltas!G176)</f>
        <v>120.97029163259741</v>
      </c>
      <c r="H176" s="8">
        <f ca="1">+H175*(1+Deltas!H176)</f>
        <v>109.9489696544738</v>
      </c>
      <c r="I176" s="8">
        <f ca="1">+I175*(1+Deltas!I176)</f>
        <v>112.25607997692971</v>
      </c>
      <c r="J176" s="8">
        <f ca="1">+J175*(1+Deltas!J176)</f>
        <v>102.57605781559624</v>
      </c>
      <c r="K176" s="8">
        <f ca="1">+K175*(1+Deltas!K176)</f>
        <v>94.935129740519017</v>
      </c>
      <c r="L176" s="8">
        <f ca="1">+L175*(1+Deltas!L176)</f>
        <v>105.24358497582739</v>
      </c>
      <c r="M176" s="8">
        <f ca="1">+M175*(1+Deltas!M176)</f>
        <v>116.91111946847198</v>
      </c>
      <c r="N176" s="8">
        <f ca="1">+N175*(1+Deltas!N176)</f>
        <v>168.68908908400155</v>
      </c>
      <c r="O176" s="8">
        <f ca="1">+O175*(1+Deltas!O176)</f>
        <v>113.37197267646444</v>
      </c>
      <c r="P176" s="8">
        <f ca="1">+P175*(1+Deltas!P176)</f>
        <v>130.97212686020237</v>
      </c>
    </row>
    <row r="177" spans="1:16" x14ac:dyDescent="0.25">
      <c r="A177" vm="2635">
        <f ca="1"/>
        <v>45597</v>
      </c>
      <c r="B177" s="8">
        <f ca="1">+B176*(1+Deltas!B177)</f>
        <v>124.65828868973138</v>
      </c>
      <c r="C177" s="8">
        <f ca="1">+C176*(1+Deltas!C177)</f>
        <v>114.05439668088053</v>
      </c>
      <c r="D177" s="8">
        <f ca="1">+D176*(1+Deltas!D177)</f>
        <v>100.70923726317866</v>
      </c>
      <c r="E177" s="8">
        <f ca="1">+E176*(1+Deltas!E177)</f>
        <v>109.23044062004146</v>
      </c>
      <c r="F177" s="8">
        <f ca="1">+F176*(1+Deltas!F177)</f>
        <v>103.64092906465788</v>
      </c>
      <c r="G177" s="8">
        <f ca="1">+G176*(1+Deltas!G177)</f>
        <v>121.52630144453526</v>
      </c>
      <c r="H177" s="8">
        <f ca="1">+H176*(1+Deltas!H177)</f>
        <v>110.54497292664863</v>
      </c>
      <c r="I177" s="8">
        <f ca="1">+I176*(1+Deltas!I177)</f>
        <v>110.4969720272998</v>
      </c>
      <c r="J177" s="8">
        <f ca="1">+J176*(1+Deltas!J177)</f>
        <v>103.33372187900689</v>
      </c>
      <c r="K177" s="8">
        <f ca="1">+K176*(1+Deltas!K177)</f>
        <v>95.833333333333385</v>
      </c>
      <c r="L177" s="8">
        <f ca="1">+L176*(1+Deltas!L177)</f>
        <v>104.46262551134245</v>
      </c>
      <c r="M177" s="8">
        <f ca="1">+M176*(1+Deltas!M177)</f>
        <v>115.42559859596352</v>
      </c>
      <c r="N177" s="8">
        <f ca="1">+N176*(1+Deltas!N177)</f>
        <v>172.043557261026</v>
      </c>
      <c r="O177" s="8">
        <f ca="1">+O176*(1+Deltas!O177)</f>
        <v>114.88304698820112</v>
      </c>
      <c r="P177" s="8">
        <f ca="1">+P176*(1+Deltas!P177)</f>
        <v>130.31637903767086</v>
      </c>
    </row>
    <row r="178" spans="1:16" x14ac:dyDescent="0.25">
      <c r="A178" vm="2650">
        <f ca="1"/>
        <v>45600</v>
      </c>
      <c r="B178" s="8">
        <f ca="1">+B177*(1+Deltas!B178)</f>
        <v>121.58413858709281</v>
      </c>
      <c r="C178" s="8">
        <f ca="1">+C177*(1+Deltas!C178)</f>
        <v>112.81548922438634</v>
      </c>
      <c r="D178" s="8">
        <f ca="1">+D177*(1+Deltas!D178)</f>
        <v>100.24050260135476</v>
      </c>
      <c r="E178" s="8">
        <f ca="1">+E177*(1+Deltas!E178)</f>
        <v>114.24386671548878</v>
      </c>
      <c r="F178" s="8">
        <f ca="1">+F177*(1+Deltas!F178)</f>
        <v>103.62837413684872</v>
      </c>
      <c r="G178" s="8">
        <f ca="1">+G177*(1+Deltas!G178)</f>
        <v>119.80376124284543</v>
      </c>
      <c r="H178" s="8">
        <f ca="1">+H177*(1+Deltas!H178)</f>
        <v>108.63815200031152</v>
      </c>
      <c r="I178" s="8">
        <f ca="1">+I177*(1+Deltas!I178)</f>
        <v>114.01518792655962</v>
      </c>
      <c r="J178" s="8">
        <f ca="1">+J177*(1+Deltas!J178)</f>
        <v>103.39200373003845</v>
      </c>
      <c r="K178" s="8">
        <f ca="1">+K177*(1+Deltas!K178)</f>
        <v>94.935129740519017</v>
      </c>
      <c r="L178" s="8">
        <f ca="1">+L177*(1+Deltas!L178)</f>
        <v>103.23540349572328</v>
      </c>
      <c r="M178" s="8">
        <f ca="1">+M177*(1+Deltas!M178)</f>
        <v>114.3098909364424</v>
      </c>
      <c r="N178" s="8">
        <f ca="1">+N177*(1+Deltas!N178)</f>
        <v>172.86946798642973</v>
      </c>
      <c r="O178" s="8">
        <f ca="1">+O177*(1+Deltas!O178)</f>
        <v>115.56613537569852</v>
      </c>
      <c r="P178" s="8">
        <f ca="1">+P177*(1+Deltas!P178)</f>
        <v>130.03093586786306</v>
      </c>
    </row>
    <row r="179" spans="1:16" x14ac:dyDescent="0.25">
      <c r="A179" vm="2665">
        <f ca="1"/>
        <v>45601</v>
      </c>
      <c r="B179" s="8">
        <f ca="1">+B178*(1+Deltas!B179)</f>
        <v>125.88995143443674</v>
      </c>
      <c r="C179" s="8">
        <f ca="1">+C178*(1+Deltas!C179)</f>
        <v>114.9590872421344</v>
      </c>
      <c r="D179" s="8">
        <f ca="1">+D178*(1+Deltas!D179)</f>
        <v>100.97673505448131</v>
      </c>
      <c r="E179" s="8">
        <f ca="1">+E178*(1+Deltas!E179)</f>
        <v>115.40644452581466</v>
      </c>
      <c r="F179" s="8">
        <f ca="1">+F178*(1+Deltas!F179)</f>
        <v>104.05524168236032</v>
      </c>
      <c r="G179" s="8">
        <f ca="1">+G178*(1+Deltas!G179)</f>
        <v>120.73589533932947</v>
      </c>
      <c r="H179" s="8">
        <f ca="1">+H178*(1+Deltas!H179)</f>
        <v>110.44174360172946</v>
      </c>
      <c r="I179" s="8">
        <f ca="1">+I178*(1+Deltas!I179)</f>
        <v>114.35162933769101</v>
      </c>
      <c r="J179" s="8">
        <f ca="1">+J178*(1+Deltas!J179)</f>
        <v>105.19874111201771</v>
      </c>
      <c r="K179" s="8">
        <f ca="1">+K178*(1+Deltas!K179)</f>
        <v>96.873752495010038</v>
      </c>
      <c r="L179" s="8">
        <f ca="1">+L178*(1+Deltas!L179)</f>
        <v>104.09074005206391</v>
      </c>
      <c r="M179" s="8">
        <f ca="1">+M178*(1+Deltas!M179)</f>
        <v>115.99598846684231</v>
      </c>
      <c r="N179" s="8">
        <f ca="1">+N178*(1+Deltas!N179)</f>
        <v>177.7741070634427</v>
      </c>
      <c r="O179" s="8">
        <f ca="1">+O178*(1+Deltas!O179)</f>
        <v>116.24922376319593</v>
      </c>
      <c r="P179" s="8">
        <f ca="1">+P178*(1+Deltas!P179)</f>
        <v>134.15828980967896</v>
      </c>
    </row>
    <row r="180" spans="1:16" x14ac:dyDescent="0.25">
      <c r="A180" vm="2678">
        <f ca="1"/>
        <v>45602</v>
      </c>
      <c r="B180" s="8">
        <f ca="1">+B179*(1+Deltas!B180)</f>
        <v>144.46002102838861</v>
      </c>
      <c r="C180" s="8">
        <f ca="1">+C179*(1+Deltas!C180)</f>
        <v>119.332718681572</v>
      </c>
      <c r="D180" s="8">
        <f ca="1">+D179*(1+Deltas!D180)</f>
        <v>103.11671738490244</v>
      </c>
      <c r="E180" s="8">
        <f ca="1">+E179*(1+Deltas!E180)</f>
        <v>116.17539362870738</v>
      </c>
      <c r="F180" s="8">
        <f ca="1">+F179*(1+Deltas!F180)</f>
        <v>101.09855618330195</v>
      </c>
      <c r="G180" s="8">
        <f ca="1">+G179*(1+Deltas!G180)</f>
        <v>134.6742981738893</v>
      </c>
      <c r="H180" s="8">
        <f ca="1">+H179*(1+Deltas!H180)</f>
        <v>116.21869035097959</v>
      </c>
      <c r="I180" s="8">
        <f ca="1">+I179*(1+Deltas!I180)</f>
        <v>116.31260213399976</v>
      </c>
      <c r="J180" s="8">
        <f ca="1">+J179*(1+Deltas!J180)</f>
        <v>104.84905000582816</v>
      </c>
      <c r="K180" s="8">
        <f ca="1">+K179*(1+Deltas!K180)</f>
        <v>95.334331337325409</v>
      </c>
      <c r="L180" s="8">
        <f ca="1">+L179*(1+Deltas!L180)</f>
        <v>101.7478616586091</v>
      </c>
      <c r="M180" s="8">
        <f ca="1">+M179*(1+Deltas!M180)</f>
        <v>118.33396013538938</v>
      </c>
      <c r="N180" s="8">
        <f ca="1">+N179*(1+Deltas!N180)</f>
        <v>185.01670880929095</v>
      </c>
      <c r="O180" s="8">
        <f ca="1">+O179*(1+Deltas!O180)</f>
        <v>119.78886358931889</v>
      </c>
      <c r="P180" s="8">
        <f ca="1">+P179*(1+Deltas!P180)</f>
        <v>138.51708415944717</v>
      </c>
    </row>
    <row r="181" spans="1:16" x14ac:dyDescent="0.25">
      <c r="A181" vm="2692">
        <f ca="1"/>
        <v>45603</v>
      </c>
      <c r="B181" s="8">
        <f ca="1">+B180*(1+Deltas!B181)</f>
        <v>148.65568517498656</v>
      </c>
      <c r="C181" s="8">
        <f ca="1">+C180*(1+Deltas!C181)</f>
        <v>121.03837731935003</v>
      </c>
      <c r="D181" s="8">
        <f ca="1">+D180*(1+Deltas!D181)</f>
        <v>104.40512417787389</v>
      </c>
      <c r="E181" s="8">
        <f ca="1">+E180*(1+Deltas!E181)</f>
        <v>117.17319663127053</v>
      </c>
      <c r="F181" s="8">
        <f ca="1">+F180*(1+Deltas!F181)</f>
        <v>102.58003766478342</v>
      </c>
      <c r="G181" s="8">
        <f ca="1">+G180*(1+Deltas!G181)</f>
        <v>128.85254837830468</v>
      </c>
      <c r="H181" s="8">
        <f ca="1">+H180*(1+Deltas!H181)</f>
        <v>117.9248957968134</v>
      </c>
      <c r="I181" s="8">
        <f ca="1">+I180*(1+Deltas!I181)</f>
        <v>116.45679131019892</v>
      </c>
      <c r="J181" s="8">
        <f ca="1">+J180*(1+Deltas!J181)</f>
        <v>106.48094183471267</v>
      </c>
      <c r="K181" s="8">
        <f ca="1">+K180*(1+Deltas!K181)</f>
        <v>97.554890219560932</v>
      </c>
      <c r="L181" s="8">
        <f ca="1">+L180*(1+Deltas!L181)</f>
        <v>102.11974711788766</v>
      </c>
      <c r="M181" s="8">
        <f ca="1">+M180*(1+Deltas!M181)</f>
        <v>119.43713175379229</v>
      </c>
      <c r="N181" s="8">
        <f ca="1">+N180*(1+Deltas!N181)</f>
        <v>189.17167507401439</v>
      </c>
      <c r="O181" s="8">
        <f ca="1">+O180*(1+Deltas!O181)</f>
        <v>120.2235561995445</v>
      </c>
      <c r="P181" s="8">
        <f ca="1">+P180*(1+Deltas!P181)</f>
        <v>141.80353795236974</v>
      </c>
    </row>
    <row r="182" spans="1:16" x14ac:dyDescent="0.25">
      <c r="A182" vm="2707">
        <f ca="1"/>
        <v>45604</v>
      </c>
      <c r="B182" s="8">
        <f ca="1">+B181*(1+Deltas!B182)</f>
        <v>160.82711660742038</v>
      </c>
      <c r="C182" s="8">
        <f ca="1">+C181*(1+Deltas!C182)</f>
        <v>119.96081595021323</v>
      </c>
      <c r="D182" s="8">
        <f ca="1">+D181*(1+Deltas!D182)</f>
        <v>103.69588691469532</v>
      </c>
      <c r="E182" s="8">
        <f ca="1">+E181*(1+Deltas!E182)</f>
        <v>117.98791651409735</v>
      </c>
      <c r="F182" s="8">
        <f ca="1">+F181*(1+Deltas!F182)</f>
        <v>105.27934714375392</v>
      </c>
      <c r="G182" s="8">
        <f ca="1">+G181*(1+Deltas!G182)</f>
        <v>129.17961297356226</v>
      </c>
      <c r="H182" s="8">
        <f ca="1">+H181*(1+Deltas!H182)</f>
        <v>119.94273694051641</v>
      </c>
      <c r="I182" s="8">
        <f ca="1">+I181*(1+Deltas!I182)</f>
        <v>116.41834086321248</v>
      </c>
      <c r="J182" s="8">
        <f ca="1">+J181*(1+Deltas!J182)</f>
        <v>116.03916540389322</v>
      </c>
      <c r="K182" s="8">
        <f ca="1">+K181*(1+Deltas!K182)</f>
        <v>95.284431137724596</v>
      </c>
      <c r="L182" s="8">
        <f ca="1">+L181*(1+Deltas!L182)</f>
        <v>99.367794719226438</v>
      </c>
      <c r="M182" s="8">
        <f ca="1">+M181*(1+Deltas!M182)</f>
        <v>123.41732480882553</v>
      </c>
      <c r="N182" s="8">
        <f ca="1">+N181*(1+Deltas!N182)</f>
        <v>187.58338521746873</v>
      </c>
      <c r="O182" s="8">
        <f ca="1">+O181*(1+Deltas!O182)</f>
        <v>120.18215690333255</v>
      </c>
      <c r="P182" s="8">
        <f ca="1">+P181*(1+Deltas!P182)</f>
        <v>141.67238838786344</v>
      </c>
    </row>
    <row r="183" spans="1:16" x14ac:dyDescent="0.25">
      <c r="A183" vm="2722">
        <f ca="1"/>
        <v>45607</v>
      </c>
      <c r="B183" s="8">
        <f ca="1">+B182*(1+Deltas!B183)</f>
        <v>175.23656936864808</v>
      </c>
      <c r="C183" s="8">
        <f ca="1">+C182*(1+Deltas!C183)</f>
        <v>119.1886596750029</v>
      </c>
      <c r="D183" s="8">
        <f ca="1">+D182*(1+Deltas!D183)</f>
        <v>102.58417591047424</v>
      </c>
      <c r="E183" s="8">
        <f ca="1">+E182*(1+Deltas!E183)</f>
        <v>118.77517392896368</v>
      </c>
      <c r="F183" s="8">
        <f ca="1">+F182*(1+Deltas!F183)</f>
        <v>104.22473320778406</v>
      </c>
      <c r="G183" s="8">
        <f ca="1">+G182*(1+Deltas!G183)</f>
        <v>130.43881166530389</v>
      </c>
      <c r="H183" s="8">
        <f ca="1">+H182*(1+Deltas!H183)</f>
        <v>121.78138755794465</v>
      </c>
      <c r="I183" s="8">
        <f ca="1">+I182*(1+Deltas!I183)</f>
        <v>115.80313371142934</v>
      </c>
      <c r="J183" s="8">
        <f ca="1">+J182*(1+Deltas!J183)</f>
        <v>111.43489917239772</v>
      </c>
      <c r="K183" s="8">
        <f ca="1">+K182*(1+Deltas!K183)</f>
        <v>96.38847305389227</v>
      </c>
      <c r="L183" s="8">
        <f ca="1">+L182*(1+Deltas!L183)</f>
        <v>97.582744514689438</v>
      </c>
      <c r="M183" s="8">
        <f ca="1">+M182*(1+Deltas!M183)</f>
        <v>123.80594208349019</v>
      </c>
      <c r="N183" s="8">
        <f ca="1">+N182*(1+Deltas!N183)</f>
        <v>184.57198764945815</v>
      </c>
      <c r="O183" s="8">
        <f ca="1">+O182*(1+Deltas!O183)</f>
        <v>121.36203684537354</v>
      </c>
      <c r="P183" s="8">
        <f ca="1">+P182*(1+Deltas!P183)</f>
        <v>138.02334462248228</v>
      </c>
    </row>
    <row r="184" spans="1:16" x14ac:dyDescent="0.25">
      <c r="A184" vm="2738">
        <f ca="1"/>
        <v>45608</v>
      </c>
      <c r="B184" s="8">
        <f ca="1">+B183*(1+Deltas!B184)</f>
        <v>164.46703049116346</v>
      </c>
      <c r="C184" s="8">
        <f ca="1">+C183*(1+Deltas!C184)</f>
        <v>120.38146824939497</v>
      </c>
      <c r="D184" s="8">
        <f ca="1">+D183*(1+Deltas!D184)</f>
        <v>103.81613821537263</v>
      </c>
      <c r="E184" s="8">
        <f ca="1">+E183*(1+Deltas!E184)</f>
        <v>117.07250091541553</v>
      </c>
      <c r="F184" s="8">
        <f ca="1">+F183*(1+Deltas!F184)</f>
        <v>104.105461393597</v>
      </c>
      <c r="G184" s="8">
        <f ca="1">+G183*(1+Deltas!G184)</f>
        <v>130.58599073316981</v>
      </c>
      <c r="H184" s="8">
        <f ca="1">+H183*(1+Deltas!H184)</f>
        <v>119.72069650578463</v>
      </c>
      <c r="I184" s="8">
        <f ca="1">+I183*(1+Deltas!I184)</f>
        <v>115.68778237046999</v>
      </c>
      <c r="J184" s="8">
        <f ca="1">+J183*(1+Deltas!J184)</f>
        <v>108.81221587597624</v>
      </c>
      <c r="K184" s="8">
        <f ca="1">+K183*(1+Deltas!K184)</f>
        <v>93.338323353293447</v>
      </c>
      <c r="L184" s="8">
        <f ca="1">+L183*(1+Deltas!L184)</f>
        <v>97.396801785050172</v>
      </c>
      <c r="M184" s="8">
        <f ca="1">+M183*(1+Deltas!M184)</f>
        <v>124.1694872759184</v>
      </c>
      <c r="N184" s="8">
        <f ca="1">+N183*(1+Deltas!N184)</f>
        <v>188.42200226172483</v>
      </c>
      <c r="O184" s="8">
        <f ca="1">+O183*(1+Deltas!O184)</f>
        <v>121.52763403022139</v>
      </c>
      <c r="P184" s="8">
        <f ca="1">+P183*(1+Deltas!P184)</f>
        <v>135.94809563117673</v>
      </c>
    </row>
    <row r="185" spans="1:16" x14ac:dyDescent="0.25">
      <c r="A185" vm="2753">
        <f ca="1"/>
        <v>45609</v>
      </c>
      <c r="B185" s="8">
        <f ca="1">+B184*(1+Deltas!B185)</f>
        <v>165.34321333800671</v>
      </c>
      <c r="C185" s="8">
        <f ca="1">+C184*(1+Deltas!C185)</f>
        <v>123.37213322576929</v>
      </c>
      <c r="D185" s="8">
        <f ca="1">+D184*(1+Deltas!D185)</f>
        <v>104.34867968980083</v>
      </c>
      <c r="E185" s="8">
        <f ca="1">+E184*(1+Deltas!E185)</f>
        <v>118.17710240449158</v>
      </c>
      <c r="F185" s="8">
        <f ca="1">+F184*(1+Deltas!F185)</f>
        <v>104.5699937225361</v>
      </c>
      <c r="G185" s="8">
        <f ca="1">+G184*(1+Deltas!G185)</f>
        <v>131.45816298718998</v>
      </c>
      <c r="H185" s="8">
        <f ca="1">+H184*(1+Deltas!H185)</f>
        <v>118.00670016750409</v>
      </c>
      <c r="I185" s="8">
        <f ca="1">+I184*(1+Deltas!I185)</f>
        <v>116.7643948860905</v>
      </c>
      <c r="J185" s="8">
        <f ca="1">+J184*(1+Deltas!J185)</f>
        <v>107.82142440843921</v>
      </c>
      <c r="K185" s="8">
        <f ca="1">+K184*(1+Deltas!K185)</f>
        <v>91.442115768463111</v>
      </c>
      <c r="L185" s="8">
        <f ca="1">+L184*(1+Deltas!L185)</f>
        <v>99.367794719226424</v>
      </c>
      <c r="M185" s="8">
        <f ca="1">+M184*(1+Deltas!M185)</f>
        <v>123.66804563118981</v>
      </c>
      <c r="N185" s="8">
        <f ca="1">+N184*(1+Deltas!N185)</f>
        <v>185.85532585354707</v>
      </c>
      <c r="O185" s="8">
        <f ca="1">+O184*(1+Deltas!O185)</f>
        <v>122.50051749120256</v>
      </c>
      <c r="P185" s="8">
        <f ca="1">+P184*(1+Deltas!P185)</f>
        <v>133.91142004119655</v>
      </c>
    </row>
    <row r="186" spans="1:16" x14ac:dyDescent="0.25">
      <c r="A186" vm="2768">
        <f ca="1"/>
        <v>45610</v>
      </c>
      <c r="B186" s="8">
        <f ca="1">+B185*(1+Deltas!B186)</f>
        <v>155.80033044610261</v>
      </c>
      <c r="C186" s="8">
        <f ca="1">+C185*(1+Deltas!C186)</f>
        <v>121.86239483692522</v>
      </c>
      <c r="D186" s="8">
        <f ca="1">+D185*(1+Deltas!D186)</f>
        <v>104.76342397172877</v>
      </c>
      <c r="E186" s="8">
        <f ca="1">+E185*(1+Deltas!E186)</f>
        <v>118.53411448797748</v>
      </c>
      <c r="F186" s="8">
        <f ca="1">+F185*(1+Deltas!F186)</f>
        <v>104.88386691776523</v>
      </c>
      <c r="G186" s="8">
        <f ca="1">+G185*(1+Deltas!G186)</f>
        <v>131.84518942491144</v>
      </c>
      <c r="H186" s="8">
        <f ca="1">+H185*(1+Deltas!H186)</f>
        <v>115.52919636944402</v>
      </c>
      <c r="I186" s="8">
        <f ca="1">+I185*(1+Deltas!I186)</f>
        <v>115.88964721714885</v>
      </c>
      <c r="J186" s="8">
        <f ca="1">+J185*(1+Deltas!J186)</f>
        <v>107.76314255740762</v>
      </c>
      <c r="K186" s="8">
        <f ca="1">+K185*(1+Deltas!K186)</f>
        <v>90.668662674650747</v>
      </c>
      <c r="L186" s="8">
        <f ca="1">+L185*(1+Deltas!L186)</f>
        <v>96.764596504276639</v>
      </c>
      <c r="M186" s="8">
        <f ca="1">+M185*(1+Deltas!M186)</f>
        <v>122.71530650620548</v>
      </c>
      <c r="N186" s="8">
        <f ca="1">+N185*(1+Deltas!N186)</f>
        <v>186.47793547731297</v>
      </c>
      <c r="O186" s="8">
        <f ca="1">+O185*(1+Deltas!O186)</f>
        <v>119.89236182984881</v>
      </c>
      <c r="P186" s="8">
        <f ca="1">+P185*(1+Deltas!P186)</f>
        <v>131.44272235637209</v>
      </c>
    </row>
    <row r="187" spans="1:16" x14ac:dyDescent="0.25">
      <c r="A187" vm="2782">
        <f ca="1"/>
        <v>45611</v>
      </c>
      <c r="B187" s="8">
        <f ca="1">+B186*(1+Deltas!B187)</f>
        <v>160.5767786511795</v>
      </c>
      <c r="C187" s="8">
        <f ca="1">+C186*(1+Deltas!C187)</f>
        <v>116.7511812838539</v>
      </c>
      <c r="D187" s="8">
        <f ca="1">+D186*(1+Deltas!D187)</f>
        <v>101.84548934917061</v>
      </c>
      <c r="E187" s="8">
        <f ca="1">+E186*(1+Deltas!E187)</f>
        <v>115.64445258147192</v>
      </c>
      <c r="F187" s="8">
        <f ca="1">+F186*(1+Deltas!F187)</f>
        <v>106.42812303829253</v>
      </c>
      <c r="G187" s="8">
        <f ca="1">+G186*(1+Deltas!G187)</f>
        <v>133.7203597710548</v>
      </c>
      <c r="H187" s="8">
        <f ca="1">+H186*(1+Deltas!H187)</f>
        <v>115.35000584316924</v>
      </c>
      <c r="I187" s="8">
        <f ca="1">+I186*(1+Deltas!I187)</f>
        <v>114.6880707488224</v>
      </c>
      <c r="J187" s="8">
        <f ca="1">+J186*(1+Deltas!J187)</f>
        <v>107.58829700431286</v>
      </c>
      <c r="K187" s="8">
        <f ca="1">+K186*(1+Deltas!K187)</f>
        <v>90.494011976047958</v>
      </c>
      <c r="L187" s="8">
        <f ca="1">+L186*(1+Deltas!L187)</f>
        <v>92.227593901078436</v>
      </c>
      <c r="M187" s="8">
        <f ca="1">+M186*(1+Deltas!M187)</f>
        <v>123.40478876770729</v>
      </c>
      <c r="N187" s="8">
        <f ca="1">+N186*(1+Deltas!N187)</f>
        <v>180.40431506588234</v>
      </c>
      <c r="O187" s="8">
        <f ca="1">+O186*(1+Deltas!O187)</f>
        <v>118.94017801697362</v>
      </c>
      <c r="P187" s="8">
        <f ca="1">+P186*(1+Deltas!P187)</f>
        <v>127.16878948951975</v>
      </c>
    </row>
    <row r="188" spans="1:16" x14ac:dyDescent="0.25">
      <c r="A188" vm="2795">
        <f ca="1"/>
        <v>45614</v>
      </c>
      <c r="B188" s="8">
        <f ca="1">+B187*(1+Deltas!B188)</f>
        <v>169.59895859410244</v>
      </c>
      <c r="C188" s="8">
        <f ca="1">+C187*(1+Deltas!C188)</f>
        <v>116.2268064999424</v>
      </c>
      <c r="D188" s="8">
        <f ca="1">+D187*(1+Deltas!D188)</f>
        <v>102.03200157062932</v>
      </c>
      <c r="E188" s="8">
        <f ca="1">+E187*(1+Deltas!E188)</f>
        <v>114.53374832173802</v>
      </c>
      <c r="F188" s="8">
        <f ca="1">+F187*(1+Deltas!F188)</f>
        <v>107.18769617074702</v>
      </c>
      <c r="G188" s="8">
        <f ca="1">+G187*(1+Deltas!G188)</f>
        <v>133.56772962660128</v>
      </c>
      <c r="H188" s="8">
        <f ca="1">+H187*(1+Deltas!H188)</f>
        <v>114.84749328035517</v>
      </c>
      <c r="I188" s="8">
        <f ca="1">+I187*(1+Deltas!I188)</f>
        <v>115.64933192348356</v>
      </c>
      <c r="J188" s="8">
        <f ca="1">+J187*(1+Deltas!J188)</f>
        <v>110.56067140692387</v>
      </c>
      <c r="K188" s="8">
        <f ca="1">+K187*(1+Deltas!K188)</f>
        <v>90.943113772455149</v>
      </c>
      <c r="L188" s="8">
        <f ca="1">+L187*(1+Deltas!L188)</f>
        <v>92.450725176645562</v>
      </c>
      <c r="M188" s="8">
        <f ca="1">+M187*(1+Deltas!M188)</f>
        <v>125.34160712047149</v>
      </c>
      <c r="N188" s="8">
        <f ca="1">+N187*(1+Deltas!N188)</f>
        <v>178.07905871589952</v>
      </c>
      <c r="O188" s="8">
        <f ca="1">+O187*(1+Deltas!O188)</f>
        <v>118.6296832953839</v>
      </c>
      <c r="P188" s="8">
        <f ca="1">+P187*(1+Deltas!P188)</f>
        <v>127.80910795152107</v>
      </c>
    </row>
    <row r="189" spans="1:16" x14ac:dyDescent="0.25">
      <c r="A189" vm="2810">
        <f ca="1"/>
        <v>45615</v>
      </c>
      <c r="B189" s="8">
        <f ca="1">+B188*(1+Deltas!B189)</f>
        <v>173.23386571872069</v>
      </c>
      <c r="C189" s="8">
        <f ca="1">+C188*(1+Deltas!C189)</f>
        <v>117.90365333640663</v>
      </c>
      <c r="D189" s="8">
        <f ca="1">+D188*(1+Deltas!D189)</f>
        <v>102.53018553057827</v>
      </c>
      <c r="E189" s="8">
        <f ca="1">+E188*(1+Deltas!E189)</f>
        <v>113.96924203588424</v>
      </c>
      <c r="F189" s="8">
        <f ca="1">+F188*(1+Deltas!F189)</f>
        <v>107.1939736346516</v>
      </c>
      <c r="G189" s="8">
        <f ca="1">+G188*(1+Deltas!G189)</f>
        <v>132.51022076860181</v>
      </c>
      <c r="H189" s="8">
        <f ca="1">+H188*(1+Deltas!H189)</f>
        <v>112.38362354407688</v>
      </c>
      <c r="I189" s="8">
        <f ca="1">+I188*(1+Deltas!I189)</f>
        <v>114.03441315005281</v>
      </c>
      <c r="J189" s="8">
        <f ca="1">+J188*(1+Deltas!J189)</f>
        <v>110.26926215176594</v>
      </c>
      <c r="K189" s="8">
        <f ca="1">+K188*(1+Deltas!K189)</f>
        <v>90.643712574850341</v>
      </c>
      <c r="L189" s="8">
        <f ca="1">+L188*(1+Deltas!L189)</f>
        <v>93.34325027891407</v>
      </c>
      <c r="M189" s="8">
        <f ca="1">+M188*(1+Deltas!M189)</f>
        <v>123.22928419205229</v>
      </c>
      <c r="N189" s="8">
        <f ca="1">+N188*(1+Deltas!N189)</f>
        <v>186.79559344862207</v>
      </c>
      <c r="O189" s="8">
        <f ca="1">+O188*(1+Deltas!O189)</f>
        <v>118.00869385220443</v>
      </c>
      <c r="P189" s="8">
        <f ca="1">+P188*(1+Deltas!P189)</f>
        <v>127.56223818303863</v>
      </c>
    </row>
    <row r="190" spans="1:16" x14ac:dyDescent="0.25">
      <c r="A190" vm="2825">
        <f ca="1"/>
        <v>45616</v>
      </c>
      <c r="B190" s="8">
        <f ca="1">+B189*(1+Deltas!B190)</f>
        <v>171.24618234616773</v>
      </c>
      <c r="C190" s="8">
        <f ca="1">+C189*(1+Deltas!C190)</f>
        <v>116.90676501094852</v>
      </c>
      <c r="D190" s="8">
        <f ca="1">+D189*(1+Deltas!D190)</f>
        <v>101.96574064984792</v>
      </c>
      <c r="E190" s="8">
        <f ca="1">+E189*(1+Deltas!E190)</f>
        <v>113.4077871353594</v>
      </c>
      <c r="F190" s="8">
        <f ca="1">+F189*(1+Deltas!F190)</f>
        <v>107.27558066541118</v>
      </c>
      <c r="G190" s="8">
        <f ca="1">+G189*(1+Deltas!G190)</f>
        <v>131.25102207686018</v>
      </c>
      <c r="H190" s="8">
        <f ca="1">+H189*(1+Deltas!H190)</f>
        <v>116.96077285653064</v>
      </c>
      <c r="I190" s="8">
        <f ca="1">+I189*(1+Deltas!I190)</f>
        <v>115.65894453523018</v>
      </c>
      <c r="J190" s="8">
        <f ca="1">+J189*(1+Deltas!J190)</f>
        <v>111.78459027858723</v>
      </c>
      <c r="K190" s="8">
        <f ca="1">+K189*(1+Deltas!K190)</f>
        <v>90.793413173652738</v>
      </c>
      <c r="L190" s="8">
        <f ca="1">+L189*(1+Deltas!L190)</f>
        <v>92.748233544068412</v>
      </c>
      <c r="M190" s="8">
        <f ca="1">+M189*(1+Deltas!M190)</f>
        <v>123.66177761063069</v>
      </c>
      <c r="N190" s="8">
        <f ca="1">+N189*(1+Deltas!N190)</f>
        <v>185.37248573715715</v>
      </c>
      <c r="O190" s="8">
        <f ca="1">+O189*(1+Deltas!O190)</f>
        <v>119.02297660939756</v>
      </c>
      <c r="P190" s="8">
        <f ca="1">+P189*(1+Deltas!P190)</f>
        <v>125.94215532737259</v>
      </c>
    </row>
    <row r="191" spans="1:16" x14ac:dyDescent="0.25">
      <c r="A191" vm="2841">
        <f ca="1"/>
        <v>45617</v>
      </c>
      <c r="B191" s="8">
        <f ca="1">+B190*(1+Deltas!B191)</f>
        <v>170.0495669153361</v>
      </c>
      <c r="C191" s="8">
        <f ca="1">+C190*(1+Deltas!C191)</f>
        <v>114.3137028927049</v>
      </c>
      <c r="D191" s="8">
        <f ca="1">+D190*(1+Deltas!D191)</f>
        <v>101.32276430745074</v>
      </c>
      <c r="E191" s="8">
        <f ca="1">+E190*(1+Deltas!E191)</f>
        <v>116.96570242890266</v>
      </c>
      <c r="F191" s="8">
        <f ca="1">+F190*(1+Deltas!F191)</f>
        <v>108.44318895166356</v>
      </c>
      <c r="G191" s="8">
        <f ca="1">+G190*(1+Deltas!G191)</f>
        <v>133.42055055873536</v>
      </c>
      <c r="H191" s="8">
        <f ca="1">+H190*(1+Deltas!H191)</f>
        <v>116.37450819991423</v>
      </c>
      <c r="I191" s="8">
        <f ca="1">+I190*(1+Deltas!I191)</f>
        <v>117.20657502643466</v>
      </c>
      <c r="J191" s="8">
        <f ca="1">+J190*(1+Deltas!J191)</f>
        <v>111.14348991723976</v>
      </c>
      <c r="K191" s="8">
        <f ca="1">+K190*(1+Deltas!K191)</f>
        <v>91.292415169660742</v>
      </c>
      <c r="L191" s="8">
        <f ca="1">+L190*(1+Deltas!L191)</f>
        <v>93.454815916697626</v>
      </c>
      <c r="M191" s="8">
        <f ca="1">+M190*(1+Deltas!M191)</f>
        <v>127.54168233671821</v>
      </c>
      <c r="N191" s="8">
        <f ca="1">+N190*(1+Deltas!N191)</f>
        <v>186.36357860764164</v>
      </c>
      <c r="O191" s="8">
        <f ca="1">+O190*(1+Deltas!O191)</f>
        <v>119.14717449803346</v>
      </c>
      <c r="P191" s="8">
        <f ca="1">+P190*(1+Deltas!P191)</f>
        <v>126.47446826566286</v>
      </c>
    </row>
    <row r="192" spans="1:16" x14ac:dyDescent="0.25">
      <c r="A192" vm="2857">
        <f ca="1"/>
        <v>45618</v>
      </c>
      <c r="B192" s="8">
        <f ca="1">+B191*(1+Deltas!B192)</f>
        <v>176.51829970460165</v>
      </c>
      <c r="C192" s="8">
        <f ca="1">+C191*(1+Deltas!C192)</f>
        <v>113.58764549959669</v>
      </c>
      <c r="D192" s="8">
        <f ca="1">+D191*(1+Deltas!D192)</f>
        <v>102.33631098458827</v>
      </c>
      <c r="E192" s="8">
        <f ca="1">+E191*(1+Deltas!E192)</f>
        <v>118.48529232271444</v>
      </c>
      <c r="F192" s="8">
        <f ca="1">+F191*(1+Deltas!F192)</f>
        <v>110.65913370998119</v>
      </c>
      <c r="G192" s="8">
        <f ca="1">+G191*(1+Deltas!G192)</f>
        <v>135.48650858544565</v>
      </c>
      <c r="H192" s="8">
        <f ca="1">+H191*(1+Deltas!H192)</f>
        <v>115.08511549998046</v>
      </c>
      <c r="I192" s="8">
        <f ca="1">+I191*(1+Deltas!I192)</f>
        <v>117.07199846198209</v>
      </c>
      <c r="J192" s="8">
        <f ca="1">+J191*(1+Deltas!J192)</f>
        <v>111.08520806620815</v>
      </c>
      <c r="K192" s="8">
        <f ca="1">+K191*(1+Deltas!K192)</f>
        <v>89.620758483033995</v>
      </c>
      <c r="L192" s="8">
        <f ca="1">+L191*(1+Deltas!L192)</f>
        <v>95.388620304946045</v>
      </c>
      <c r="M192" s="8">
        <f ca="1">+M191*(1+Deltas!M192)</f>
        <v>127.74225899460967</v>
      </c>
      <c r="N192" s="8">
        <f ca="1">+N191*(1+Deltas!N192)</f>
        <v>180.36619610932522</v>
      </c>
      <c r="O192" s="8">
        <f ca="1">+O191*(1+Deltas!O192)</f>
        <v>121.1964396605257</v>
      </c>
      <c r="P192" s="8">
        <f ca="1">+P191*(1+Deltas!P192)</f>
        <v>126.69819399335006</v>
      </c>
    </row>
    <row r="193" spans="1:16" x14ac:dyDescent="0.25">
      <c r="A193" vm="2872">
        <f ca="1"/>
        <v>45621</v>
      </c>
      <c r="B193" s="8">
        <f ca="1">+B192*(1+Deltas!B193)</f>
        <v>169.52385720723018</v>
      </c>
      <c r="C193" s="8">
        <f ca="1">+C192*(1+Deltas!C193)</f>
        <v>116.08274749337333</v>
      </c>
      <c r="D193" s="8">
        <f ca="1">+D192*(1+Deltas!D193)</f>
        <v>102.77559634828711</v>
      </c>
      <c r="E193" s="8">
        <f ca="1">+E192*(1+Deltas!E193)</f>
        <v>121.96692298303421</v>
      </c>
      <c r="F193" s="8">
        <f ca="1">+F192*(1+Deltas!F193)</f>
        <v>111.35593220338984</v>
      </c>
      <c r="G193" s="8">
        <f ca="1">+G192*(1+Deltas!G193)</f>
        <v>136.43499591169257</v>
      </c>
      <c r="H193" s="8">
        <f ca="1">+H192*(1+Deltas!H193)</f>
        <v>117.9989092750574</v>
      </c>
      <c r="I193" s="8">
        <f ca="1">+I192*(1+Deltas!I193)</f>
        <v>115.32250312409877</v>
      </c>
      <c r="J193" s="8">
        <f ca="1">+J192*(1+Deltas!J193)</f>
        <v>113.18335470334536</v>
      </c>
      <c r="K193" s="8">
        <f ca="1">+K192*(1+Deltas!K193)</f>
        <v>89.995009980039981</v>
      </c>
      <c r="L193" s="8">
        <f ca="1">+L192*(1+Deltas!L193)</f>
        <v>97.322424693194478</v>
      </c>
      <c r="M193" s="8">
        <f ca="1">+M192*(1+Deltas!M193)</f>
        <v>126.63281935564765</v>
      </c>
      <c r="N193" s="8">
        <f ca="1">+N192*(1+Deltas!N193)</f>
        <v>172.83134902987263</v>
      </c>
      <c r="O193" s="8">
        <f ca="1">+O192*(1+Deltas!O193)</f>
        <v>121.58973297453936</v>
      </c>
      <c r="P193" s="8">
        <f ca="1">+P192*(1+Deltas!P193)</f>
        <v>127.15336012898958</v>
      </c>
    </row>
    <row r="194" spans="1:16" x14ac:dyDescent="0.25">
      <c r="A194" vm="2887">
        <f ca="1"/>
        <v>45622</v>
      </c>
      <c r="B194" s="8">
        <f ca="1">+B193*(1+Deltas!B194)</f>
        <v>169.34361387873673</v>
      </c>
      <c r="C194" s="8">
        <f ca="1">+C193*(1+Deltas!C194)</f>
        <v>119.77642042180484</v>
      </c>
      <c r="D194" s="8">
        <f ca="1">+D193*(1+Deltas!D194)</f>
        <v>105.03337587120848</v>
      </c>
      <c r="E194" s="8">
        <f ca="1">+E193*(1+Deltas!E194)</f>
        <v>120.87757842060287</v>
      </c>
      <c r="F194" s="8">
        <f ca="1">+F193*(1+Deltas!F194)</f>
        <v>112.56120527306969</v>
      </c>
      <c r="G194" s="8">
        <f ca="1">+G193*(1+Deltas!G194)</f>
        <v>136.26056146088854</v>
      </c>
      <c r="H194" s="8">
        <f ca="1">+H193*(1+Deltas!H194)</f>
        <v>118.1858906937789</v>
      </c>
      <c r="I194" s="8">
        <f ca="1">+I193*(1+Deltas!I194)</f>
        <v>113.39998077477647</v>
      </c>
      <c r="J194" s="8">
        <f ca="1">+J193*(1+Deltas!J194)</f>
        <v>112.8919454481874</v>
      </c>
      <c r="K194" s="8">
        <f ca="1">+K193*(1+Deltas!K194)</f>
        <v>88.947105788423215</v>
      </c>
      <c r="L194" s="8">
        <f ca="1">+L193*(1+Deltas!L194)</f>
        <v>95.834882856080299</v>
      </c>
      <c r="M194" s="8">
        <f ca="1">+M193*(1+Deltas!M194)</f>
        <v>130.29334336216641</v>
      </c>
      <c r="N194" s="8">
        <f ca="1">+N193*(1+Deltas!N194)</f>
        <v>173.97491772658546</v>
      </c>
      <c r="O194" s="8">
        <f ca="1">+O193*(1+Deltas!O194)</f>
        <v>123.34920306354785</v>
      </c>
      <c r="P194" s="8">
        <f ca="1">+P193*(1+Deltas!P194)</f>
        <v>127.09164268686898</v>
      </c>
    </row>
    <row r="195" spans="1:16" x14ac:dyDescent="0.25">
      <c r="A195" vm="2902">
        <f ca="1"/>
        <v>45623</v>
      </c>
      <c r="B195" s="8">
        <f ca="1">+B194*(1+Deltas!B195)</f>
        <v>166.67000450608361</v>
      </c>
      <c r="C195" s="8">
        <f ca="1">+C194*(1+Deltas!C195)</f>
        <v>118.55480004609895</v>
      </c>
      <c r="D195" s="8">
        <f ca="1">+D194*(1+Deltas!D195)</f>
        <v>103.80632178266426</v>
      </c>
      <c r="E195" s="8">
        <f ca="1">+E194*(1+Deltas!E195)</f>
        <v>120.2123764188941</v>
      </c>
      <c r="F195" s="8">
        <f ca="1">+F194*(1+Deltas!F195)</f>
        <v>112.59259259259261</v>
      </c>
      <c r="G195" s="8">
        <f ca="1">+G194*(1+Deltas!G195)</f>
        <v>136.16244208231126</v>
      </c>
      <c r="H195" s="8">
        <f ca="1">+H194*(1+Deltas!H195)</f>
        <v>118.49557866853641</v>
      </c>
      <c r="I195" s="8">
        <f ca="1">+I194*(1+Deltas!I195)</f>
        <v>113.10198981063151</v>
      </c>
      <c r="J195" s="8">
        <f ca="1">+J194*(1+Deltas!J195)</f>
        <v>115.16493763841937</v>
      </c>
      <c r="K195" s="8">
        <f ca="1">+K194*(1+Deltas!K195)</f>
        <v>91.966067864271523</v>
      </c>
      <c r="L195" s="8">
        <f ca="1">+L194*(1+Deltas!L195)</f>
        <v>96.058014131647425</v>
      </c>
      <c r="M195" s="8">
        <f ca="1">+M194*(1+Deltas!M195)</f>
        <v>130.50018804061696</v>
      </c>
      <c r="N195" s="8">
        <f ca="1">+N194*(1+Deltas!N195)</f>
        <v>171.96731934791177</v>
      </c>
      <c r="O195" s="8">
        <f ca="1">+O194*(1+Deltas!O195)</f>
        <v>122.72821362036836</v>
      </c>
      <c r="P195" s="8">
        <f ca="1">+P194*(1+Deltas!P195)</f>
        <v>123.18029979247521</v>
      </c>
    </row>
    <row r="196" spans="1:16" x14ac:dyDescent="0.25">
      <c r="A196" vm="2917">
        <f ca="1"/>
        <v>45625</v>
      </c>
      <c r="B196" s="8">
        <f ca="1">+B195*(1+Deltas!B196)</f>
        <v>172.81329795223596</v>
      </c>
      <c r="C196" s="8">
        <f ca="1">+C195*(1+Deltas!C196)</f>
        <v>119.79370750259312</v>
      </c>
      <c r="D196" s="8">
        <f ca="1">+D195*(1+Deltas!D196)</f>
        <v>103.9216648669874</v>
      </c>
      <c r="E196" s="8">
        <f ca="1">+E195*(1+Deltas!E196)</f>
        <v>121.26205297204923</v>
      </c>
      <c r="F196" s="8">
        <f ca="1">+F195*(1+Deltas!F196)</f>
        <v>112.52981795354677</v>
      </c>
      <c r="G196" s="8">
        <f ca="1">+G195*(1+Deltas!G196)</f>
        <v>136.12428454619788</v>
      </c>
      <c r="H196" s="8">
        <f ca="1">+H195*(1+Deltas!H196)</f>
        <v>118.85006427486263</v>
      </c>
      <c r="I196" s="8">
        <f ca="1">+I195*(1+Deltas!I196)</f>
        <v>113.39036816302983</v>
      </c>
      <c r="J196" s="8">
        <f ca="1">+J195*(1+Deltas!J196)</f>
        <v>116.85511131833545</v>
      </c>
      <c r="K196" s="8">
        <f ca="1">+K195*(1+Deltas!K196)</f>
        <v>97.305389221556965</v>
      </c>
      <c r="L196" s="8">
        <f ca="1">+L195*(1+Deltas!L196)</f>
        <v>97.471178876905896</v>
      </c>
      <c r="M196" s="8">
        <f ca="1">+M195*(1+Deltas!M196)</f>
        <v>129.99247837532926</v>
      </c>
      <c r="N196" s="8">
        <f ca="1">+N195*(1+Deltas!N196)</f>
        <v>175.66485813395008</v>
      </c>
      <c r="O196" s="8">
        <f ca="1">+O195*(1+Deltas!O196)</f>
        <v>122.56261643552051</v>
      </c>
      <c r="P196" s="8">
        <f ca="1">+P195*(1+Deltas!P196)</f>
        <v>125.03953773635864</v>
      </c>
    </row>
    <row r="197" spans="1:16" x14ac:dyDescent="0.25">
      <c r="A197" vm="2932">
        <f ca="1"/>
        <v>45628</v>
      </c>
      <c r="B197" s="8">
        <f ca="1">+B196*(1+Deltas!B197)</f>
        <v>178.78636158814444</v>
      </c>
      <c r="C197" s="8">
        <f ca="1">+C196*(1+Deltas!C197)</f>
        <v>121.41869309669246</v>
      </c>
      <c r="D197" s="8">
        <f ca="1">+D196*(1+Deltas!D197)</f>
        <v>105.76715421615791</v>
      </c>
      <c r="E197" s="8">
        <f ca="1">+E196*(1+Deltas!E197)</f>
        <v>120.70670084218227</v>
      </c>
      <c r="F197" s="8">
        <f ca="1">+F196*(1+Deltas!F197)</f>
        <v>112.80602636534839</v>
      </c>
      <c r="G197" s="8">
        <f ca="1">+G196*(1+Deltas!G197)</f>
        <v>134.23276097029165</v>
      </c>
      <c r="H197" s="8">
        <f ca="1">+H196*(1+Deltas!H197)</f>
        <v>118.52284679209997</v>
      </c>
      <c r="I197" s="8">
        <f ca="1">+I196*(1+Deltas!I197)</f>
        <v>113.2846294338171</v>
      </c>
      <c r="J197" s="8">
        <f ca="1">+J196*(1+Deltas!J197)</f>
        <v>116.6219839142091</v>
      </c>
      <c r="K197" s="8">
        <f ca="1">+K196*(1+Deltas!K197)</f>
        <v>98.378243512974137</v>
      </c>
      <c r="L197" s="8">
        <f ca="1">+L196*(1+Deltas!L197)</f>
        <v>96.020825585719578</v>
      </c>
      <c r="M197" s="8">
        <f ca="1">+M196*(1+Deltas!M197)</f>
        <v>128.11207220759704</v>
      </c>
      <c r="N197" s="8">
        <f ca="1">+N196*(1+Deltas!N197)</f>
        <v>176.14769825033997</v>
      </c>
      <c r="O197" s="8">
        <f ca="1">+O196*(1+Deltas!O197)</f>
        <v>123.01800869385211</v>
      </c>
      <c r="P197" s="8">
        <f ca="1">+P196*(1+Deltas!P197)</f>
        <v>128.4571410937875</v>
      </c>
    </row>
    <row r="198" spans="1:16" x14ac:dyDescent="0.25">
      <c r="A198" vm="2946">
        <f ca="1"/>
        <v>45629</v>
      </c>
      <c r="B198" s="8">
        <f ca="1">+B197*(1+Deltas!B198)</f>
        <v>175.94752916437236</v>
      </c>
      <c r="C198" s="8">
        <f ca="1">+C197*(1+Deltas!C198)</f>
        <v>122.99181744842694</v>
      </c>
      <c r="D198" s="8">
        <f ca="1">+D197*(1+Deltas!D198)</f>
        <v>105.82114459605384</v>
      </c>
      <c r="E198" s="8">
        <f ca="1">+E197*(1+Deltas!E198)</f>
        <v>120.62736482362985</v>
      </c>
      <c r="F198" s="8">
        <f ca="1">+F197*(1+Deltas!F198)</f>
        <v>110.11927181418706</v>
      </c>
      <c r="G198" s="8">
        <f ca="1">+G197*(1+Deltas!G198)</f>
        <v>133.45325701826113</v>
      </c>
      <c r="H198" s="8">
        <f ca="1">+H197*(1+Deltas!H198)</f>
        <v>117.88204588835646</v>
      </c>
      <c r="I198" s="8">
        <f ca="1">+I197*(1+Deltas!I198)</f>
        <v>113.1116024223781</v>
      </c>
      <c r="J198" s="8">
        <f ca="1">+J197*(1+Deltas!J198)</f>
        <v>119.30294906166218</v>
      </c>
      <c r="K198" s="8">
        <f ca="1">+K197*(1+Deltas!K198)</f>
        <v>99.401197604790525</v>
      </c>
      <c r="L198" s="8">
        <f ca="1">+L197*(1+Deltas!L198)</f>
        <v>95.053923391595362</v>
      </c>
      <c r="M198" s="8">
        <f ca="1">+M197*(1+Deltas!M198)</f>
        <v>127.49153817224541</v>
      </c>
      <c r="N198" s="8">
        <f ca="1">+N197*(1+Deltas!N198)</f>
        <v>178.21882822327549</v>
      </c>
      <c r="O198" s="8">
        <f ca="1">+O197*(1+Deltas!O198)</f>
        <v>123.12150693438201</v>
      </c>
      <c r="P198" s="8">
        <f ca="1">+P197*(1+Deltas!P198)</f>
        <v>129.72234865726003</v>
      </c>
    </row>
    <row r="199" spans="1:16" x14ac:dyDescent="0.25">
      <c r="A199" vm="2961">
        <f ca="1"/>
        <v>45630</v>
      </c>
      <c r="B199" s="8">
        <f ca="1">+B198*(1+Deltas!B199)</f>
        <v>179.20692935462921</v>
      </c>
      <c r="C199" s="8">
        <f ca="1">+C198*(1+Deltas!C199)</f>
        <v>125.71165149245138</v>
      </c>
      <c r="D199" s="8">
        <f ca="1">+D198*(1+Deltas!D199)</f>
        <v>107.34759988220286</v>
      </c>
      <c r="E199" s="8">
        <f ca="1">+E198*(1+Deltas!E199)</f>
        <v>119.63566459172456</v>
      </c>
      <c r="F199" s="8">
        <f ca="1">+F198*(1+Deltas!F199)</f>
        <v>109.92467043314501</v>
      </c>
      <c r="G199" s="8">
        <f ca="1">+G198*(1+Deltas!G199)</f>
        <v>132.67920414281824</v>
      </c>
      <c r="H199" s="8">
        <f ca="1">+H198*(1+Deltas!H199)</f>
        <v>118.96497993845189</v>
      </c>
      <c r="I199" s="8">
        <f ca="1">+I198*(1+Deltas!I199)</f>
        <v>109.85292704027678</v>
      </c>
      <c r="J199" s="8">
        <f ca="1">+J198*(1+Deltas!J199)</f>
        <v>122.33360531530478</v>
      </c>
      <c r="K199" s="8">
        <f ca="1">+K198*(1+Deltas!K199)</f>
        <v>100.5738522954093</v>
      </c>
      <c r="L199" s="8">
        <f ca="1">+L198*(1+Deltas!L199)</f>
        <v>93.826701375976185</v>
      </c>
      <c r="M199" s="8">
        <f ca="1">+M198*(1+Deltas!M199)</f>
        <v>128.46308135890706</v>
      </c>
      <c r="N199" s="8">
        <f ca="1">+N198*(1+Deltas!N199)</f>
        <v>184.41951182322973</v>
      </c>
      <c r="O199" s="8">
        <f ca="1">+O198*(1+Deltas!O199)</f>
        <v>123.41130200786576</v>
      </c>
      <c r="P199" s="8">
        <f ca="1">+P198*(1+Deltas!P199)</f>
        <v>131.58158660114344</v>
      </c>
    </row>
    <row r="200" spans="1:16" x14ac:dyDescent="0.25">
      <c r="A200" vm="2977">
        <f ca="1"/>
        <v>45631</v>
      </c>
      <c r="B200" s="8">
        <f ca="1">+B199*(1+Deltas!B200)</f>
        <v>184.99474290291943</v>
      </c>
      <c r="C200" s="8">
        <f ca="1">+C199*(1+Deltas!C200)</f>
        <v>127.08885559525191</v>
      </c>
      <c r="D200" s="8">
        <f ca="1">+D199*(1+Deltas!D200)</f>
        <v>108.62373613428883</v>
      </c>
      <c r="E200" s="8">
        <f ca="1">+E199*(1+Deltas!E200)</f>
        <v>117.551568412059</v>
      </c>
      <c r="F200" s="8">
        <f ca="1">+F199*(1+Deltas!F200)</f>
        <v>110.50219711236659</v>
      </c>
      <c r="G200" s="8">
        <f ca="1">+G199*(1+Deltas!G200)</f>
        <v>133.81302807304442</v>
      </c>
      <c r="H200" s="8">
        <f ca="1">+H199*(1+Deltas!H200)</f>
        <v>112.76732499707836</v>
      </c>
      <c r="I200" s="8">
        <f ca="1">+I199*(1+Deltas!I200)</f>
        <v>110.33355762760736</v>
      </c>
      <c r="J200" s="8">
        <f ca="1">+J199*(1+Deltas!J200)</f>
        <v>121.80906865602049</v>
      </c>
      <c r="K200" s="8">
        <f ca="1">+K199*(1+Deltas!K200)</f>
        <v>100.84830339321368</v>
      </c>
      <c r="L200" s="8">
        <f ca="1">+L199*(1+Deltas!L200)</f>
        <v>95.574563034585324</v>
      </c>
      <c r="M200" s="8">
        <f ca="1">+M199*(1+Deltas!M200)</f>
        <v>128.01178387865133</v>
      </c>
      <c r="N200" s="8">
        <f ca="1">+N199*(1+Deltas!N200)</f>
        <v>184.31786127241082</v>
      </c>
      <c r="O200" s="8">
        <f ca="1">+O199*(1+Deltas!O200)</f>
        <v>124.23928793210506</v>
      </c>
      <c r="P200" s="8">
        <f ca="1">+P199*(1+Deltas!P200)</f>
        <v>131.51215447875774</v>
      </c>
    </row>
    <row r="201" spans="1:16" x14ac:dyDescent="0.25">
      <c r="A201" vm="2993">
        <f ca="1"/>
        <v>45632</v>
      </c>
      <c r="B201" s="8">
        <f ca="1">+B200*(1+Deltas!B201)</f>
        <v>194.87307865618635</v>
      </c>
      <c r="C201" s="8">
        <f ca="1">+C200*(1+Deltas!C201)</f>
        <v>130.82286504552272</v>
      </c>
      <c r="D201" s="8">
        <f ca="1">+D200*(1+Deltas!D201)</f>
        <v>108.85687641111224</v>
      </c>
      <c r="E201" s="8">
        <f ca="1">+E200*(1+Deltas!E201)</f>
        <v>117.4661296228487</v>
      </c>
      <c r="F201" s="8">
        <f ca="1">+F200*(1+Deltas!F201)</f>
        <v>109.11487758945384</v>
      </c>
      <c r="G201" s="8">
        <f ca="1">+G200*(1+Deltas!G201)</f>
        <v>134.83783047151812</v>
      </c>
      <c r="H201" s="8">
        <f ca="1">+H200*(1+Deltas!H201)</f>
        <v>107.05075766429039</v>
      </c>
      <c r="I201" s="8">
        <f ca="1">+I200*(1+Deltas!I201)</f>
        <v>109.17043160626736</v>
      </c>
      <c r="J201" s="8">
        <f ca="1">+J200*(1+Deltas!J201)</f>
        <v>122.04219606014686</v>
      </c>
      <c r="K201" s="8">
        <f ca="1">+K200*(1+Deltas!K201)</f>
        <v>101.99600798403205</v>
      </c>
      <c r="L201" s="8">
        <f ca="1">+L200*(1+Deltas!L201)</f>
        <v>95.686128672368881</v>
      </c>
      <c r="M201" s="8">
        <f ca="1">+M200*(1+Deltas!M201)</f>
        <v>127.64197066566399</v>
      </c>
      <c r="N201" s="8">
        <f ca="1">+N200*(1+Deltas!N201)</f>
        <v>180.98880573309111</v>
      </c>
      <c r="O201" s="8">
        <f ca="1">+O200*(1+Deltas!O201)</f>
        <v>123.97019250672729</v>
      </c>
      <c r="P201" s="8">
        <f ca="1">+P200*(1+Deltas!P201)</f>
        <v>138.50165479891697</v>
      </c>
    </row>
    <row r="202" spans="1:16" x14ac:dyDescent="0.25">
      <c r="A202" vm="3009">
        <f ca="1"/>
        <v>45635</v>
      </c>
      <c r="B202" s="8">
        <f ca="1">+B201*(1+Deltas!B202)</f>
        <v>195.15846392630101</v>
      </c>
      <c r="C202" s="8">
        <f ca="1">+C201*(1+Deltas!C202)</f>
        <v>130.28120318082293</v>
      </c>
      <c r="D202" s="8">
        <f ca="1">+D201*(1+Deltas!D202)</f>
        <v>109.4581329144989</v>
      </c>
      <c r="E202" s="8">
        <f ca="1">+E201*(1+Deltas!E202)</f>
        <v>114.86940070792133</v>
      </c>
      <c r="F202" s="8">
        <f ca="1">+F201*(1+Deltas!F202)</f>
        <v>107.21280602636533</v>
      </c>
      <c r="G202" s="8">
        <f ca="1">+G201*(1+Deltas!G202)</f>
        <v>132.90269828291085</v>
      </c>
      <c r="H202" s="8">
        <f ca="1">+H201*(1+Deltas!H202)</f>
        <v>109.19325308714107</v>
      </c>
      <c r="I202" s="8">
        <f ca="1">+I201*(1+Deltas!I202)</f>
        <v>108.52638661924439</v>
      </c>
      <c r="J202" s="8">
        <f ca="1">+J201*(1+Deltas!J202)</f>
        <v>122.97470567665229</v>
      </c>
      <c r="K202" s="8">
        <f ca="1">+K201*(1+Deltas!K202)</f>
        <v>103.06886227544921</v>
      </c>
      <c r="L202" s="8">
        <f ca="1">+L201*(1+Deltas!L202)</f>
        <v>97.062104871699489</v>
      </c>
      <c r="M202" s="8">
        <f ca="1">+M201*(1+Deltas!M202)</f>
        <v>124.75868120847456</v>
      </c>
      <c r="N202" s="8">
        <f ca="1">+N201*(1+Deltas!N202)</f>
        <v>176.37641198968251</v>
      </c>
      <c r="O202" s="8">
        <f ca="1">+O201*(1+Deltas!O202)</f>
        <v>122.02442558476497</v>
      </c>
      <c r="P202" s="8">
        <f ca="1">+P201*(1+Deltas!P202)</f>
        <v>138.04648866327747</v>
      </c>
    </row>
    <row r="203" spans="1:16" x14ac:dyDescent="0.25">
      <c r="A203" vm="3023">
        <f ca="1"/>
        <v>45636</v>
      </c>
      <c r="B203" s="8">
        <f ca="1">+B202*(1+Deltas!B203)</f>
        <v>200.76603414609775</v>
      </c>
      <c r="C203" s="8">
        <f ca="1">+C202*(1+Deltas!C203)</f>
        <v>129.67615535323273</v>
      </c>
      <c r="D203" s="8">
        <f ca="1">+D202*(1+Deltas!D203)</f>
        <v>108.79797781486211</v>
      </c>
      <c r="E203" s="8">
        <f ca="1">+E202*(1+Deltas!E203)</f>
        <v>113.38947882338577</v>
      </c>
      <c r="F203" s="8">
        <f ca="1">+F202*(1+Deltas!F203)</f>
        <v>108.14814814814812</v>
      </c>
      <c r="G203" s="8">
        <f ca="1">+G202*(1+Deltas!G203)</f>
        <v>132.3848460070864</v>
      </c>
      <c r="H203" s="8">
        <f ca="1">+H202*(1+Deltas!H203)</f>
        <v>110.08336254917997</v>
      </c>
      <c r="I203" s="8">
        <f ca="1">+I202*(1+Deltas!I203)</f>
        <v>108.30529654907232</v>
      </c>
      <c r="J203" s="8">
        <f ca="1">+J202*(1+Deltas!J203)</f>
        <v>126.87958969576871</v>
      </c>
      <c r="K203" s="8">
        <f ca="1">+K202*(1+Deltas!K203)</f>
        <v>102.29540918163683</v>
      </c>
      <c r="L203" s="8">
        <f ca="1">+L202*(1+Deltas!L203)</f>
        <v>95.091111937523209</v>
      </c>
      <c r="M203" s="8">
        <f ca="1">+M202*(1+Deltas!M203)</f>
        <v>122.26400902594979</v>
      </c>
      <c r="N203" s="8">
        <f ca="1">+N202*(1+Deltas!N203)</f>
        <v>171.62424873889788</v>
      </c>
      <c r="O203" s="8">
        <f ca="1">+O202*(1+Deltas!O203)</f>
        <v>121.54833367832737</v>
      </c>
      <c r="P203" s="8">
        <f ca="1">+P202*(1+Deltas!P203)</f>
        <v>132.54592163427799</v>
      </c>
    </row>
    <row r="204" spans="1:16" x14ac:dyDescent="0.25">
      <c r="A204" vm="3036">
        <f ca="1"/>
        <v>45637</v>
      </c>
      <c r="B204" s="8">
        <f ca="1">+B203*(1+Deltas!B204)</f>
        <v>212.67210734491616</v>
      </c>
      <c r="C204" s="8">
        <f ca="1">+C203*(1+Deltas!C204)</f>
        <v>132.68410741039534</v>
      </c>
      <c r="D204" s="8">
        <f ca="1">+D203*(1+Deltas!D204)</f>
        <v>110.18700304309417</v>
      </c>
      <c r="E204" s="8">
        <f ca="1">+E203*(1+Deltas!E204)</f>
        <v>113.4932259245697</v>
      </c>
      <c r="F204" s="8">
        <f ca="1">+F203*(1+Deltas!F204)</f>
        <v>107.112366603892</v>
      </c>
      <c r="G204" s="8">
        <f ca="1">+G203*(1+Deltas!G204)</f>
        <v>132.75006813845735</v>
      </c>
      <c r="H204" s="8">
        <f ca="1">+H203*(1+Deltas!H204)</f>
        <v>103.91687117759334</v>
      </c>
      <c r="I204" s="8">
        <f ca="1">+I203*(1+Deltas!I204)</f>
        <v>107.58435066807645</v>
      </c>
      <c r="J204" s="8">
        <f ca="1">+J203*(1+Deltas!J204)</f>
        <v>129.2108637370323</v>
      </c>
      <c r="K204" s="8">
        <f ca="1">+K203*(1+Deltas!K204)</f>
        <v>101.99600798403205</v>
      </c>
      <c r="L204" s="8">
        <f ca="1">+L203*(1+Deltas!L204)</f>
        <v>93.826701375976157</v>
      </c>
      <c r="M204" s="8">
        <f ca="1">+M203*(1+Deltas!M204)</f>
        <v>121.16083740754688</v>
      </c>
      <c r="N204" s="8">
        <f ca="1">+N203*(1+Deltas!N204)</f>
        <v>177.01172793230077</v>
      </c>
      <c r="O204" s="8">
        <f ca="1">+O203*(1+Deltas!O204)</f>
        <v>121.27923825294961</v>
      </c>
      <c r="P204" s="8">
        <f ca="1">+P203*(1+Deltas!P204)</f>
        <v>141.33294245620002</v>
      </c>
    </row>
    <row r="205" spans="1:16" x14ac:dyDescent="0.25">
      <c r="A205" vm="3048">
        <f ca="1"/>
        <v>45638</v>
      </c>
      <c r="B205" s="8">
        <f ca="1">+B204*(1+Deltas!B205)</f>
        <v>209.33259900866224</v>
      </c>
      <c r="C205" s="8">
        <f ca="1">+C204*(1+Deltas!C205)</f>
        <v>131.94076293649883</v>
      </c>
      <c r="D205" s="8">
        <f ca="1">+D204*(1+Deltas!D205)</f>
        <v>110.3268872091882</v>
      </c>
      <c r="E205" s="8">
        <f ca="1">+E204*(1+Deltas!E205)</f>
        <v>111.94007079213958</v>
      </c>
      <c r="F205" s="8">
        <f ca="1">+F204*(1+Deltas!F205)</f>
        <v>107.2504708097928</v>
      </c>
      <c r="G205" s="8">
        <f ca="1">+G204*(1+Deltas!G205)</f>
        <v>131.65985282093214</v>
      </c>
      <c r="H205" s="8">
        <f ca="1">+H204*(1+Deltas!H205)</f>
        <v>100.45576720813364</v>
      </c>
      <c r="I205" s="8">
        <f ca="1">+I204*(1+Deltas!I205)</f>
        <v>107.48822455061033</v>
      </c>
      <c r="J205" s="8">
        <f ca="1">+J204*(1+Deltas!J205)</f>
        <v>130.43478260869566</v>
      </c>
      <c r="K205" s="8">
        <f ca="1">+K204*(1+Deltas!K205)</f>
        <v>103.69261477045919</v>
      </c>
      <c r="L205" s="8">
        <f ca="1">+L204*(1+Deltas!L205)</f>
        <v>94.347341018966119</v>
      </c>
      <c r="M205" s="8">
        <f ca="1">+M204*(1+Deltas!M205)</f>
        <v>120.53403535163613</v>
      </c>
      <c r="N205" s="8">
        <f ca="1">+N204*(1+Deltas!N205)</f>
        <v>174.50858311838482</v>
      </c>
      <c r="O205" s="8">
        <f ca="1">+O204*(1+Deltas!O205)</f>
        <v>121.81742910370515</v>
      </c>
      <c r="P205" s="8">
        <f ca="1">+P204*(1+Deltas!P205)</f>
        <v>139.37341366887063</v>
      </c>
    </row>
    <row r="206" spans="1:16" x14ac:dyDescent="0.25">
      <c r="A206" vm="3064">
        <f ca="1"/>
        <v>45639</v>
      </c>
      <c r="B206" s="8">
        <f ca="1">+B205*(1+Deltas!B206)</f>
        <v>218.40985330195824</v>
      </c>
      <c r="C206" s="8">
        <f ca="1">+C205*(1+Deltas!C206)</f>
        <v>131.07064653682153</v>
      </c>
      <c r="D206" s="8">
        <f ca="1">+D205*(1+Deltas!D206)</f>
        <v>109.76489643663494</v>
      </c>
      <c r="E206" s="8">
        <f ca="1">+E205*(1+Deltas!E206)</f>
        <v>111.22299523983882</v>
      </c>
      <c r="F206" s="8">
        <f ca="1">+F205*(1+Deltas!F206)</f>
        <v>107.38229755178904</v>
      </c>
      <c r="G206" s="8">
        <f ca="1">+G205*(1+Deltas!G206)</f>
        <v>130.79313164349961</v>
      </c>
      <c r="H206" s="8">
        <f ca="1">+H205*(1+Deltas!H206)</f>
        <v>101.37509251684776</v>
      </c>
      <c r="I206" s="8">
        <f ca="1">+I205*(1+Deltas!I206)</f>
        <v>106.5461885994424</v>
      </c>
      <c r="J206" s="8">
        <f ca="1">+J205*(1+Deltas!J206)</f>
        <v>126.41333488751604</v>
      </c>
      <c r="K206" s="8">
        <f ca="1">+K205*(1+Deltas!K206)</f>
        <v>104.84031936127755</v>
      </c>
      <c r="L206" s="8">
        <f ca="1">+L205*(1+Deltas!L206)</f>
        <v>95.128300483451056</v>
      </c>
      <c r="M206" s="8">
        <f ca="1">+M205*(1+Deltas!M206)</f>
        <v>123.01617149304268</v>
      </c>
      <c r="N206" s="8">
        <f ca="1">+N205*(1+Deltas!N206)</f>
        <v>170.58233059300395</v>
      </c>
      <c r="O206" s="8">
        <f ca="1">+O205*(1+Deltas!O206)</f>
        <v>121.34133719726755</v>
      </c>
      <c r="P206" s="8">
        <f ca="1">+P205*(1+Deltas!P206)</f>
        <v>173.42601235891797</v>
      </c>
    </row>
    <row r="207" spans="1:16" x14ac:dyDescent="0.25">
      <c r="A207" vm="3079">
        <f ca="1"/>
        <v>45642</v>
      </c>
      <c r="B207" s="8">
        <f ca="1">+B206*(1+Deltas!B207)</f>
        <v>231.82296099734702</v>
      </c>
      <c r="C207" s="8">
        <f ca="1">+C206*(1+Deltas!C207)</f>
        <v>134.22265760055322</v>
      </c>
      <c r="D207" s="8">
        <f ca="1">+D206*(1+Deltas!D207)</f>
        <v>110.82507116913715</v>
      </c>
      <c r="E207" s="8">
        <f ca="1">+E206*(1+Deltas!E207)</f>
        <v>111.38471866227259</v>
      </c>
      <c r="F207" s="8">
        <f ca="1">+F206*(1+Deltas!F207)</f>
        <v>107.43251726302569</v>
      </c>
      <c r="G207" s="8">
        <f ca="1">+G206*(1+Deltas!G207)</f>
        <v>130.59689288634507</v>
      </c>
      <c r="H207" s="8">
        <f ca="1">+H206*(1+Deltas!H207)</f>
        <v>97.093997117369753</v>
      </c>
      <c r="I207" s="8">
        <f ca="1">+I206*(1+Deltas!I207)</f>
        <v>104.26799961549546</v>
      </c>
      <c r="J207" s="8">
        <f ca="1">+J206*(1+Deltas!J207)</f>
        <v>125.24769786688425</v>
      </c>
      <c r="K207" s="8">
        <f ca="1">+K206*(1+Deltas!K207)</f>
        <v>103.39321357285439</v>
      </c>
      <c r="L207" s="8">
        <f ca="1">+L206*(1+Deltas!L207)</f>
        <v>93.90107846783188</v>
      </c>
      <c r="M207" s="8">
        <f ca="1">+M206*(1+Deltas!M207)</f>
        <v>122.23893694371337</v>
      </c>
      <c r="N207" s="8">
        <f ca="1">+N206*(1+Deltas!N207)</f>
        <v>167.72340885122176</v>
      </c>
      <c r="O207" s="8">
        <f ca="1">+O206*(1+Deltas!O207)</f>
        <v>120.78244669840603</v>
      </c>
      <c r="P207" s="8">
        <f ca="1">+P206*(1+Deltas!P207)</f>
        <v>192.86700662691055</v>
      </c>
    </row>
    <row r="208" spans="1:16" x14ac:dyDescent="0.25">
      <c r="A208" vm="3094">
        <f ca="1"/>
        <v>45643</v>
      </c>
      <c r="B208" s="8">
        <f ca="1">+B207*(1+Deltas!B208)</f>
        <v>240.25434336354144</v>
      </c>
      <c r="C208" s="8">
        <f ca="1">+C207*(1+Deltas!C208)</f>
        <v>133.19695747378128</v>
      </c>
      <c r="D208" s="8">
        <f ca="1">+D207*(1+Deltas!D208)</f>
        <v>111.52940021596153</v>
      </c>
      <c r="E208" s="8">
        <f ca="1">+E207*(1+Deltas!E208)</f>
        <v>110.7012083485902</v>
      </c>
      <c r="F208" s="8">
        <f ca="1">+F207*(1+Deltas!F208)</f>
        <v>106.92404268675452</v>
      </c>
      <c r="G208" s="8">
        <f ca="1">+G207*(1+Deltas!G208)</f>
        <v>129.9318615426547</v>
      </c>
      <c r="H208" s="8">
        <f ca="1">+H207*(1+Deltas!H208)</f>
        <v>94.565852518405933</v>
      </c>
      <c r="I208" s="8">
        <f ca="1">+I207*(1+Deltas!I208)</f>
        <v>103.82581947515132</v>
      </c>
      <c r="J208" s="8">
        <f ca="1">+J207*(1+Deltas!J208)</f>
        <v>126.64646229164241</v>
      </c>
      <c r="K208" s="8">
        <f ca="1">+K207*(1+Deltas!K208)</f>
        <v>103.44311377245521</v>
      </c>
      <c r="L208" s="8">
        <f ca="1">+L207*(1+Deltas!L208)</f>
        <v>98.28932688731868</v>
      </c>
      <c r="M208" s="8">
        <f ca="1">+M207*(1+Deltas!M208)</f>
        <v>121.22351761313796</v>
      </c>
      <c r="N208" s="8">
        <f ca="1">+N207*(1+Deltas!N208)</f>
        <v>165.67769151599094</v>
      </c>
      <c r="O208" s="8">
        <f ca="1">+O207*(1+Deltas!O208)</f>
        <v>121.13434071620772</v>
      </c>
      <c r="P208" s="8">
        <f ca="1">+P207*(1+Deltas!P208)</f>
        <v>185.32976400793089</v>
      </c>
    </row>
    <row r="209" spans="1:16" x14ac:dyDescent="0.25">
      <c r="A209" vm="3109">
        <f ca="1"/>
        <v>45644</v>
      </c>
      <c r="B209" s="8">
        <f ca="1">+B208*(1+Deltas!B209)</f>
        <v>220.36248936063745</v>
      </c>
      <c r="C209" s="8">
        <f ca="1">+C208*(1+Deltas!C209)</f>
        <v>127.07156851446355</v>
      </c>
      <c r="D209" s="8">
        <f ca="1">+D208*(1+Deltas!D209)</f>
        <v>107.34023755767156</v>
      </c>
      <c r="E209" s="8">
        <f ca="1">+E208*(1+Deltas!E209)</f>
        <v>106.38960087879892</v>
      </c>
      <c r="F209" s="8">
        <f ca="1">+F208*(1+Deltas!F209)</f>
        <v>106.1393596986817</v>
      </c>
      <c r="G209" s="8">
        <f ca="1">+G208*(1+Deltas!G209)</f>
        <v>125.57645134914148</v>
      </c>
      <c r="H209" s="8">
        <f ca="1">+H208*(1+Deltas!H209)</f>
        <v>97.331619336995018</v>
      </c>
      <c r="I209" s="8">
        <f ca="1">+I208*(1+Deltas!I209)</f>
        <v>102.29741420744008</v>
      </c>
      <c r="J209" s="8">
        <f ca="1">+J208*(1+Deltas!J209)</f>
        <v>121.86735050705212</v>
      </c>
      <c r="K209" s="8">
        <f ca="1">+K208*(1+Deltas!K209)</f>
        <v>101.52195608782446</v>
      </c>
      <c r="L209" s="8">
        <f ca="1">+L208*(1+Deltas!L209)</f>
        <v>96.281145407214552</v>
      </c>
      <c r="M209" s="8">
        <f ca="1">+M208*(1+Deltas!M209)</f>
        <v>118.62228908110836</v>
      </c>
      <c r="N209" s="8">
        <f ca="1">+N208*(1+Deltas!N209)</f>
        <v>163.79715632584089</v>
      </c>
      <c r="O209" s="8">
        <f ca="1">+O208*(1+Deltas!O209)</f>
        <v>119.08507555371547</v>
      </c>
      <c r="P209" s="8">
        <f ca="1">+P208*(1+Deltas!P209)</f>
        <v>172.51568008763897</v>
      </c>
    </row>
    <row r="210" spans="1:16" x14ac:dyDescent="0.25">
      <c r="A210" vm="3123">
        <f ca="1"/>
        <v>45645</v>
      </c>
      <c r="B210" s="8">
        <f ca="1">+B209*(1+Deltas!B210)</f>
        <v>218.37981274720934</v>
      </c>
      <c r="C210" s="8">
        <f ca="1">+C209*(1+Deltas!C210)</f>
        <v>128.66774230724909</v>
      </c>
      <c r="D210" s="8">
        <f ca="1">+D209*(1+Deltas!D210)</f>
        <v>107.25188966329638</v>
      </c>
      <c r="E210" s="8">
        <f ca="1">+E209*(1+Deltas!E210)</f>
        <v>104.47333089222501</v>
      </c>
      <c r="F210" s="8">
        <f ca="1">+F209*(1+Deltas!F210)</f>
        <v>106.20841180163211</v>
      </c>
      <c r="G210" s="8">
        <f ca="1">+G209*(1+Deltas!G210)</f>
        <v>126.98828018533662</v>
      </c>
      <c r="H210" s="8">
        <f ca="1">+H209*(1+Deltas!H210)</f>
        <v>95.292353239063502</v>
      </c>
      <c r="I210" s="8">
        <f ca="1">+I209*(1+Deltas!I210)</f>
        <v>101.42266653849843</v>
      </c>
      <c r="J210" s="8">
        <f ca="1">+J209*(1+Deltas!J210)</f>
        <v>120.4103042312624</v>
      </c>
      <c r="K210" s="8">
        <f ca="1">+K209*(1+Deltas!K210)</f>
        <v>100.9481037924153</v>
      </c>
      <c r="L210" s="8">
        <f ca="1">+L209*(1+Deltas!L210)</f>
        <v>95.834882856080299</v>
      </c>
      <c r="M210" s="8">
        <f ca="1">+M209*(1+Deltas!M210)</f>
        <v>118.96076219130015</v>
      </c>
      <c r="N210" s="8">
        <f ca="1">+N209*(1+Deltas!N210)</f>
        <v>166.04617476270957</v>
      </c>
      <c r="O210" s="8">
        <f ca="1">+O209*(1+Deltas!O210)</f>
        <v>119.2920720347753</v>
      </c>
      <c r="P210" s="8">
        <f ca="1">+P209*(1+Deltas!P210)</f>
        <v>168.42689954714845</v>
      </c>
    </row>
    <row r="211" spans="1:16" x14ac:dyDescent="0.25">
      <c r="A211" vm="3138">
        <f ca="1"/>
        <v>45646</v>
      </c>
      <c r="B211" s="8">
        <f ca="1">+B210*(1+Deltas!B211)</f>
        <v>210.81459970960856</v>
      </c>
      <c r="C211" s="8">
        <f ca="1">+C210*(1+Deltas!C211)</f>
        <v>129.60700703007956</v>
      </c>
      <c r="D211" s="8">
        <f ca="1">+D210*(1+Deltas!D211)</f>
        <v>107.14636301168159</v>
      </c>
      <c r="E211" s="8">
        <f ca="1">+E210*(1+Deltas!E211)</f>
        <v>105.41620895886727</v>
      </c>
      <c r="F211" s="8">
        <f ca="1">+F210*(1+Deltas!F211)</f>
        <v>105.49905838041428</v>
      </c>
      <c r="G211" s="8">
        <f ca="1">+G210*(1+Deltas!G211)</f>
        <v>129.51757972199511</v>
      </c>
      <c r="H211" s="8">
        <f ca="1">+H210*(1+Deltas!H211)</f>
        <v>97.411475984573983</v>
      </c>
      <c r="I211" s="8">
        <f ca="1">+I210*(1+Deltas!I211)</f>
        <v>101.76872056137645</v>
      </c>
      <c r="J211" s="8">
        <f ca="1">+J210*(1+Deltas!J211)</f>
        <v>122.50845086839959</v>
      </c>
      <c r="K211" s="8">
        <f ca="1">+K210*(1+Deltas!K211)</f>
        <v>100.8483033932137</v>
      </c>
      <c r="L211" s="8">
        <f ca="1">+L210*(1+Deltas!L211)</f>
        <v>98.029007065823691</v>
      </c>
      <c r="M211" s="8">
        <f ca="1">+M210*(1+Deltas!M211)</f>
        <v>121.32380594208367</v>
      </c>
      <c r="N211" s="8">
        <f ca="1">+N210*(1+Deltas!N211)</f>
        <v>171.1541149413604</v>
      </c>
      <c r="O211" s="8">
        <f ca="1">+O210*(1+Deltas!O211)</f>
        <v>121.13434071620772</v>
      </c>
      <c r="P211" s="8">
        <f ca="1">+P210*(1+Deltas!P211)</f>
        <v>170.33242557262233</v>
      </c>
    </row>
    <row r="212" spans="1:16" x14ac:dyDescent="0.25">
      <c r="A212" vm="3151">
        <f ca="1"/>
        <v>45649</v>
      </c>
      <c r="B212" s="8">
        <f ca="1">+B211*(1+Deltas!B212)</f>
        <v>215.59104791468545</v>
      </c>
      <c r="C212" s="8">
        <f ca="1">+C211*(1+Deltas!C212)</f>
        <v>129.68768007375826</v>
      </c>
      <c r="D212" s="8">
        <f ca="1">+D211*(1+Deltas!D212)</f>
        <v>106.81505840777463</v>
      </c>
      <c r="E212" s="8">
        <f ca="1">+E211*(1+Deltas!E212)</f>
        <v>105.22397168314409</v>
      </c>
      <c r="F212" s="8">
        <f ca="1">+F211*(1+Deltas!F212)</f>
        <v>105.5304456999372</v>
      </c>
      <c r="G212" s="8">
        <f ca="1">+G211*(1+Deltas!G212)</f>
        <v>129.94821477241757</v>
      </c>
      <c r="H212" s="8">
        <f ca="1">+H211*(1+Deltas!H212)</f>
        <v>98.621012036928775</v>
      </c>
      <c r="I212" s="8">
        <f ca="1">+I211*(1+Deltas!I212)</f>
        <v>102.18206286648073</v>
      </c>
      <c r="J212" s="8">
        <f ca="1">+J211*(1+Deltas!J212)</f>
        <v>123.32439678284184</v>
      </c>
      <c r="K212" s="8">
        <f ca="1">+K211*(1+Deltas!K212)</f>
        <v>99.950099800399329</v>
      </c>
      <c r="L212" s="8">
        <f ca="1">+L211*(1+Deltas!L212)</f>
        <v>99.330606173298591</v>
      </c>
      <c r="M212" s="8">
        <f ca="1">+M211*(1+Deltas!M212)</f>
        <v>121.36768208599743</v>
      </c>
      <c r="N212" s="8">
        <f ca="1">+N211*(1+Deltas!N212)</f>
        <v>177.46915541098593</v>
      </c>
      <c r="O212" s="8">
        <f ca="1">+O211*(1+Deltas!O212)</f>
        <v>122.08652452908288</v>
      </c>
      <c r="P212" s="8">
        <f ca="1">+P211*(1+Deltas!P212)</f>
        <v>179.25059595905068</v>
      </c>
    </row>
    <row r="213" spans="1:16" x14ac:dyDescent="0.25">
      <c r="A213" vm="3167">
        <f ca="1"/>
        <v>45650</v>
      </c>
      <c r="B213" s="8">
        <f ca="1">+B212*(1+Deltas!B213)</f>
        <v>231.45246082211051</v>
      </c>
      <c r="C213" s="8">
        <f ca="1">+C212*(1+Deltas!C213)</f>
        <v>131.98686181860094</v>
      </c>
      <c r="D213" s="8">
        <f ca="1">+D212*(1+Deltas!D213)</f>
        <v>107.81633454402672</v>
      </c>
      <c r="E213" s="8">
        <f ca="1">+E212*(1+Deltas!E213)</f>
        <v>105.7366044184059</v>
      </c>
      <c r="F213" s="8">
        <f ca="1">+F212*(1+Deltas!F213)</f>
        <v>106.05147520401755</v>
      </c>
      <c r="G213" s="8">
        <f ca="1">+G212*(1+Deltas!G213)</f>
        <v>132.08503679476701</v>
      </c>
      <c r="H213" s="8">
        <f ca="1">+H212*(1+Deltas!H213)</f>
        <v>98.574266682248407</v>
      </c>
      <c r="I213" s="8">
        <f ca="1">+I212*(1+Deltas!I213)</f>
        <v>102.27818898394686</v>
      </c>
      <c r="J213" s="8">
        <f ca="1">+J212*(1+Deltas!J213)</f>
        <v>123.20783308077867</v>
      </c>
      <c r="K213" s="8">
        <f ca="1">+K212*(1+Deltas!K213)</f>
        <v>100.17465069860292</v>
      </c>
      <c r="L213" s="8">
        <f ca="1">+L212*(1+Deltas!L213)</f>
        <v>99.442171811082147</v>
      </c>
      <c r="M213" s="8">
        <f ca="1">+M212*(1+Deltas!M213)</f>
        <v>122.55233797166873</v>
      </c>
      <c r="N213" s="8">
        <f ca="1">+N212*(1+Deltas!N213)</f>
        <v>178.16800294786606</v>
      </c>
      <c r="O213" s="8">
        <f ca="1">+O212*(1+Deltas!O213)</f>
        <v>123.88739391430335</v>
      </c>
      <c r="P213" s="8">
        <f ca="1">+P212*(1+Deltas!P213)</f>
        <v>184.90545659335172</v>
      </c>
    </row>
    <row r="214" spans="1:16" x14ac:dyDescent="0.25">
      <c r="A214" vm="3183">
        <f ca="1"/>
        <v>45652</v>
      </c>
      <c r="B214" s="8">
        <f ca="1">+B213*(1+Deltas!B214)</f>
        <v>227.37195213538342</v>
      </c>
      <c r="C214" s="8">
        <f ca="1">+C213*(1+Deltas!C214)</f>
        <v>130.83438976604822</v>
      </c>
      <c r="D214" s="8">
        <f ca="1">+D213*(1+Deltas!D214)</f>
        <v>107.51693334642194</v>
      </c>
      <c r="E214" s="8">
        <f ca="1">+E213*(1+Deltas!E214)</f>
        <v>105.42841450018304</v>
      </c>
      <c r="F214" s="8">
        <f ca="1">+F213*(1+Deltas!F214)</f>
        <v>106.81732580037662</v>
      </c>
      <c r="G214" s="8">
        <f ca="1">+G213*(1+Deltas!G214)</f>
        <v>132.53747615153995</v>
      </c>
      <c r="H214" s="8">
        <f ca="1">+H213*(1+Deltas!H214)</f>
        <v>99.557866853648036</v>
      </c>
      <c r="I214" s="8">
        <f ca="1">+I213*(1+Deltas!I214)</f>
        <v>102.36470248966636</v>
      </c>
      <c r="J214" s="8">
        <f ca="1">+J213*(1+Deltas!J214)</f>
        <v>123.44096048490502</v>
      </c>
      <c r="K214" s="8">
        <f ca="1">+K213*(1+Deltas!K214)</f>
        <v>100.7984031936129</v>
      </c>
      <c r="L214" s="8">
        <f ca="1">+L213*(1+Deltas!L214)</f>
        <v>98.772777984380767</v>
      </c>
      <c r="M214" s="8">
        <f ca="1">+M213*(1+Deltas!M214)</f>
        <v>122.6150181772598</v>
      </c>
      <c r="N214" s="8">
        <f ca="1">+N213*(1+Deltas!N214)</f>
        <v>177.79951970114749</v>
      </c>
      <c r="O214" s="8">
        <f ca="1">+O213*(1+Deltas!O214)</f>
        <v>124.1564893396811</v>
      </c>
      <c r="P214" s="8">
        <f ca="1">+P213*(1+Deltas!P214)</f>
        <v>189.28739498391511</v>
      </c>
    </row>
    <row r="215" spans="1:16" x14ac:dyDescent="0.25">
      <c r="A215" vm="3197">
        <f ca="1"/>
        <v>45653</v>
      </c>
      <c r="B215" s="8">
        <f ca="1">+B214*(1+Deltas!B215)</f>
        <v>216.12176438191622</v>
      </c>
      <c r="C215" s="8">
        <f ca="1">+C214*(1+Deltas!C215)</f>
        <v>128.93281087933622</v>
      </c>
      <c r="D215" s="8">
        <f ca="1">+D214*(1+Deltas!D215)</f>
        <v>105.65671934818889</v>
      </c>
      <c r="E215" s="8">
        <f ca="1">+E214*(1+Deltas!E215)</f>
        <v>104.75100695715852</v>
      </c>
      <c r="F215" s="8">
        <f ca="1">+F214*(1+Deltas!F215)</f>
        <v>106.42184557438793</v>
      </c>
      <c r="G215" s="8">
        <f ca="1">+G214*(1+Deltas!G215)</f>
        <v>131.46361406377761</v>
      </c>
      <c r="H215" s="8">
        <f ca="1">+H214*(1+Deltas!H215)</f>
        <v>99.331930972692874</v>
      </c>
      <c r="I215" s="8">
        <f ca="1">+I214*(1+Deltas!I215)</f>
        <v>102.35508987791975</v>
      </c>
      <c r="J215" s="8">
        <f ca="1">+J214*(1+Deltas!J215)</f>
        <v>125.07285231378953</v>
      </c>
      <c r="K215" s="8">
        <f ca="1">+K214*(1+Deltas!K215)</f>
        <v>100.64870259481052</v>
      </c>
      <c r="L215" s="8">
        <f ca="1">+L214*(1+Deltas!L215)</f>
        <v>98.995909259947908</v>
      </c>
      <c r="M215" s="8">
        <f ca="1">+M214*(1+Deltas!M215)</f>
        <v>121.47423843550224</v>
      </c>
      <c r="N215" s="8">
        <f ca="1">+N214*(1+Deltas!N215)</f>
        <v>174.08927459625681</v>
      </c>
      <c r="O215" s="8">
        <f ca="1">+O214*(1+Deltas!O215)</f>
        <v>123.39060235975977</v>
      </c>
      <c r="P215" s="8">
        <f ca="1">+P214*(1+Deltas!P215)</f>
        <v>186.5023954082225</v>
      </c>
    </row>
    <row r="216" spans="1:16" x14ac:dyDescent="0.25">
      <c r="A216" vm="3213">
        <f ca="1"/>
        <v>45656</v>
      </c>
      <c r="B216" s="8">
        <f ca="1">+B215*(1+Deltas!B216)</f>
        <v>208.98713262904982</v>
      </c>
      <c r="C216" s="8">
        <f ca="1">+C215*(1+Deltas!C216)</f>
        <v>127.52103261495914</v>
      </c>
      <c r="D216" s="8">
        <f ca="1">+D215*(1+Deltas!D216)</f>
        <v>104.25787768724847</v>
      </c>
      <c r="E216" s="8">
        <f ca="1">+E215*(1+Deltas!E216)</f>
        <v>103.36567801782006</v>
      </c>
      <c r="F216" s="8">
        <f ca="1">+F215*(1+Deltas!F216)</f>
        <v>104.89014438166978</v>
      </c>
      <c r="G216" s="8">
        <f ca="1">+G215*(1+Deltas!G216)</f>
        <v>130.45516489506679</v>
      </c>
      <c r="H216" s="8">
        <f ca="1">+H215*(1+Deltas!H216)</f>
        <v>98.905379611234423</v>
      </c>
      <c r="I216" s="8">
        <f ca="1">+I215*(1+Deltas!I216)</f>
        <v>101.66298183216372</v>
      </c>
      <c r="J216" s="8">
        <f ca="1">+J215*(1+Deltas!J216)</f>
        <v>123.6158060379998</v>
      </c>
      <c r="K216" s="8">
        <f ca="1">+K215*(1+Deltas!K216)</f>
        <v>100.04990019960093</v>
      </c>
      <c r="L216" s="8">
        <f ca="1">+L215*(1+Deltas!L216)</f>
        <v>98.252138341390832</v>
      </c>
      <c r="M216" s="8">
        <f ca="1">+M215*(1+Deltas!M216)</f>
        <v>120.69073586561382</v>
      </c>
      <c r="N216" s="8">
        <f ca="1">+N215*(1+Deltas!N216)</f>
        <v>174.69917790117037</v>
      </c>
      <c r="O216" s="8">
        <f ca="1">+O215*(1+Deltas!O216)</f>
        <v>122.52121713930852</v>
      </c>
      <c r="P216" s="8">
        <f ca="1">+P215*(1+Deltas!P216)</f>
        <v>181.74243768467036</v>
      </c>
    </row>
    <row r="217" spans="1:16" x14ac:dyDescent="0.25">
      <c r="A217" vm="3229">
        <f ca="1"/>
        <v>45657</v>
      </c>
      <c r="B217" s="8">
        <f ca="1">+B216*(1+Deltas!B217)</f>
        <v>202.19296049667108</v>
      </c>
      <c r="C217" s="8">
        <f ca="1">+C216*(1+Deltas!C217)</f>
        <v>126.42042180477127</v>
      </c>
      <c r="D217" s="8">
        <f ca="1">+D216*(1+Deltas!D217)</f>
        <v>103.44065966427802</v>
      </c>
      <c r="E217" s="8">
        <f ca="1">+E216*(1+Deltas!E217)</f>
        <v>103.7257414866349</v>
      </c>
      <c r="F217" s="8">
        <f ca="1">+F216*(1+Deltas!F217)</f>
        <v>105.24168236032641</v>
      </c>
      <c r="G217" s="8">
        <f ca="1">+G216*(1+Deltas!G217)</f>
        <v>130.66775688198422</v>
      </c>
      <c r="H217" s="8">
        <f ca="1">+H216*(1+Deltas!H217)</f>
        <v>98.527521327568024</v>
      </c>
      <c r="I217" s="8">
        <f ca="1">+I216*(1+Deltas!I217)</f>
        <v>103.40286455830039</v>
      </c>
      <c r="J217" s="8">
        <f ca="1">+J216*(1+Deltas!J217)</f>
        <v>123.32439678284186</v>
      </c>
      <c r="K217" s="8">
        <f ca="1">+K216*(1+Deltas!K217)</f>
        <v>99.38872255489035</v>
      </c>
      <c r="L217" s="8">
        <f ca="1">+L216*(1+Deltas!L217)</f>
        <v>98.661212346597225</v>
      </c>
      <c r="M217" s="8">
        <f ca="1">+M216*(1+Deltas!M217)</f>
        <v>120.84116835903239</v>
      </c>
      <c r="N217" s="8">
        <f ca="1">+N216*(1+Deltas!N217)</f>
        <v>170.63315586841347</v>
      </c>
      <c r="O217" s="8">
        <f ca="1">+O216*(1+Deltas!O217)</f>
        <v>122.54191678741449</v>
      </c>
      <c r="P217" s="8">
        <f ca="1">+P216*(1+Deltas!P217)</f>
        <v>178.85714726553178</v>
      </c>
    </row>
    <row r="218" spans="1:16" x14ac:dyDescent="0.25">
      <c r="A218" vm="3244">
        <f ca="1"/>
        <v>45659</v>
      </c>
      <c r="B218" s="8">
        <f ca="1">+B217*(1+Deltas!B218)</f>
        <v>189.89636008611677</v>
      </c>
      <c r="C218" s="8">
        <f ca="1">+C217*(1+Deltas!C218)</f>
        <v>126.89869770658065</v>
      </c>
      <c r="D218" s="8">
        <f ca="1">+D217*(1+Deltas!D218)</f>
        <v>102.72406007656818</v>
      </c>
      <c r="E218" s="8">
        <f ca="1">+E217*(1+Deltas!E218)</f>
        <v>101.65995361894298</v>
      </c>
      <c r="F218" s="8">
        <f ca="1">+F217*(1+Deltas!F218)</f>
        <v>104.19334588826112</v>
      </c>
      <c r="G218" s="8">
        <f ca="1">+G217*(1+Deltas!G218)</f>
        <v>130.82583810302538</v>
      </c>
      <c r="H218" s="8">
        <f ca="1">+H217*(1+Deltas!H218)</f>
        <v>98.264578707490884</v>
      </c>
      <c r="I218" s="8">
        <f ca="1">+I217*(1+Deltas!I218)</f>
        <v>103.1529366528885</v>
      </c>
      <c r="J218" s="8">
        <f ca="1">+J217*(1+Deltas!J218)</f>
        <v>122.91642382562074</v>
      </c>
      <c r="K218" s="8">
        <f ca="1">+K217*(1+Deltas!K218)</f>
        <v>101.97105788423166</v>
      </c>
      <c r="L218" s="8">
        <f ca="1">+L217*(1+Deltas!L218)</f>
        <v>98.958720714020046</v>
      </c>
      <c r="M218" s="8">
        <f ca="1">+M217*(1+Deltas!M218)</f>
        <v>120.31465463206736</v>
      </c>
      <c r="N218" s="8">
        <f ca="1">+N217*(1+Deltas!N218)</f>
        <v>175.74109604706433</v>
      </c>
      <c r="O218" s="8">
        <f ca="1">+O217*(1+Deltas!O218)</f>
        <v>122.33492030635466</v>
      </c>
      <c r="P218" s="8">
        <f ca="1">+P217*(1+Deltas!P218)</f>
        <v>178.96515278924284</v>
      </c>
    </row>
    <row r="219" spans="1:16" x14ac:dyDescent="0.25">
      <c r="A219" vm="3260">
        <f ca="1"/>
        <v>45660</v>
      </c>
      <c r="B219" s="8">
        <f ca="1">+B218*(1+Deltas!B219)</f>
        <v>205.49742151905127</v>
      </c>
      <c r="C219" s="8">
        <f ca="1">+C218*(1+Deltas!C219)</f>
        <v>129.18635473089782</v>
      </c>
      <c r="D219" s="8">
        <f ca="1">+D218*(1+Deltas!D219)</f>
        <v>103.89466967703937</v>
      </c>
      <c r="E219" s="8">
        <f ca="1">+E218*(1+Deltas!E219)</f>
        <v>102.69132186012448</v>
      </c>
      <c r="F219" s="8">
        <f ca="1">+F218*(1+Deltas!F219)</f>
        <v>103.65976145637161</v>
      </c>
      <c r="G219" s="8">
        <f ca="1">+G218*(1+Deltas!G219)</f>
        <v>132.61379122376673</v>
      </c>
      <c r="H219" s="8">
        <f ca="1">+H218*(1+Deltas!H219)</f>
        <v>99.918195629309267</v>
      </c>
      <c r="I219" s="8">
        <f ca="1">+I218*(1+Deltas!I219)</f>
        <v>103.68163029895213</v>
      </c>
      <c r="J219" s="8">
        <f ca="1">+J218*(1+Deltas!J219)</f>
        <v>124.25690639934729</v>
      </c>
      <c r="K219" s="8">
        <f ca="1">+K218*(1+Deltas!K219)</f>
        <v>101.94610778443126</v>
      </c>
      <c r="L219" s="8">
        <f ca="1">+L218*(1+Deltas!L219)</f>
        <v>98.884343622164337</v>
      </c>
      <c r="M219" s="8">
        <f ca="1">+M218*(1+Deltas!M219)</f>
        <v>120.00125360411199</v>
      </c>
      <c r="N219" s="8">
        <f ca="1">+N218*(1+Deltas!N219)</f>
        <v>183.56818846012135</v>
      </c>
      <c r="O219" s="8">
        <f ca="1">+O218*(1+Deltas!O219)</f>
        <v>121.83812875181108</v>
      </c>
      <c r="P219" s="8">
        <f ca="1">+P218*(1+Deltas!P219)</f>
        <v>179.4048895643522</v>
      </c>
    </row>
    <row r="220" spans="1:16" x14ac:dyDescent="0.25">
      <c r="A220" vm="3275">
        <f ca="1"/>
        <v>45663</v>
      </c>
      <c r="B220" s="8">
        <f ca="1">+B219*(1+Deltas!B220)</f>
        <v>205.80283382566523</v>
      </c>
      <c r="C220" s="8">
        <f ca="1">+C219*(1+Deltas!C220)</f>
        <v>131.15708194076299</v>
      </c>
      <c r="D220" s="8">
        <f ca="1">+D219*(1+Deltas!D220)</f>
        <v>104.99901835672917</v>
      </c>
      <c r="E220" s="8">
        <f ca="1">+E219*(1+Deltas!E220)</f>
        <v>103.0818991822287</v>
      </c>
      <c r="F220" s="8">
        <f ca="1">+F219*(1+Deltas!F220)</f>
        <v>100.81607030759572</v>
      </c>
      <c r="G220" s="8">
        <f ca="1">+G219*(1+Deltas!G220)</f>
        <v>131.28917961297358</v>
      </c>
      <c r="H220" s="8">
        <f ca="1">+H219*(1+Deltas!H220)</f>
        <v>100.048693077792</v>
      </c>
      <c r="I220" s="8">
        <f ca="1">+I219*(1+Deltas!I220)</f>
        <v>103.56627895799278</v>
      </c>
      <c r="J220" s="8">
        <f ca="1">+J219*(1+Deltas!J220)</f>
        <v>121.80906865602054</v>
      </c>
      <c r="K220" s="8">
        <f ca="1">+K219*(1+Deltas!K220)</f>
        <v>102.94411177644723</v>
      </c>
      <c r="L220" s="8">
        <f ca="1">+L219*(1+Deltas!L220)</f>
        <v>99.999999999999957</v>
      </c>
      <c r="M220" s="8">
        <f ca="1">+M219*(1+Deltas!M220)</f>
        <v>116.52877021436649</v>
      </c>
      <c r="N220" s="8">
        <f ca="1">+N219*(1+Deltas!N220)</f>
        <v>189.87052261089457</v>
      </c>
      <c r="O220" s="8">
        <f ca="1">+O219*(1+Deltas!O220)</f>
        <v>121.65183191885725</v>
      </c>
      <c r="P220" s="8">
        <f ca="1">+P219*(1+Deltas!P220)</f>
        <v>182.38275614667171</v>
      </c>
    </row>
    <row r="221" spans="1:16" x14ac:dyDescent="0.25">
      <c r="A221" vm="3289">
        <f ca="1"/>
        <v>45664</v>
      </c>
      <c r="B221" s="8">
        <f ca="1">+B220*(1+Deltas!B221)</f>
        <v>197.44655284634311</v>
      </c>
      <c r="C221" s="8">
        <f ca="1">+C220*(1+Deltas!C221)</f>
        <v>127.98778379624299</v>
      </c>
      <c r="D221" s="8">
        <f ca="1">+D220*(1+Deltas!D221)</f>
        <v>103.6541670756847</v>
      </c>
      <c r="E221" s="8">
        <f ca="1">+E220*(1+Deltas!E221)</f>
        <v>102.03832539973143</v>
      </c>
      <c r="F221" s="8">
        <f ca="1">+F220*(1+Deltas!F221)</f>
        <v>101.2554927809165</v>
      </c>
      <c r="G221" s="8">
        <f ca="1">+G220*(1+Deltas!G221)</f>
        <v>132.55382938130282</v>
      </c>
      <c r="H221" s="8">
        <f ca="1">+H220*(1+Deltas!H221)</f>
        <v>100.16166101826958</v>
      </c>
      <c r="I221" s="8">
        <f ca="1">+I220*(1+Deltas!I221)</f>
        <v>104.53715274440054</v>
      </c>
      <c r="J221" s="8">
        <f ca="1">+J220*(1+Deltas!J221)</f>
        <v>121.86735050705214</v>
      </c>
      <c r="K221" s="8">
        <f ca="1">+K220*(1+Deltas!K221)</f>
        <v>101.87125748503006</v>
      </c>
      <c r="L221" s="8">
        <f ca="1">+L220*(1+Deltas!L221)</f>
        <v>100.89252510226845</v>
      </c>
      <c r="M221" s="8">
        <f ca="1">+M220*(1+Deltas!M221)</f>
        <v>116.6102544816349</v>
      </c>
      <c r="N221" s="8">
        <f ca="1">+N220*(1+Deltas!N221)</f>
        <v>178.06635239704718</v>
      </c>
      <c r="O221" s="8">
        <f ca="1">+O220*(1+Deltas!O221)</f>
        <v>121.98302628855298</v>
      </c>
      <c r="P221" s="8">
        <f ca="1">+P220*(1+Deltas!P221)</f>
        <v>176.38844958070732</v>
      </c>
    </row>
    <row r="222" spans="1:16" x14ac:dyDescent="0.25">
      <c r="A222" vm="3304">
        <f ca="1"/>
        <v>45665</v>
      </c>
      <c r="B222" s="8">
        <f ca="1">+B221*(1+Deltas!B222)</f>
        <v>197.73694487558259</v>
      </c>
      <c r="C222" s="8">
        <f ca="1">+C221*(1+Deltas!C222)</f>
        <v>127.99930851676851</v>
      </c>
      <c r="D222" s="8">
        <f ca="1">+D221*(1+Deltas!D222)</f>
        <v>104.19161676646706</v>
      </c>
      <c r="E222" s="8">
        <f ca="1">+E221*(1+Deltas!E222)</f>
        <v>102.99646039301841</v>
      </c>
      <c r="F222" s="8">
        <f ca="1">+F221*(1+Deltas!F222)</f>
        <v>101.7576898932831</v>
      </c>
      <c r="G222" s="8">
        <f ca="1">+G221*(1+Deltas!G222)</f>
        <v>132.53202507495232</v>
      </c>
      <c r="H222" s="8">
        <f ca="1">+H221*(1+Deltas!H222)</f>
        <v>102.16197265396744</v>
      </c>
      <c r="I222" s="8">
        <f ca="1">+I221*(1+Deltas!I222)</f>
        <v>102.78765740651725</v>
      </c>
      <c r="J222" s="8">
        <f ca="1">+J221*(1+Deltas!J222)</f>
        <v>121.0514045926099</v>
      </c>
      <c r="K222" s="8">
        <f ca="1">+K221*(1+Deltas!K222)</f>
        <v>101.97105788423166</v>
      </c>
      <c r="L222" s="8">
        <f ca="1">+L221*(1+Deltas!L222)</f>
        <v>99.888434362216387</v>
      </c>
      <c r="M222" s="8">
        <f ca="1">+M221*(1+Deltas!M222)</f>
        <v>120.2206343236808</v>
      </c>
      <c r="N222" s="8">
        <f ca="1">+N221*(1+Deltas!N222)</f>
        <v>178.02823344049011</v>
      </c>
      <c r="O222" s="8">
        <f ca="1">+O221*(1+Deltas!O222)</f>
        <v>122.54191678741449</v>
      </c>
      <c r="P222" s="8">
        <f ca="1">+P221*(1+Deltas!P222)</f>
        <v>176.90533315846744</v>
      </c>
    </row>
    <row r="223" spans="1:16" x14ac:dyDescent="0.25">
      <c r="A223" vm="3317">
        <f ca="1"/>
        <v>45667</v>
      </c>
      <c r="B223" s="8">
        <f ca="1">+B222*(1+Deltas!B223)</f>
        <v>197.63680969308624</v>
      </c>
      <c r="C223" s="8">
        <f ca="1">+C222*(1+Deltas!C223)</f>
        <v>126.16111559294691</v>
      </c>
      <c r="D223" s="8">
        <f ca="1">+D222*(1+Deltas!D223)</f>
        <v>102.81486207912045</v>
      </c>
      <c r="E223" s="8">
        <f ca="1">+E222*(1+Deltas!E223)</f>
        <v>100.74453802026117</v>
      </c>
      <c r="F223" s="8">
        <f ca="1">+F222*(1+Deltas!F223)</f>
        <v>99.535467671060886</v>
      </c>
      <c r="G223" s="8">
        <f ca="1">+G222*(1+Deltas!G223)</f>
        <v>130.75497410738623</v>
      </c>
      <c r="H223" s="8">
        <f ca="1">+H222*(1+Deltas!H223)</f>
        <v>101.41599470219307</v>
      </c>
      <c r="I223" s="8">
        <f ca="1">+I222*(1+Deltas!I223)</f>
        <v>102.41276554839941</v>
      </c>
      <c r="J223" s="8">
        <f ca="1">+J222*(1+Deltas!J223)</f>
        <v>118.60356684928318</v>
      </c>
      <c r="K223" s="8">
        <f ca="1">+K222*(1+Deltas!K223)</f>
        <v>100.9231536926149</v>
      </c>
      <c r="L223" s="8">
        <f ca="1">+L222*(1+Deltas!L223)</f>
        <v>99.367794719226424</v>
      </c>
      <c r="M223" s="8">
        <f ca="1">+M222*(1+Deltas!M223)</f>
        <v>113.44490409928565</v>
      </c>
      <c r="N223" s="8">
        <f ca="1">+N222*(1+Deltas!N223)</f>
        <v>172.69157952249668</v>
      </c>
      <c r="O223" s="8">
        <f ca="1">+O222*(1+Deltas!O223)</f>
        <v>121.5897329745393</v>
      </c>
      <c r="P223" s="8">
        <f ca="1">+P222*(1+Deltas!P223)</f>
        <v>173.04799302592923</v>
      </c>
    </row>
    <row r="224" spans="1:16" x14ac:dyDescent="0.25">
      <c r="A224" vm="3331">
        <f ca="1"/>
        <v>45670</v>
      </c>
      <c r="B224" s="8">
        <f ca="1">+B223*(1+Deltas!B224)</f>
        <v>201.92760226305569</v>
      </c>
      <c r="C224" s="8">
        <f ca="1">+C223*(1+Deltas!C224)</f>
        <v>125.88452230033427</v>
      </c>
      <c r="D224" s="8">
        <f ca="1">+D223*(1+Deltas!D224)</f>
        <v>102.38293903995289</v>
      </c>
      <c r="E224" s="8">
        <f ca="1">+E223*(1+Deltas!E224)</f>
        <v>102.56316367630902</v>
      </c>
      <c r="F224" s="8">
        <f ca="1">+F223*(1+Deltas!F224)</f>
        <v>99.711236660389204</v>
      </c>
      <c r="G224" s="8">
        <f ca="1">+G223*(1+Deltas!G224)</f>
        <v>133.12074134641594</v>
      </c>
      <c r="H224" s="8">
        <f ca="1">+H223*(1+Deltas!H224)</f>
        <v>105.39908846558366</v>
      </c>
      <c r="I224" s="8">
        <f ca="1">+I223*(1+Deltas!I224)</f>
        <v>105.05623377871758</v>
      </c>
      <c r="J224" s="8">
        <f ca="1">+J223*(1+Deltas!J224)</f>
        <v>117.78762093484094</v>
      </c>
      <c r="K224" s="8">
        <f ca="1">+K223*(1+Deltas!K224)</f>
        <v>99.276447105788534</v>
      </c>
      <c r="L224" s="8">
        <f ca="1">+L223*(1+Deltas!L224)</f>
        <v>99.66530308664926</v>
      </c>
      <c r="M224" s="8">
        <f ca="1">+M223*(1+Deltas!M224)</f>
        <v>114.41644728594729</v>
      </c>
      <c r="N224" s="8">
        <f ca="1">+N223*(1+Deltas!N224)</f>
        <v>169.28628607006277</v>
      </c>
      <c r="O224" s="8">
        <f ca="1">+O223*(1+Deltas!O224)</f>
        <v>121.63113227075125</v>
      </c>
      <c r="P224" s="8">
        <f ca="1">+P223*(1+Deltas!P224)</f>
        <v>173.80403169190672</v>
      </c>
    </row>
    <row r="225" spans="1:16" x14ac:dyDescent="0.25">
      <c r="A225" vm="3347">
        <f ca="1"/>
        <v>45671</v>
      </c>
      <c r="B225" s="8">
        <f ca="1">+B224*(1+Deltas!B225)</f>
        <v>198.44790467130682</v>
      </c>
      <c r="C225" s="8">
        <f ca="1">+C224*(1+Deltas!C225)</f>
        <v>125.48115708194081</v>
      </c>
      <c r="D225" s="8">
        <f ca="1">+D224*(1+Deltas!D225)</f>
        <v>102.00991459703545</v>
      </c>
      <c r="E225" s="8">
        <f ca="1">+E224*(1+Deltas!E225)</f>
        <v>104.24752837788353</v>
      </c>
      <c r="F225" s="8">
        <f ca="1">+F224*(1+Deltas!F225)</f>
        <v>100.27620841180165</v>
      </c>
      <c r="G225" s="8">
        <f ca="1">+G224*(1+Deltas!G225)</f>
        <v>134.89779231398205</v>
      </c>
      <c r="H225" s="8">
        <f ca="1">+H224*(1+Deltas!H225)</f>
        <v>105.90549647462109</v>
      </c>
      <c r="I225" s="8">
        <f ca="1">+I224*(1+Deltas!I225)</f>
        <v>105.46957608382186</v>
      </c>
      <c r="J225" s="8">
        <f ca="1">+J224*(1+Deltas!J225)</f>
        <v>115.86431985079851</v>
      </c>
      <c r="K225" s="8">
        <f ca="1">+K224*(1+Deltas!K225)</f>
        <v>100.3742514970061</v>
      </c>
      <c r="L225" s="8">
        <f ca="1">+L224*(1+Deltas!L225)</f>
        <v>98.214949795462942</v>
      </c>
      <c r="M225" s="8">
        <f ca="1">+M224*(1+Deltas!M225)</f>
        <v>117.09289206468617</v>
      </c>
      <c r="N225" s="8">
        <f ca="1">+N224*(1+Deltas!N225)</f>
        <v>167.41845719876508</v>
      </c>
      <c r="O225" s="8">
        <f ca="1">+O224*(1+Deltas!O225)</f>
        <v>122.81101221279224</v>
      </c>
      <c r="P225" s="8">
        <f ca="1">+P224*(1+Deltas!P225)</f>
        <v>173.34886555626721</v>
      </c>
    </row>
    <row r="226" spans="1:16" x14ac:dyDescent="0.25">
      <c r="A226" vm="3362">
        <f ca="1"/>
        <v>45672</v>
      </c>
      <c r="B226" s="8">
        <f ca="1">+B225*(1+Deltas!B226)</f>
        <v>214.39943924297862</v>
      </c>
      <c r="C226" s="8">
        <f ca="1">+C225*(1+Deltas!C226)</f>
        <v>128.70231646882567</v>
      </c>
      <c r="D226" s="8">
        <f ca="1">+D225*(1+Deltas!D226)</f>
        <v>104.62108569745754</v>
      </c>
      <c r="E226" s="8">
        <f ca="1">+E225*(1+Deltas!E226)</f>
        <v>105.86171121689245</v>
      </c>
      <c r="F226" s="8">
        <f ca="1">+F225*(1+Deltas!F226)</f>
        <v>100.2197112366604</v>
      </c>
      <c r="G226" s="8">
        <f ca="1">+G225*(1+Deltas!G226)</f>
        <v>137.55791768874357</v>
      </c>
      <c r="H226" s="8">
        <f ca="1">+H225*(1+Deltas!H226)</f>
        <v>105.84316933504724</v>
      </c>
      <c r="I226" s="8">
        <f ca="1">+I225*(1+Deltas!I226)</f>
        <v>107.19023358646534</v>
      </c>
      <c r="J226" s="8">
        <f ca="1">+J225*(1+Deltas!J226)</f>
        <v>119.47779461475703</v>
      </c>
      <c r="K226" s="8">
        <f ca="1">+K225*(1+Deltas!K226)</f>
        <v>99.101796407185745</v>
      </c>
      <c r="L226" s="8">
        <f ca="1">+L225*(1+Deltas!L226)</f>
        <v>97.5083674228337</v>
      </c>
      <c r="M226" s="8">
        <f ca="1">+M225*(1+Deltas!M226)</f>
        <v>117.85759057289727</v>
      </c>
      <c r="N226" s="8">
        <f ca="1">+N225*(1+Deltas!N226)</f>
        <v>173.11088804462474</v>
      </c>
      <c r="O226" s="8">
        <f ca="1">+O225*(1+Deltas!O226)</f>
        <v>124.15648933968109</v>
      </c>
      <c r="P226" s="8">
        <f ca="1">+P225*(1+Deltas!P226)</f>
        <v>175.89471004374244</v>
      </c>
    </row>
    <row r="227" spans="1:16" x14ac:dyDescent="0.25">
      <c r="A227" vm="3376">
        <f ca="1"/>
        <v>45673</v>
      </c>
      <c r="B227" s="8">
        <f ca="1">+B226*(1+Deltas!B227)</f>
        <v>207.18970610323993</v>
      </c>
      <c r="C227" s="8">
        <f ca="1">+C226*(1+Deltas!C227)</f>
        <v>127.15224155814226</v>
      </c>
      <c r="D227" s="8">
        <f ca="1">+D226*(1+Deltas!D227)</f>
        <v>104.19652498282124</v>
      </c>
      <c r="E227" s="8">
        <f ca="1">+E226*(1+Deltas!E227)</f>
        <v>108.07091419504454</v>
      </c>
      <c r="F227" s="8">
        <f ca="1">+F226*(1+Deltas!F227)</f>
        <v>100.75329566854992</v>
      </c>
      <c r="G227" s="8">
        <f ca="1">+G226*(1+Deltas!G227)</f>
        <v>138.60452439356777</v>
      </c>
      <c r="H227" s="8">
        <f ca="1">+H226*(1+Deltas!H227)</f>
        <v>99.448794359393787</v>
      </c>
      <c r="I227" s="8">
        <f ca="1">+I226*(1+Deltas!I227)</f>
        <v>107.0075939632797</v>
      </c>
      <c r="J227" s="8">
        <f ca="1">+J226*(1+Deltas!J227)</f>
        <v>118.48700314722001</v>
      </c>
      <c r="K227" s="8">
        <f ca="1">+K226*(1+Deltas!K227)</f>
        <v>100.6986027944113</v>
      </c>
      <c r="L227" s="8">
        <f ca="1">+L226*(1+Deltas!L227)</f>
        <v>98.512458162885764</v>
      </c>
      <c r="M227" s="8">
        <f ca="1">+M226*(1+Deltas!M227)</f>
        <v>119.78187288454325</v>
      </c>
      <c r="N227" s="8">
        <f ca="1">+N226*(1+Deltas!N227)</f>
        <v>169.71830091104317</v>
      </c>
      <c r="O227" s="8">
        <f ca="1">+O226*(1+Deltas!O227)</f>
        <v>123.82529496998538</v>
      </c>
      <c r="P227" s="8">
        <f ca="1">+P226*(1+Deltas!P227)</f>
        <v>176.9824799611182</v>
      </c>
    </row>
    <row r="228" spans="1:16" x14ac:dyDescent="0.25">
      <c r="A228" vm="3391">
        <f ca="1"/>
        <v>45674</v>
      </c>
      <c r="B228" s="8">
        <f ca="1">+B227*(1+Deltas!B228)</f>
        <v>213.53827667350981</v>
      </c>
      <c r="C228" s="8">
        <f ca="1">+C227*(1+Deltas!C228)</f>
        <v>130.19476777688146</v>
      </c>
      <c r="D228" s="8">
        <f ca="1">+D227*(1+Deltas!D228)</f>
        <v>105.28860312162561</v>
      </c>
      <c r="E228" s="8">
        <f ca="1">+E227*(1+Deltas!E228)</f>
        <v>108.01293787379468</v>
      </c>
      <c r="F228" s="8">
        <f ca="1">+F227*(1+Deltas!F228)</f>
        <v>101.14877589453863</v>
      </c>
      <c r="G228" s="8">
        <f ca="1">+G227*(1+Deltas!G228)</f>
        <v>141.27010084491693</v>
      </c>
      <c r="H228" s="8">
        <f ca="1">+H227*(1+Deltas!H228)</f>
        <v>99.287133341124147</v>
      </c>
      <c r="I228" s="8">
        <f ca="1">+I227*(1+Deltas!I228)</f>
        <v>107.96885513794086</v>
      </c>
      <c r="J228" s="8">
        <f ca="1">+J227*(1+Deltas!J228)</f>
        <v>120.29374052919928</v>
      </c>
      <c r="K228" s="8">
        <f ca="1">+K227*(1+Deltas!K228)</f>
        <v>103.04391217564881</v>
      </c>
      <c r="L228" s="8">
        <f ca="1">+L227*(1+Deltas!L228)</f>
        <v>97.80587579025655</v>
      </c>
      <c r="M228" s="8">
        <f ca="1">+M227*(1+Deltas!M228)</f>
        <v>118.40290836153962</v>
      </c>
      <c r="N228" s="8">
        <f ca="1">+N227*(1+Deltas!N228)</f>
        <v>174.9787169159224</v>
      </c>
      <c r="O228" s="8">
        <f ca="1">+O227*(1+Deltas!O228)</f>
        <v>124.67398054233065</v>
      </c>
      <c r="P228" s="8">
        <f ca="1">+P227*(1+Deltas!P228)</f>
        <v>183.17736821397457</v>
      </c>
    </row>
    <row r="229" spans="1:16" x14ac:dyDescent="0.25">
      <c r="A229" vm="3407">
        <f ca="1"/>
        <v>45678</v>
      </c>
      <c r="B229" s="8">
        <f ca="1">+B228*(1+Deltas!B229)</f>
        <v>212.32163420617891</v>
      </c>
      <c r="C229" s="8">
        <f ca="1">+C228*(1+Deltas!C229)</f>
        <v>132.94341362221971</v>
      </c>
      <c r="D229" s="8">
        <f ca="1">+D228*(1+Deltas!D229)</f>
        <v>105.15853538823993</v>
      </c>
      <c r="E229" s="8">
        <f ca="1">+E228*(1+Deltas!E229)</f>
        <v>110.31368241181494</v>
      </c>
      <c r="F229" s="8">
        <f ca="1">+F228*(1+Deltas!F229)</f>
        <v>101.51914626490901</v>
      </c>
      <c r="G229" s="8">
        <f ca="1">+G228*(1+Deltas!G229)</f>
        <v>143.37966748432817</v>
      </c>
      <c r="H229" s="8">
        <f ca="1">+H228*(1+Deltas!H229)</f>
        <v>102.25351564021651</v>
      </c>
      <c r="I229" s="8">
        <f ca="1">+I228*(1+Deltas!I229)</f>
        <v>107.15178313947889</v>
      </c>
      <c r="J229" s="8">
        <f ca="1">+J228*(1+Deltas!J229)</f>
        <v>121.80906865602057</v>
      </c>
      <c r="K229" s="8">
        <f ca="1">+K228*(1+Deltas!K229)</f>
        <v>106.26247504990033</v>
      </c>
      <c r="L229" s="8">
        <f ca="1">+L228*(1+Deltas!L229)</f>
        <v>99.070286351803603</v>
      </c>
      <c r="M229" s="8">
        <f ca="1">+M228*(1+Deltas!M229)</f>
        <v>118.93569010906374</v>
      </c>
      <c r="N229" s="8">
        <f ca="1">+N228*(1+Deltas!N229)</f>
        <v>178.94308839786038</v>
      </c>
      <c r="O229" s="8">
        <f ca="1">+O228*(1+Deltas!O229)</f>
        <v>126.32995239080923</v>
      </c>
      <c r="P229" s="8">
        <f ca="1">+P228*(1+Deltas!P229)</f>
        <v>185.39148145005154</v>
      </c>
    </row>
    <row r="230" spans="1:16" x14ac:dyDescent="0.25">
      <c r="A230" vm="3420">
        <f ca="1"/>
        <v>45679</v>
      </c>
      <c r="B230" s="8">
        <f ca="1">+B229*(1+Deltas!B230)</f>
        <v>207.83557803034154</v>
      </c>
      <c r="C230" s="8">
        <f ca="1">+C229*(1+Deltas!C230)</f>
        <v>135.42122853520806</v>
      </c>
      <c r="D230" s="8">
        <f ca="1">+D229*(1+Deltas!D230)</f>
        <v>109.50230686168646</v>
      </c>
      <c r="E230" s="8">
        <f ca="1">+E229*(1+Deltas!E230)</f>
        <v>109.16025875747587</v>
      </c>
      <c r="F230" s="8">
        <f ca="1">+F229*(1+Deltas!F230)</f>
        <v>103.41494036409296</v>
      </c>
      <c r="G230" s="8">
        <f ca="1">+G229*(1+Deltas!G230)</f>
        <v>143.27609702916328</v>
      </c>
      <c r="H230" s="8">
        <f ca="1">+H229*(1+Deltas!H230)</f>
        <v>101.22706556035986</v>
      </c>
      <c r="I230" s="8">
        <f ca="1">+I229*(1+Deltas!I230)</f>
        <v>105.28693646063626</v>
      </c>
      <c r="J230" s="8">
        <f ca="1">+J229*(1+Deltas!J230)</f>
        <v>121.92563235808377</v>
      </c>
      <c r="K230" s="8">
        <f ca="1">+K229*(1+Deltas!K230)</f>
        <v>106.91117764471072</v>
      </c>
      <c r="L230" s="8">
        <f ca="1">+L229*(1+Deltas!L230)</f>
        <v>96.727407958348792</v>
      </c>
      <c r="M230" s="8">
        <f ca="1">+M229*(1+Deltas!M230)</f>
        <v>116.1150808574654</v>
      </c>
      <c r="N230" s="8">
        <f ca="1">+N229*(1+Deltas!N230)</f>
        <v>186.8718313617363</v>
      </c>
      <c r="O230" s="8">
        <f ca="1">+O229*(1+Deltas!O230)</f>
        <v>127.57193127716816</v>
      </c>
      <c r="P230" s="8">
        <f ca="1">+P229*(1+Deltas!P230)</f>
        <v>185.85436226595613</v>
      </c>
    </row>
    <row r="231" spans="1:16" x14ac:dyDescent="0.25">
      <c r="A231" vm="3434">
        <f ca="1"/>
        <v>45680</v>
      </c>
      <c r="B231" s="8">
        <f ca="1">+B230*(1+Deltas!B231)</f>
        <v>206.46873278926608</v>
      </c>
      <c r="C231" s="8">
        <f ca="1">+C230*(1+Deltas!C231)</f>
        <v>135.65748530598137</v>
      </c>
      <c r="D231" s="8">
        <f ca="1">+D230*(1+Deltas!D231)</f>
        <v>109.62746637871795</v>
      </c>
      <c r="E231" s="8">
        <f ca="1">+E230*(1+Deltas!E231)</f>
        <v>110.18857561332844</v>
      </c>
      <c r="F231" s="8">
        <f ca="1">+F230*(1+Deltas!F231)</f>
        <v>104.30006277463909</v>
      </c>
      <c r="G231" s="8">
        <f ca="1">+G230*(1+Deltas!G231)</f>
        <v>144.97138184791498</v>
      </c>
      <c r="H231" s="8">
        <f ca="1">+H230*(1+Deltas!H231)</f>
        <v>103.1845272876007</v>
      </c>
      <c r="I231" s="8">
        <f ca="1">+I230*(1+Deltas!I231)</f>
        <v>105.88291838892617</v>
      </c>
      <c r="J231" s="8">
        <f ca="1">+J230*(1+Deltas!J231)</f>
        <v>124.54831565450527</v>
      </c>
      <c r="K231" s="8">
        <f ca="1">+K230*(1+Deltas!K231)</f>
        <v>108.28343313373269</v>
      </c>
      <c r="L231" s="8">
        <f ca="1">+L230*(1+Deltas!L231)</f>
        <v>98.326515433246527</v>
      </c>
      <c r="M231" s="8">
        <f ca="1">+M230*(1+Deltas!M231)</f>
        <v>115.74526764447806</v>
      </c>
      <c r="N231" s="8">
        <f ca="1">+N230*(1+Deltas!N231)</f>
        <v>187.06242614452179</v>
      </c>
      <c r="O231" s="8">
        <f ca="1">+O230*(1+Deltas!O231)</f>
        <v>128.81391016352708</v>
      </c>
      <c r="P231" s="8">
        <f ca="1">+P230*(1+Deltas!P231)</f>
        <v>185.3683374092563</v>
      </c>
    </row>
    <row r="232" spans="1:16" x14ac:dyDescent="0.25">
      <c r="A232" vm="3450">
        <f ca="1"/>
        <v>45681</v>
      </c>
      <c r="B232" s="8">
        <f ca="1">+B231*(1+Deltas!B232)</f>
        <v>203.56481249687135</v>
      </c>
      <c r="C232" s="8">
        <f ca="1">+C231*(1+Deltas!C232)</f>
        <v>135.32903077100383</v>
      </c>
      <c r="D232" s="8">
        <f ca="1">+D231*(1+Deltas!D232)</f>
        <v>108.97712771178952</v>
      </c>
      <c r="E232" s="8">
        <f ca="1">+E231*(1+Deltas!E232)</f>
        <v>109.89564262175026</v>
      </c>
      <c r="F232" s="8">
        <f ca="1">+F231*(1+Deltas!F232)</f>
        <v>103.02573760200883</v>
      </c>
      <c r="G232" s="8">
        <f ca="1">+G231*(1+Deltas!G232)</f>
        <v>144.36631234668849</v>
      </c>
      <c r="H232" s="8">
        <f ca="1">+H231*(1+Deltas!H232)</f>
        <v>103.71820342020169</v>
      </c>
      <c r="I232" s="8">
        <f ca="1">+I231*(1+Deltas!I232)</f>
        <v>104.45063923868105</v>
      </c>
      <c r="J232" s="8">
        <f ca="1">+J231*(1+Deltas!J232)</f>
        <v>121.40109569879947</v>
      </c>
      <c r="K232" s="8">
        <f ca="1">+K231*(1+Deltas!K232)</f>
        <v>108.90718562874267</v>
      </c>
      <c r="L232" s="8">
        <f ca="1">+L231*(1+Deltas!L232)</f>
        <v>97.024916325771628</v>
      </c>
      <c r="M232" s="8">
        <f ca="1">+M231*(1+Deltas!M232)</f>
        <v>116.62905854331223</v>
      </c>
      <c r="N232" s="8">
        <f ca="1">+N231*(1+Deltas!N232)</f>
        <v>181.21751947243376</v>
      </c>
      <c r="O232" s="8">
        <f ca="1">+O231*(1+Deltas!O232)</f>
        <v>128.81391016352708</v>
      </c>
      <c r="P232" s="8">
        <f ca="1">+P231*(1+Deltas!P232)</f>
        <v>188.77822608642006</v>
      </c>
    </row>
    <row r="233" spans="1:16" x14ac:dyDescent="0.25">
      <c r="A233" vm="3464">
        <f ca="1"/>
        <v>45684</v>
      </c>
      <c r="B233" s="8">
        <f ca="1">+B232*(1+Deltas!B233)</f>
        <v>198.84343864216748</v>
      </c>
      <c r="C233" s="8">
        <f ca="1">+C232*(1+Deltas!C233)</f>
        <v>135.65748530598137</v>
      </c>
      <c r="D233" s="8">
        <f ca="1">+D232*(1+Deltas!D233)</f>
        <v>106.64572494355549</v>
      </c>
      <c r="E233" s="8">
        <f ca="1">+E232*(1+Deltas!E233)</f>
        <v>111.12229952398387</v>
      </c>
      <c r="F233" s="8">
        <f ca="1">+F232*(1+Deltas!F233)</f>
        <v>106.50345260514757</v>
      </c>
      <c r="G233" s="8">
        <f ca="1">+G232*(1+Deltas!G233)</f>
        <v>144.91687108203874</v>
      </c>
      <c r="H233" s="8">
        <f ca="1">+H232*(1+Deltas!H233)</f>
        <v>105.86264656616405</v>
      </c>
      <c r="I233" s="8">
        <f ca="1">+I232*(1+Deltas!I233)</f>
        <v>105.90214361241939</v>
      </c>
      <c r="J233" s="8">
        <f ca="1">+J232*(1+Deltas!J233)</f>
        <v>122.3918871663365</v>
      </c>
      <c r="K233" s="8">
        <f ca="1">+K232*(1+Deltas!K233)</f>
        <v>108.45808383233548</v>
      </c>
      <c r="L233" s="8">
        <f ca="1">+L232*(1+Deltas!L233)</f>
        <v>99.888434362216401</v>
      </c>
      <c r="M233" s="8">
        <f ca="1">+M232*(1+Deltas!M233)</f>
        <v>121.09188918139672</v>
      </c>
      <c r="N233" s="8">
        <f ca="1">+N232*(1+Deltas!N233)</f>
        <v>150.46822784970976</v>
      </c>
      <c r="O233" s="8">
        <f ca="1">+O232*(1+Deltas!O233)</f>
        <v>122.29352101014271</v>
      </c>
      <c r="P233" s="8">
        <f ca="1">+P232*(1+Deltas!P233)</f>
        <v>155.93683219798973</v>
      </c>
    </row>
    <row r="234" spans="1:16" x14ac:dyDescent="0.25">
      <c r="A234" vm="3477">
        <f ca="1"/>
        <v>45685</v>
      </c>
      <c r="B234" s="8">
        <f ca="1">+B233*(1+Deltas!B234)</f>
        <v>199.31407399990042</v>
      </c>
      <c r="C234" s="8">
        <f ca="1">+C233*(1+Deltas!C234)</f>
        <v>137.23060965771583</v>
      </c>
      <c r="D234" s="8">
        <f ca="1">+D233*(1+Deltas!D234)</f>
        <v>109.74771767939528</v>
      </c>
      <c r="E234" s="8">
        <f ca="1">+E233*(1+Deltas!E234)</f>
        <v>111.12229952398387</v>
      </c>
      <c r="F234" s="8">
        <f ca="1">+F233*(1+Deltas!F234)</f>
        <v>104.32517263025743</v>
      </c>
      <c r="G234" s="8">
        <f ca="1">+G233*(1+Deltas!G234)</f>
        <v>145.62005996184246</v>
      </c>
      <c r="H234" s="8">
        <f ca="1">+H233*(1+Deltas!H234)</f>
        <v>105.66008336254909</v>
      </c>
      <c r="I234" s="8">
        <f ca="1">+I233*(1+Deltas!I234)</f>
        <v>103.85465731039115</v>
      </c>
      <c r="J234" s="8">
        <f ca="1">+J233*(1+Deltas!J234)</f>
        <v>127.11271709989518</v>
      </c>
      <c r="K234" s="8">
        <f ca="1">+K233*(1+Deltas!K234)</f>
        <v>108.55788423153707</v>
      </c>
      <c r="L234" s="8">
        <f ca="1">+L233*(1+Deltas!L234)</f>
        <v>99.479360357010009</v>
      </c>
      <c r="M234" s="8">
        <f ca="1">+M233*(1+Deltas!M234)</f>
        <v>119.69412059671578</v>
      </c>
      <c r="N234" s="8">
        <f ca="1">+N233*(1+Deltas!N234)</f>
        <v>163.89880687665988</v>
      </c>
      <c r="O234" s="8">
        <f ca="1">+O233*(1+Deltas!O234)</f>
        <v>123.01800869385208</v>
      </c>
      <c r="P234" s="8">
        <f ca="1">+P233*(1+Deltas!P234)</f>
        <v>159.97160997662471</v>
      </c>
    </row>
    <row r="235" spans="1:16" x14ac:dyDescent="0.25">
      <c r="A235" vm="3491">
        <f ca="1"/>
        <v>45686</v>
      </c>
      <c r="B235" s="8">
        <f ca="1">+B234*(1+Deltas!B235)</f>
        <v>194.81299754668859</v>
      </c>
      <c r="C235" s="8">
        <f ca="1">+C234*(1+Deltas!C235)</f>
        <v>136.60827474933737</v>
      </c>
      <c r="D235" s="8">
        <f ca="1">+D234*(1+Deltas!D235)</f>
        <v>108.55256699715321</v>
      </c>
      <c r="E235" s="8">
        <f ca="1">+E234*(1+Deltas!E235)</f>
        <v>109.97497864030268</v>
      </c>
      <c r="F235" s="8">
        <f ca="1">+F234*(1+Deltas!F235)</f>
        <v>104.35028248587575</v>
      </c>
      <c r="G235" s="8">
        <f ca="1">+G234*(1+Deltas!G235)</f>
        <v>145.31479967293541</v>
      </c>
      <c r="H235" s="8">
        <f ca="1">+H234*(1+Deltas!H235)</f>
        <v>104.80698063963219</v>
      </c>
      <c r="I235" s="8">
        <f ca="1">+I234*(1+Deltas!I235)</f>
        <v>104.46025185042767</v>
      </c>
      <c r="J235" s="8">
        <f ca="1">+J234*(1+Deltas!J235)</f>
        <v>128.97773633290603</v>
      </c>
      <c r="K235" s="8">
        <f ca="1">+K234*(1+Deltas!K235)</f>
        <v>107.73453093812391</v>
      </c>
      <c r="L235" s="8">
        <f ca="1">+L234*(1+Deltas!L235)</f>
        <v>98.995909259947908</v>
      </c>
      <c r="M235" s="8">
        <f ca="1">+M234*(1+Deltas!M235)</f>
        <v>119.60010028832916</v>
      </c>
      <c r="N235" s="8">
        <f ca="1">+N234*(1+Deltas!N235)</f>
        <v>157.17716420375862</v>
      </c>
      <c r="O235" s="8">
        <f ca="1">+O234*(1+Deltas!O235)</f>
        <v>123.26640447112386</v>
      </c>
      <c r="P235" s="8">
        <f ca="1">+P234*(1+Deltas!P235)</f>
        <v>159.19242726985198</v>
      </c>
    </row>
    <row r="236" spans="1:16" x14ac:dyDescent="0.25">
      <c r="A236" vm="3506">
        <f ca="1"/>
        <v>45687</v>
      </c>
      <c r="B236" s="8">
        <f ca="1">+B235*(1+Deltas!B236)</f>
        <v>200.41055424823566</v>
      </c>
      <c r="C236" s="8">
        <f ca="1">+C235*(1+Deltas!C236)</f>
        <v>135.20802120548581</v>
      </c>
      <c r="D236" s="8">
        <f ca="1">+D235*(1+Deltas!D236)</f>
        <v>101.8430352409934</v>
      </c>
      <c r="E236" s="8">
        <f ca="1">+E235*(1+Deltas!E236)</f>
        <v>111.5433906993775</v>
      </c>
      <c r="F236" s="8">
        <f ca="1">+F235*(1+Deltas!F236)</f>
        <v>105.0910232266165</v>
      </c>
      <c r="G236" s="8">
        <f ca="1">+G235*(1+Deltas!G236)</f>
        <v>146.21422730989374</v>
      </c>
      <c r="H236" s="8">
        <f ca="1">+H235*(1+Deltas!H236)</f>
        <v>106.26192980405898</v>
      </c>
      <c r="I236" s="8">
        <f ca="1">+I235*(1+Deltas!I236)</f>
        <v>105.32538690762269</v>
      </c>
      <c r="J236" s="8">
        <f ca="1">+J235*(1+Deltas!J236)</f>
        <v>129.96852780044304</v>
      </c>
      <c r="K236" s="8">
        <f ca="1">+K235*(1+Deltas!K236)</f>
        <v>107.63473053892231</v>
      </c>
      <c r="L236" s="8">
        <f ca="1">+L235*(1+Deltas!L236)</f>
        <v>100.07437709185568</v>
      </c>
      <c r="M236" s="8">
        <f ca="1">+M235*(1+Deltas!M236)</f>
        <v>121.49304249717962</v>
      </c>
      <c r="N236" s="8">
        <f ca="1">+N235*(1+Deltas!N236)</f>
        <v>158.38426449473332</v>
      </c>
      <c r="O236" s="8">
        <f ca="1">+O235*(1+Deltas!O236)</f>
        <v>125.17077209687423</v>
      </c>
      <c r="P236" s="8">
        <f ca="1">+P235*(1+Deltas!P236)</f>
        <v>166.37479459663814</v>
      </c>
    </row>
    <row r="237" spans="1:16" x14ac:dyDescent="0.25">
      <c r="A237" vm="3522">
        <f ca="1"/>
        <v>45688</v>
      </c>
      <c r="B237" s="8">
        <f ca="1">+B236*(1+Deltas!B237)</f>
        <v>202.5734741901573</v>
      </c>
      <c r="C237" s="8">
        <f ca="1">+C236*(1+Deltas!C237)</f>
        <v>136.95977872536596</v>
      </c>
      <c r="D237" s="8">
        <f ca="1">+D236*(1+Deltas!D237)</f>
        <v>101.86021399823302</v>
      </c>
      <c r="E237" s="8">
        <f ca="1">+E236*(1+Deltas!E237)</f>
        <v>109.28841694129133</v>
      </c>
      <c r="F237" s="8">
        <f ca="1">+F236*(1+Deltas!F237)</f>
        <v>104.19962335216579</v>
      </c>
      <c r="G237" s="8">
        <f ca="1">+G236*(1+Deltas!G237)</f>
        <v>145.70727718724453</v>
      </c>
      <c r="H237" s="8">
        <f ca="1">+H236*(1+Deltas!H237)</f>
        <v>105.66203108566079</v>
      </c>
      <c r="I237" s="8">
        <f ca="1">+I236*(1+Deltas!I237)</f>
        <v>102.69153128905113</v>
      </c>
      <c r="J237" s="8">
        <f ca="1">+J236*(1+Deltas!J237)</f>
        <v>128.27835412052696</v>
      </c>
      <c r="K237" s="8">
        <f ca="1">+K236*(1+Deltas!K237)</f>
        <v>107.6596806387227</v>
      </c>
      <c r="L237" s="8">
        <f ca="1">+L236*(1+Deltas!L237)</f>
        <v>98.624023800669363</v>
      </c>
      <c r="M237" s="8">
        <f ca="1">+M236*(1+Deltas!M237)</f>
        <v>120.55283941331349</v>
      </c>
      <c r="N237" s="8">
        <f ca="1">+N236*(1+Deltas!N237)</f>
        <v>152.56477046034999</v>
      </c>
      <c r="O237" s="8">
        <f ca="1">+O236*(1+Deltas!O237)</f>
        <v>125.43986752225202</v>
      </c>
      <c r="P237" s="8">
        <f ca="1">+P236*(1+Deltas!P237)</f>
        <v>170.70273022534604</v>
      </c>
    </row>
    <row r="238" spans="1:16" x14ac:dyDescent="0.25">
      <c r="A238" vm="3538">
        <f ca="1"/>
        <v>45691</v>
      </c>
      <c r="B238" s="8">
        <f ca="1">+B237*(1+Deltas!B238)</f>
        <v>192.09933410103696</v>
      </c>
      <c r="C238" s="8">
        <f ca="1">+C237*(1+Deltas!C238)</f>
        <v>136.80995735853409</v>
      </c>
      <c r="D238" s="8">
        <f ca="1">+D237*(1+Deltas!D238)</f>
        <v>100.8442132129184</v>
      </c>
      <c r="E238" s="8">
        <f ca="1">+E237*(1+Deltas!E238)</f>
        <v>109.12974490418648</v>
      </c>
      <c r="F238" s="8">
        <f ca="1">+F237*(1+Deltas!F238)</f>
        <v>105.93848085373514</v>
      </c>
      <c r="G238" s="8">
        <f ca="1">+G237*(1+Deltas!G238)</f>
        <v>145.44017443445085</v>
      </c>
      <c r="H238" s="8">
        <f ca="1">+H237*(1+Deltas!H238)</f>
        <v>106.77028553620809</v>
      </c>
      <c r="I238" s="8">
        <f ca="1">+I237*(1+Deltas!I238)</f>
        <v>102.94145919446304</v>
      </c>
      <c r="J238" s="8">
        <f ca="1">+J237*(1+Deltas!J238)</f>
        <v>127.57897190814788</v>
      </c>
      <c r="K238" s="8">
        <f ca="1">+K237*(1+Deltas!K238)</f>
        <v>106.73652694610794</v>
      </c>
      <c r="L238" s="8">
        <f ca="1">+L237*(1+Deltas!L238)</f>
        <v>97.433990330978034</v>
      </c>
      <c r="M238" s="8">
        <f ca="1">+M237*(1+Deltas!M238)</f>
        <v>120.33345869374472</v>
      </c>
      <c r="N238" s="8">
        <f ca="1">+N237*(1+Deltas!N238)</f>
        <v>148.23191573169342</v>
      </c>
      <c r="O238" s="8">
        <f ca="1">+O237*(1+Deltas!O238)</f>
        <v>126.35065203891523</v>
      </c>
      <c r="P238" s="8">
        <f ca="1">+P237*(1+Deltas!P238)</f>
        <v>167.97173341150898</v>
      </c>
    </row>
    <row r="239" spans="1:16" x14ac:dyDescent="0.25">
      <c r="A239" vm="3554">
        <f ca="1"/>
        <v>45692</v>
      </c>
      <c r="B239" s="8">
        <f ca="1">+B238*(1+Deltas!B239)</f>
        <v>196.37009963450714</v>
      </c>
      <c r="C239" s="8">
        <f ca="1">+C238*(1+Deltas!C239)</f>
        <v>139.48369252045643</v>
      </c>
      <c r="D239" s="8">
        <f ca="1">+D238*(1+Deltas!D239)</f>
        <v>101.20005889859623</v>
      </c>
      <c r="E239" s="8">
        <f ca="1">+E238*(1+Deltas!E239)</f>
        <v>109.11448797754178</v>
      </c>
      <c r="F239" s="8">
        <f ca="1">+F238*(1+Deltas!F239)</f>
        <v>105.54300062774645</v>
      </c>
      <c r="G239" s="8">
        <f ca="1">+G238*(1+Deltas!G239)</f>
        <v>146.05614608885261</v>
      </c>
      <c r="H239" s="8">
        <f ca="1">+H238*(1+Deltas!H239)</f>
        <v>106.2385571267188</v>
      </c>
      <c r="I239" s="8">
        <f ca="1">+I238*(1+Deltas!I239)</f>
        <v>105.70027876574055</v>
      </c>
      <c r="J239" s="8">
        <f ca="1">+J238*(1+Deltas!J239)</f>
        <v>131.25072852313798</v>
      </c>
      <c r="K239" s="8">
        <f ca="1">+K238*(1+Deltas!K239)</f>
        <v>107.31037924151713</v>
      </c>
      <c r="L239" s="8">
        <f ca="1">+L238*(1+Deltas!L239)</f>
        <v>96.206768315358858</v>
      </c>
      <c r="M239" s="8">
        <f ca="1">+M238*(1+Deltas!M239)</f>
        <v>119.6377084116838</v>
      </c>
      <c r="N239" s="8">
        <f ca="1">+N238*(1+Deltas!N239)</f>
        <v>150.7604731833141</v>
      </c>
      <c r="O239" s="8">
        <f ca="1">+O238*(1+Deltas!O239)</f>
        <v>126.9716414820947</v>
      </c>
      <c r="P239" s="8">
        <f ca="1">+P238*(1+Deltas!P239)</f>
        <v>171.59763313609491</v>
      </c>
    </row>
    <row r="240" spans="1:16" x14ac:dyDescent="0.25">
      <c r="A240" vm="3569">
        <f ca="1"/>
        <v>45693</v>
      </c>
      <c r="B240" s="8">
        <f ca="1">+B239*(1+Deltas!B240)</f>
        <v>189.34060982326196</v>
      </c>
      <c r="C240" s="8">
        <f ca="1">+C239*(1+Deltas!C240)</f>
        <v>136.08966232568864</v>
      </c>
      <c r="D240" s="8">
        <f ca="1">+D239*(1+Deltas!D240)</f>
        <v>101.42583685088836</v>
      </c>
      <c r="E240" s="8">
        <f ca="1">+E239*(1+Deltas!E240)</f>
        <v>111.21689246918099</v>
      </c>
      <c r="F240" s="8">
        <f ca="1">+F239*(1+Deltas!F240)</f>
        <v>106.09541745134972</v>
      </c>
      <c r="G240" s="8">
        <f ca="1">+G239*(1+Deltas!G240)</f>
        <v>147.41346415917153</v>
      </c>
      <c r="H240" s="8">
        <f ca="1">+H239*(1+Deltas!H240)</f>
        <v>105.14004129172989</v>
      </c>
      <c r="I240" s="8">
        <f ca="1">+I239*(1+Deltas!I240)</f>
        <v>105.62337787176766</v>
      </c>
      <c r="J240" s="8">
        <f ca="1">+J239*(1+Deltas!J240)</f>
        <v>133.58200256440153</v>
      </c>
      <c r="K240" s="8">
        <f ca="1">+K239*(1+Deltas!K240)</f>
        <v>108.48303393213588</v>
      </c>
      <c r="L240" s="8">
        <f ca="1">+L239*(1+Deltas!L240)</f>
        <v>98.326515433246556</v>
      </c>
      <c r="M240" s="8">
        <f ca="1">+M239*(1+Deltas!M240)</f>
        <v>120.97906481133279</v>
      </c>
      <c r="N240" s="8">
        <f ca="1">+N239*(1+Deltas!N240)</f>
        <v>158.61297823407585</v>
      </c>
      <c r="O240" s="8">
        <f ca="1">+O239*(1+Deltas!O240)</f>
        <v>129.51769819913051</v>
      </c>
      <c r="P240" s="8">
        <f ca="1">+P239*(1+Deltas!P240)</f>
        <v>178.98058214977306</v>
      </c>
    </row>
    <row r="241" spans="1:16" x14ac:dyDescent="0.25">
      <c r="A241" vm="3582">
        <f ca="1"/>
        <v>45694</v>
      </c>
      <c r="B241" s="8">
        <f ca="1">+B240*(1+Deltas!B241)</f>
        <v>187.41300756020681</v>
      </c>
      <c r="C241" s="8">
        <f ca="1">+C240*(1+Deltas!C241)</f>
        <v>137.62245015558378</v>
      </c>
      <c r="D241" s="8">
        <f ca="1">+D240*(1+Deltas!D241)</f>
        <v>102.04672621969172</v>
      </c>
      <c r="E241" s="8">
        <f ca="1">+E240*(1+Deltas!E241)</f>
        <v>111.4426949835225</v>
      </c>
      <c r="F241" s="8">
        <f ca="1">+F240*(1+Deltas!F241)</f>
        <v>106.01381042059015</v>
      </c>
      <c r="G241" s="8">
        <f ca="1">+G240*(1+Deltas!G241)</f>
        <v>150.94031071136558</v>
      </c>
      <c r="H241" s="8">
        <f ca="1">+H240*(1+Deltas!H241)</f>
        <v>103.23711581161614</v>
      </c>
      <c r="I241" s="8">
        <f ca="1">+I240*(1+Deltas!I241)</f>
        <v>104.229549168509</v>
      </c>
      <c r="J241" s="8">
        <f ca="1">+J240*(1+Deltas!J241)</f>
        <v>134.10653922368581</v>
      </c>
      <c r="K241" s="8">
        <f ca="1">+K240*(1+Deltas!K241)</f>
        <v>108.53293413173668</v>
      </c>
      <c r="L241" s="8">
        <f ca="1">+L240*(1+Deltas!L241)</f>
        <v>96.05801413164744</v>
      </c>
      <c r="M241" s="8">
        <f ca="1">+M240*(1+Deltas!M241)</f>
        <v>120.27077848815365</v>
      </c>
      <c r="N241" s="8">
        <f ca="1">+N240*(1+Deltas!N241)</f>
        <v>163.50491099223652</v>
      </c>
      <c r="O241" s="8">
        <f ca="1">+O240*(1+Deltas!O241)</f>
        <v>128.89670875595104</v>
      </c>
      <c r="P241" s="8">
        <f ca="1">+P240*(1+Deltas!P241)</f>
        <v>178.48684261280818</v>
      </c>
    </row>
    <row r="242" spans="1:16" x14ac:dyDescent="0.25">
      <c r="A242" vm="3596">
        <f ca="1"/>
        <v>45695</v>
      </c>
      <c r="B242" s="8">
        <f ca="1">+B241*(1+Deltas!B242)</f>
        <v>181.0544234716873</v>
      </c>
      <c r="C242" s="8">
        <f ca="1">+C241*(1+Deltas!C242)</f>
        <v>132.04448542122859</v>
      </c>
      <c r="D242" s="8">
        <f ca="1">+D241*(1+Deltas!D242)</f>
        <v>100.55708255619903</v>
      </c>
      <c r="E242" s="8">
        <f ca="1">+E241*(1+Deltas!E242)</f>
        <v>110.0238008055657</v>
      </c>
      <c r="F242" s="8">
        <f ca="1">+F241*(1+Deltas!F242)</f>
        <v>105.44256120527314</v>
      </c>
      <c r="G242" s="8">
        <f ca="1">+G241*(1+Deltas!G242)</f>
        <v>150.34069228672672</v>
      </c>
      <c r="H242" s="8">
        <f ca="1">+H241*(1+Deltas!H242)</f>
        <v>102.65085115499971</v>
      </c>
      <c r="I242" s="8">
        <f ca="1">+I241*(1+Deltas!I242)</f>
        <v>104.67172930885313</v>
      </c>
      <c r="J242" s="8">
        <f ca="1">+J241*(1+Deltas!J242)</f>
        <v>131.54213777829591</v>
      </c>
      <c r="K242" s="8">
        <f ca="1">+K241*(1+Deltas!K242)</f>
        <v>106.83632734530953</v>
      </c>
      <c r="L242" s="8">
        <f ca="1">+L241*(1+Deltas!L242)</f>
        <v>95.723317218296756</v>
      </c>
      <c r="M242" s="8">
        <f ca="1">+M241*(1+Deltas!M242)</f>
        <v>119.24282311646003</v>
      </c>
      <c r="N242" s="8">
        <f ca="1">+N241*(1+Deltas!N242)</f>
        <v>164.97884397911088</v>
      </c>
      <c r="O242" s="8">
        <f ca="1">+O241*(1+Deltas!O242)</f>
        <v>128.89670875595104</v>
      </c>
      <c r="P242" s="8">
        <f ca="1">+P241*(1+Deltas!P242)</f>
        <v>173.48001512077357</v>
      </c>
    </row>
    <row r="243" spans="1:16" x14ac:dyDescent="0.25">
      <c r="A243" vm="3610">
        <f ca="1"/>
        <v>45698</v>
      </c>
      <c r="B243" s="8">
        <f ca="1">+B242*(1+Deltas!B243)</f>
        <v>175.60206278475994</v>
      </c>
      <c r="C243" s="8">
        <f ca="1">+C242*(1+Deltas!C243)</f>
        <v>134.34366716607127</v>
      </c>
      <c r="D243" s="8">
        <f ca="1">+D242*(1+Deltas!D243)</f>
        <v>101.1632472759399</v>
      </c>
      <c r="E243" s="8">
        <f ca="1">+E242*(1+Deltas!E243)</f>
        <v>109.59355547418525</v>
      </c>
      <c r="F243" s="8">
        <f ca="1">+F242*(1+Deltas!F243)</f>
        <v>105.1663527934715</v>
      </c>
      <c r="G243" s="8">
        <f ca="1">+G242*(1+Deltas!G243)</f>
        <v>147.74597983101671</v>
      </c>
      <c r="H243" s="8">
        <f ca="1">+H242*(1+Deltas!H243)</f>
        <v>103.8857076078064</v>
      </c>
      <c r="I243" s="8">
        <f ca="1">+I242*(1+Deltas!I243)</f>
        <v>106.67115255214833</v>
      </c>
      <c r="J243" s="8">
        <f ca="1">+J242*(1+Deltas!J243)</f>
        <v>130.66791001282209</v>
      </c>
      <c r="K243" s="8">
        <f ca="1">+K242*(1+Deltas!K243)</f>
        <v>107.50998003992032</v>
      </c>
      <c r="L243" s="8">
        <f ca="1">+L242*(1+Deltas!L243)</f>
        <v>96.206768315358872</v>
      </c>
      <c r="M243" s="8">
        <f ca="1">+M242*(1+Deltas!M243)</f>
        <v>116.94872759182671</v>
      </c>
      <c r="N243" s="8">
        <f ca="1">+N242*(1+Deltas!N243)</f>
        <v>169.71830091104312</v>
      </c>
      <c r="O243" s="8">
        <f ca="1">+O242*(1+Deltas!O243)</f>
        <v>130.01448975367407</v>
      </c>
      <c r="P243" s="8">
        <f ca="1">+P242*(1+Deltas!P243)</f>
        <v>181.32584495035627</v>
      </c>
    </row>
    <row r="244" spans="1:16" x14ac:dyDescent="0.25">
      <c r="A244" vm="3624">
        <f ca="1"/>
        <v>45699</v>
      </c>
      <c r="B244" s="8">
        <f ca="1">+B243*(1+Deltas!B244)</f>
        <v>164.47203725028837</v>
      </c>
      <c r="C244" s="8">
        <f ca="1">+C243*(1+Deltas!C244)</f>
        <v>134.12469747608625</v>
      </c>
      <c r="D244" s="8">
        <f ca="1">+D243*(1+Deltas!D244)</f>
        <v>100.97182683812699</v>
      </c>
      <c r="E244" s="8">
        <f ca="1">+E243*(1+Deltas!E244)</f>
        <v>110.26791163188085</v>
      </c>
      <c r="F244" s="8">
        <f ca="1">+F243*(1+Deltas!F244)</f>
        <v>106.35907093534219</v>
      </c>
      <c r="G244" s="8">
        <f ca="1">+G243*(1+Deltas!G244)</f>
        <v>149.89915508312899</v>
      </c>
      <c r="H244" s="8">
        <f ca="1">+H243*(1+Deltas!H244)</f>
        <v>103.99283237894892</v>
      </c>
      <c r="I244" s="8">
        <f ca="1">+I243*(1+Deltas!I244)</f>
        <v>107.34403537441115</v>
      </c>
      <c r="J244" s="8">
        <f ca="1">+J243*(1+Deltas!J244)</f>
        <v>130.31821890663255</v>
      </c>
      <c r="K244" s="8">
        <f ca="1">+K243*(1+Deltas!K244)</f>
        <v>108.33333333333348</v>
      </c>
      <c r="L244" s="8">
        <f ca="1">+L243*(1+Deltas!L244)</f>
        <v>94.942357753811834</v>
      </c>
      <c r="M244" s="8">
        <f ca="1">+M243*(1+Deltas!M244)</f>
        <v>118.73511345117234</v>
      </c>
      <c r="N244" s="8">
        <f ca="1">+N243*(1+Deltas!N244)</f>
        <v>168.73991435941102</v>
      </c>
      <c r="O244" s="8">
        <f ca="1">+O243*(1+Deltas!O244)</f>
        <v>129.22790312564675</v>
      </c>
      <c r="P244" s="8">
        <f ca="1">+P243*(1+Deltas!P244)</f>
        <v>181.32584495035627</v>
      </c>
    </row>
    <row r="245" spans="1:16" x14ac:dyDescent="0.25">
      <c r="A245" vm="3639">
        <f ca="1"/>
        <v>45700</v>
      </c>
      <c r="B245" s="8">
        <f ca="1">+B244*(1+Deltas!B245)</f>
        <v>168.48245130926799</v>
      </c>
      <c r="C245" s="8">
        <f ca="1">+C244*(1+Deltas!C245)</f>
        <v>131.9177134954478</v>
      </c>
      <c r="D245" s="8">
        <f ca="1">+D244*(1+Deltas!D245)</f>
        <v>100.38284087562576</v>
      </c>
      <c r="E245" s="8">
        <f ca="1">+E244*(1+Deltas!E245)</f>
        <v>108.47674844379345</v>
      </c>
      <c r="F245" s="8">
        <f ca="1">+F244*(1+Deltas!F245)</f>
        <v>106.45323289391094</v>
      </c>
      <c r="G245" s="8">
        <f ca="1">+G244*(1+Deltas!G245)</f>
        <v>150.14990460615977</v>
      </c>
      <c r="H245" s="8">
        <f ca="1">+H244*(1+Deltas!H245)</f>
        <v>102.72291691013197</v>
      </c>
      <c r="I245" s="8">
        <f ca="1">+I244*(1+Deltas!I245)</f>
        <v>103.19138709987494</v>
      </c>
      <c r="J245" s="8">
        <f ca="1">+J244*(1+Deltas!J245)</f>
        <v>128.04522671640058</v>
      </c>
      <c r="K245" s="8">
        <f ca="1">+K244*(1+Deltas!K245)</f>
        <v>110.67864271457101</v>
      </c>
      <c r="L245" s="8">
        <f ca="1">+L244*(1+Deltas!L245)</f>
        <v>94.719226478244693</v>
      </c>
      <c r="M245" s="8">
        <f ca="1">+M244*(1+Deltas!M245)</f>
        <v>118.67243324558126</v>
      </c>
      <c r="N245" s="8">
        <f ca="1">+N244*(1+Deltas!N245)</f>
        <v>166.63066542991834</v>
      </c>
      <c r="O245" s="8">
        <f ca="1">+O244*(1+Deltas!O245)</f>
        <v>129.43489960670658</v>
      </c>
      <c r="P245" s="8">
        <f ca="1">+P244*(1+Deltas!P245)</f>
        <v>182.33646806508128</v>
      </c>
    </row>
    <row r="246" spans="1:16" x14ac:dyDescent="0.25">
      <c r="A246" vm="3654">
        <f ca="1"/>
        <v>45701</v>
      </c>
      <c r="B246" s="8">
        <f ca="1">+B245*(1+Deltas!B246)</f>
        <v>178.21058428879039</v>
      </c>
      <c r="C246" s="8">
        <f ca="1">+C245*(1+Deltas!C246)</f>
        <v>132.74749337328575</v>
      </c>
      <c r="D246" s="8">
        <f ca="1">+D245*(1+Deltas!D246)</f>
        <v>100.75095710218903</v>
      </c>
      <c r="E246" s="8">
        <f ca="1">+E245*(1+Deltas!E246)</f>
        <v>110.19467838398631</v>
      </c>
      <c r="F246" s="8">
        <f ca="1">+F245*(1+Deltas!F246)</f>
        <v>107.35718769617083</v>
      </c>
      <c r="G246" s="8">
        <f ca="1">+G245*(1+Deltas!G246)</f>
        <v>150.62414826928324</v>
      </c>
      <c r="H246" s="8">
        <f ca="1">+H245*(1+Deltas!H246)</f>
        <v>103.45915624634792</v>
      </c>
      <c r="I246" s="8">
        <f ca="1">+I245*(1+Deltas!I246)</f>
        <v>103.94117081611064</v>
      </c>
      <c r="J246" s="8">
        <f ca="1">+J245*(1+Deltas!J246)</f>
        <v>135.15561254225443</v>
      </c>
      <c r="K246" s="8">
        <f ca="1">+K245*(1+Deltas!K246)</f>
        <v>109.80538922155704</v>
      </c>
      <c r="L246" s="8">
        <f ca="1">+L245*(1+Deltas!L246)</f>
        <v>95.351431759018226</v>
      </c>
      <c r="M246" s="8">
        <f ca="1">+M245*(1+Deltas!M246)</f>
        <v>120.82863231791423</v>
      </c>
      <c r="N246" s="8">
        <f ca="1">+N245*(1+Deltas!N246)</f>
        <v>171.90378775364991</v>
      </c>
      <c r="O246" s="8">
        <f ca="1">+O245*(1+Deltas!O246)</f>
        <v>132.14655350859027</v>
      </c>
      <c r="P246" s="8">
        <f ca="1">+P245*(1+Deltas!P246)</f>
        <v>181.91216065050207</v>
      </c>
    </row>
    <row r="247" spans="1:16" x14ac:dyDescent="0.25">
      <c r="A247" vm="3667">
        <f ca="1"/>
        <v>45702</v>
      </c>
      <c r="B247" s="8">
        <f ca="1">+B246*(1+Deltas!B247)</f>
        <v>178.16051669754219</v>
      </c>
      <c r="C247" s="8">
        <f ca="1">+C246*(1+Deltas!C247)</f>
        <v>131.77365448887869</v>
      </c>
      <c r="D247" s="8">
        <f ca="1">+D246*(1+Deltas!D247)</f>
        <v>100.23314027682336</v>
      </c>
      <c r="E247" s="8">
        <f ca="1">+E246*(1+Deltas!E247)</f>
        <v>108.89173684852922</v>
      </c>
      <c r="F247" s="8">
        <f ca="1">+F246*(1+Deltas!F247)</f>
        <v>102.25360954174519</v>
      </c>
      <c r="G247" s="8">
        <f ca="1">+G246*(1+Deltas!G247)</f>
        <v>150.7713273371491</v>
      </c>
      <c r="H247" s="8">
        <f ca="1">+H246*(1+Deltas!H247)</f>
        <v>101.96525261968749</v>
      </c>
      <c r="I247" s="8">
        <f ca="1">+I246*(1+Deltas!I247)</f>
        <v>104.04690954532336</v>
      </c>
      <c r="J247" s="8">
        <f ca="1">+J246*(1+Deltas!J247)</f>
        <v>140.69238839025536</v>
      </c>
      <c r="K247" s="8">
        <f ca="1">+K246*(1+Deltas!K247)</f>
        <v>110.00499001996025</v>
      </c>
      <c r="L247" s="8">
        <f ca="1">+L246*(1+Deltas!L247)</f>
        <v>94.942357753811834</v>
      </c>
      <c r="M247" s="8">
        <f ca="1">+M246*(1+Deltas!M247)</f>
        <v>117.60686975053299</v>
      </c>
      <c r="N247" s="8">
        <f ca="1">+N246*(1+Deltas!N247)</f>
        <v>176.42723726509197</v>
      </c>
      <c r="O247" s="8">
        <f ca="1">+O246*(1+Deltas!O247)</f>
        <v>134.27861726350642</v>
      </c>
      <c r="P247" s="8">
        <f ca="1">+P246*(1+Deltas!P247)</f>
        <v>179.78290889734097</v>
      </c>
    </row>
    <row r="248" spans="1:16" x14ac:dyDescent="0.25">
      <c r="A248" vm="3682">
        <f ca="1"/>
        <v>45706</v>
      </c>
      <c r="B248" s="8">
        <f ca="1">+B247*(1+Deltas!B248)</f>
        <v>177.29434736894859</v>
      </c>
      <c r="C248" s="8">
        <f ca="1">+C247*(1+Deltas!C248)</f>
        <v>130.60389535553767</v>
      </c>
      <c r="D248" s="8">
        <f ca="1">+D247*(1+Deltas!D248)</f>
        <v>100.53008736625107</v>
      </c>
      <c r="E248" s="8">
        <f ca="1">+E247*(1+Deltas!E248)</f>
        <v>107.71085072622969</v>
      </c>
      <c r="F248" s="8">
        <f ca="1">+F247*(1+Deltas!F248)</f>
        <v>103.84808537350916</v>
      </c>
      <c r="G248" s="8">
        <f ca="1">+G247*(1+Deltas!G248)</f>
        <v>152.60288907059149</v>
      </c>
      <c r="H248" s="8">
        <f ca="1">+H247*(1+Deltas!H248)</f>
        <v>97.528339371274896</v>
      </c>
      <c r="I248" s="8">
        <f ca="1">+I247*(1+Deltas!I248)</f>
        <v>105.87330577717955</v>
      </c>
      <c r="J248" s="8">
        <f ca="1">+J247*(1+Deltas!J248)</f>
        <v>142.90709872945573</v>
      </c>
      <c r="K248" s="8">
        <f ca="1">+K247*(1+Deltas!K248)</f>
        <v>112.69960079840335</v>
      </c>
      <c r="L248" s="8">
        <f ca="1">+L247*(1+Deltas!L248)</f>
        <v>95.053923391595376</v>
      </c>
      <c r="M248" s="8">
        <f ca="1">+M247*(1+Deltas!M248)</f>
        <v>118.43424846433517</v>
      </c>
      <c r="N248" s="8">
        <f ca="1">+N247*(1+Deltas!N248)</f>
        <v>177.1260848019721</v>
      </c>
      <c r="O248" s="8">
        <f ca="1">+O247*(1+Deltas!O248)</f>
        <v>133.6990271165389</v>
      </c>
      <c r="P248" s="8">
        <f ca="1">+P247*(1+Deltas!P248)</f>
        <v>176.3035880977915</v>
      </c>
    </row>
    <row r="249" spans="1:16" x14ac:dyDescent="0.25">
      <c r="A249" vm="3697">
        <f ca="1"/>
        <v>45707</v>
      </c>
      <c r="B249" s="8">
        <f ca="1">+B248*(1+Deltas!B249)</f>
        <v>180.52370700445653</v>
      </c>
      <c r="C249" s="8">
        <f ca="1">+C248*(1+Deltas!C249)</f>
        <v>130.59237063501214</v>
      </c>
      <c r="D249" s="8">
        <f ca="1">+D248*(1+Deltas!D249)</f>
        <v>101.78904486109745</v>
      </c>
      <c r="E249" s="8">
        <f ca="1">+E248*(1+Deltas!E249)</f>
        <v>107.36299279873062</v>
      </c>
      <c r="F249" s="8">
        <f ca="1">+F248*(1+Deltas!F249)</f>
        <v>104.51349654739492</v>
      </c>
      <c r="G249" s="8">
        <f ca="1">+G248*(1+Deltas!G249)</f>
        <v>152.22131370945766</v>
      </c>
      <c r="H249" s="8">
        <f ca="1">+H248*(1+Deltas!H249)</f>
        <v>99.536441899419501</v>
      </c>
      <c r="I249" s="8">
        <f ca="1">+I248*(1+Deltas!I249)</f>
        <v>106.02710756512535</v>
      </c>
      <c r="J249" s="8">
        <f ca="1">+J248*(1+Deltas!J249)</f>
        <v>144.0727357500875</v>
      </c>
      <c r="K249" s="8">
        <f ca="1">+K248*(1+Deltas!K249)</f>
        <v>109.71806387225564</v>
      </c>
      <c r="L249" s="8">
        <f ca="1">+L248*(1+Deltas!L249)</f>
        <v>96.281145407214566</v>
      </c>
      <c r="M249" s="8">
        <f ca="1">+M248*(1+Deltas!M249)</f>
        <v>120.09527391249866</v>
      </c>
      <c r="N249" s="8">
        <f ca="1">+N248*(1+Deltas!N249)</f>
        <v>176.91007738148187</v>
      </c>
      <c r="O249" s="8">
        <f ca="1">+O248*(1+Deltas!O249)</f>
        <v>134.21651831918848</v>
      </c>
      <c r="P249" s="8">
        <f ca="1">+P248*(1+Deltas!P249)</f>
        <v>176.45788170309302</v>
      </c>
    </row>
    <row r="250" spans="1:16" x14ac:dyDescent="0.25">
      <c r="A250" vm="3711">
        <f ca="1"/>
        <v>45708</v>
      </c>
      <c r="B250" s="8">
        <f ca="1">+B249*(1+Deltas!B250)</f>
        <v>177.43954338356829</v>
      </c>
      <c r="C250" s="8">
        <f ca="1">+C249*(1+Deltas!C250)</f>
        <v>128.43148553647578</v>
      </c>
      <c r="D250" s="8">
        <f ca="1">+D249*(1+Deltas!D250)</f>
        <v>102.1228035731815</v>
      </c>
      <c r="E250" s="8">
        <f ca="1">+E249*(1+Deltas!E250)</f>
        <v>106.80458928353471</v>
      </c>
      <c r="F250" s="8">
        <f ca="1">+F249*(1+Deltas!F250)</f>
        <v>104.96547394852486</v>
      </c>
      <c r="G250" s="8">
        <f ca="1">+G249*(1+Deltas!G250)</f>
        <v>145.43472335786322</v>
      </c>
      <c r="H250" s="8">
        <f ca="1">+H249*(1+Deltas!H250)</f>
        <v>97.857504577149228</v>
      </c>
      <c r="I250" s="8">
        <f ca="1">+I249*(1+Deltas!I250)</f>
        <v>107.66125156204932</v>
      </c>
      <c r="J250" s="8">
        <f ca="1">+J249*(1+Deltas!J250)</f>
        <v>145.23837277071928</v>
      </c>
      <c r="K250" s="8">
        <f ca="1">+K249*(1+Deltas!K250)</f>
        <v>107.88423153692629</v>
      </c>
      <c r="L250" s="8">
        <f ca="1">+L249*(1+Deltas!L250)</f>
        <v>96.318333953142414</v>
      </c>
      <c r="M250" s="8">
        <f ca="1">+M249*(1+Deltas!M250)</f>
        <v>118.57841293719467</v>
      </c>
      <c r="N250" s="8">
        <f ca="1">+N249*(1+Deltas!N250)</f>
        <v>178.02823344049006</v>
      </c>
      <c r="O250" s="8">
        <f ca="1">+O249*(1+Deltas!O250)</f>
        <v>133.86462430138678</v>
      </c>
      <c r="P250" s="8">
        <f ca="1">+P249*(1+Deltas!P250)</f>
        <v>174.92266033034284</v>
      </c>
    </row>
    <row r="251" spans="1:16" x14ac:dyDescent="0.25">
      <c r="A251" vm="3724">
        <f ca="1"/>
        <v>45709</v>
      </c>
      <c r="B251" s="8">
        <f ca="1">+B250*(1+Deltas!B251)</f>
        <v>169.12832323636957</v>
      </c>
      <c r="C251" s="8">
        <f ca="1">+C250*(1+Deltas!C251)</f>
        <v>124.8011985709347</v>
      </c>
      <c r="D251" s="8">
        <f ca="1">+D250*(1+Deltas!D251)</f>
        <v>100.17914989692744</v>
      </c>
      <c r="E251" s="8">
        <f ca="1">+E250*(1+Deltas!E251)</f>
        <v>105.14158427926277</v>
      </c>
      <c r="F251" s="8">
        <f ca="1">+F250*(1+Deltas!F251)</f>
        <v>106.86126804770879</v>
      </c>
      <c r="G251" s="8">
        <f ca="1">+G250*(1+Deltas!G251)</f>
        <v>144.03924775143093</v>
      </c>
      <c r="H251" s="8">
        <f ca="1">+H250*(1+Deltas!H251)</f>
        <v>90.845701375092446</v>
      </c>
      <c r="I251" s="8">
        <f ca="1">+I250*(1+Deltas!I251)</f>
        <v>106.4019994232432</v>
      </c>
      <c r="J251" s="8">
        <f ca="1">+J250*(1+Deltas!J251)</f>
        <v>144.42242685627704</v>
      </c>
      <c r="K251" s="8">
        <f ca="1">+K250*(1+Deltas!K251)</f>
        <v>104.09181636726559</v>
      </c>
      <c r="L251" s="8">
        <f ca="1">+L250*(1+Deltas!L251)</f>
        <v>97.805875790256607</v>
      </c>
      <c r="M251" s="8">
        <f ca="1">+M250*(1+Deltas!M251)</f>
        <v>116.37206970038883</v>
      </c>
      <c r="N251" s="8">
        <f ca="1">+N250*(1+Deltas!N251)</f>
        <v>170.81104433234657</v>
      </c>
      <c r="O251" s="8">
        <f ca="1">+O250*(1+Deltas!O251)</f>
        <v>132.436348582074</v>
      </c>
      <c r="P251" s="8">
        <f ca="1">+P250*(1+Deltas!P251)</f>
        <v>168.68919867616108</v>
      </c>
    </row>
    <row r="252" spans="1:16" x14ac:dyDescent="0.25">
      <c r="A252" vm="3738">
        <f ca="1"/>
        <v>45712</v>
      </c>
      <c r="B252" s="8">
        <f ca="1">+B251*(1+Deltas!B252)</f>
        <v>165.48840935262649</v>
      </c>
      <c r="C252" s="8">
        <f ca="1">+C251*(1+Deltas!C252)</f>
        <v>122.57116514924518</v>
      </c>
      <c r="D252" s="8">
        <f ca="1">+D251*(1+Deltas!D252)</f>
        <v>99.145970354373205</v>
      </c>
      <c r="E252" s="8">
        <f ca="1">+E251*(1+Deltas!E252)</f>
        <v>104.92798730623701</v>
      </c>
      <c r="F252" s="8">
        <f ca="1">+F251*(1+Deltas!F252)</f>
        <v>107.05586942875085</v>
      </c>
      <c r="G252" s="8">
        <f ca="1">+G251*(1+Deltas!G252)</f>
        <v>142.45843554101936</v>
      </c>
      <c r="H252" s="8">
        <f ca="1">+H251*(1+Deltas!H252)</f>
        <v>89.891317050368045</v>
      </c>
      <c r="I252" s="8">
        <f ca="1">+I251*(1+Deltas!I252)</f>
        <v>106.95953090454667</v>
      </c>
      <c r="J252" s="8">
        <f ca="1">+J251*(1+Deltas!J252)</f>
        <v>144.53899055834023</v>
      </c>
      <c r="K252" s="8">
        <f ca="1">+K251*(1+Deltas!K252)</f>
        <v>106.7864271457087</v>
      </c>
      <c r="L252" s="8">
        <f ca="1">+L251*(1+Deltas!L252)</f>
        <v>99.107474897731493</v>
      </c>
      <c r="M252" s="8">
        <f ca="1">+M251*(1+Deltas!M252)</f>
        <v>118.30888805315304</v>
      </c>
      <c r="N252" s="8">
        <f ca="1">+N251*(1+Deltas!N252)</f>
        <v>165.53792200861497</v>
      </c>
      <c r="O252" s="8">
        <f ca="1">+O251*(1+Deltas!O252)</f>
        <v>130.90457462223134</v>
      </c>
      <c r="P252" s="8">
        <f ca="1">+P251*(1+Deltas!P252)</f>
        <v>160.4113467517341</v>
      </c>
    </row>
    <row r="253" spans="1:16" x14ac:dyDescent="0.25">
      <c r="A253" vm="3750">
        <f ca="1"/>
        <v>45713</v>
      </c>
      <c r="B253" s="8">
        <f ca="1">+B252*(1+Deltas!B253)</f>
        <v>151.60466629950474</v>
      </c>
      <c r="C253" s="8">
        <f ca="1">+C252*(1+Deltas!C253)</f>
        <v>122.62302639161005</v>
      </c>
      <c r="D253" s="8">
        <f ca="1">+D252*(1+Deltas!D253)</f>
        <v>97.648964366349247</v>
      </c>
      <c r="E253" s="8">
        <f ca="1">+E252*(1+Deltas!E253)</f>
        <v>107.72305626754545</v>
      </c>
      <c r="F253" s="8">
        <f ca="1">+F252*(1+Deltas!F253)</f>
        <v>108.38041431261777</v>
      </c>
      <c r="G253" s="8">
        <f ca="1">+G252*(1+Deltas!G253)</f>
        <v>140.31071136549468</v>
      </c>
      <c r="H253" s="8">
        <f ca="1">+H252*(1+Deltas!H253)</f>
        <v>91.616999727318699</v>
      </c>
      <c r="I253" s="8">
        <f ca="1">+I252*(1+Deltas!I253)</f>
        <v>105.4791886955685</v>
      </c>
      <c r="J253" s="8">
        <f ca="1">+J252*(1+Deltas!J253)</f>
        <v>146.11260053619313</v>
      </c>
      <c r="K253" s="8">
        <f ca="1">+K252*(1+Deltas!K253)</f>
        <v>108.15868263473068</v>
      </c>
      <c r="L253" s="8">
        <f ca="1">+L252*(1+Deltas!L253)</f>
        <v>99.442171811082176</v>
      </c>
      <c r="M253" s="8">
        <f ca="1">+M252*(1+Deltas!M253)</f>
        <v>119.39325560987861</v>
      </c>
      <c r="N253" s="8">
        <f ca="1">+N252*(1+Deltas!N253)</f>
        <v>160.90011562750163</v>
      </c>
      <c r="O253" s="8">
        <f ca="1">+O252*(1+Deltas!O253)</f>
        <v>133.03663837714748</v>
      </c>
      <c r="P253" s="8">
        <f ca="1">+P252*(1+Deltas!P253)</f>
        <v>156.25313408885788</v>
      </c>
    </row>
    <row r="254" spans="1:16" x14ac:dyDescent="0.25">
      <c r="A254" vm="3764">
        <f ca="1"/>
        <v>45714</v>
      </c>
      <c r="B254" s="8">
        <f ca="1">+B253*(1+Deltas!B254)</f>
        <v>145.59655534972251</v>
      </c>
      <c r="C254" s="8">
        <f ca="1">+C253*(1+Deltas!C254)</f>
        <v>123.51619223233841</v>
      </c>
      <c r="D254" s="8">
        <f ca="1">+D253*(1+Deltas!D254)</f>
        <v>98.098066162756439</v>
      </c>
      <c r="E254" s="8">
        <f ca="1">+E253*(1+Deltas!E254)</f>
        <v>109.72476504332965</v>
      </c>
      <c r="F254" s="8">
        <f ca="1">+F253*(1+Deltas!F254)</f>
        <v>107.53295668549913</v>
      </c>
      <c r="G254" s="8">
        <f ca="1">+G253*(1+Deltas!G254)</f>
        <v>141.0684110111747</v>
      </c>
      <c r="H254" s="8">
        <f ca="1">+H253*(1+Deltas!H254)</f>
        <v>90.294495734486318</v>
      </c>
      <c r="I254" s="8">
        <f ca="1">+I253*(1+Deltas!I254)</f>
        <v>105.21964817840998</v>
      </c>
      <c r="J254" s="8">
        <f ca="1">+J253*(1+Deltas!J254)</f>
        <v>148.38559272642507</v>
      </c>
      <c r="K254" s="8">
        <f ca="1">+K253*(1+Deltas!K254)</f>
        <v>108.60778443113787</v>
      </c>
      <c r="L254" s="8">
        <f ca="1">+L253*(1+Deltas!L254)</f>
        <v>98.252138341390861</v>
      </c>
      <c r="M254" s="8">
        <f ca="1">+M253*(1+Deltas!M254)</f>
        <v>118.10831139526159</v>
      </c>
      <c r="N254" s="8">
        <f ca="1">+N253*(1+Deltas!N254)</f>
        <v>166.8085538938515</v>
      </c>
      <c r="O254" s="8">
        <f ca="1">+O253*(1+Deltas!O254)</f>
        <v>132.64334506313384</v>
      </c>
      <c r="P254" s="8">
        <f ca="1">+P253*(1+Deltas!P254)</f>
        <v>164.27640156453737</v>
      </c>
    </row>
    <row r="255" spans="1:16" x14ac:dyDescent="0.25">
      <c r="A255" vm="3779">
        <f ca="1"/>
        <v>45715</v>
      </c>
    </row>
    <row r="256" spans="1:16" x14ac:dyDescent="0.25">
      <c r="A256" vm="3791">
        <f ca="1"/>
        <v>45716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18ee5480-bc57-428c-a521-c1b5a30d116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E198C30D334D4799A0A6192774ACA4" ma:contentTypeVersion="13" ma:contentTypeDescription="Create a new document." ma:contentTypeScope="" ma:versionID="c572f7800318d7f69b7325113cd25c40">
  <xsd:schema xmlns:xsd="http://www.w3.org/2001/XMLSchema" xmlns:xs="http://www.w3.org/2001/XMLSchema" xmlns:p="http://schemas.microsoft.com/office/2006/metadata/properties" xmlns:ns3="18ee5480-bc57-428c-a521-c1b5a30d1164" xmlns:ns4="e8d1ac66-52f7-4cba-a3db-9cc4a60ac180" targetNamespace="http://schemas.microsoft.com/office/2006/metadata/properties" ma:root="true" ma:fieldsID="f17c04d4cfd0e1c705f63883a6a92018" ns3:_="" ns4:_="">
    <xsd:import namespace="18ee5480-bc57-428c-a521-c1b5a30d1164"/>
    <xsd:import namespace="e8d1ac66-52f7-4cba-a3db-9cc4a60ac180"/>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earchProperties" minOccurs="0"/>
                <xsd:element ref="ns3:MediaServiceDateTaken"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ee5480-bc57-428c-a521-c1b5a30d11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8d1ac66-52f7-4cba-a3db-9cc4a60ac18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728506-1BFC-4C9C-9595-9335C532337A}">
  <ds:schemaRefs>
    <ds:schemaRef ds:uri="http://purl.org/dc/terms/"/>
    <ds:schemaRef ds:uri="http://www.w3.org/XML/1998/namespace"/>
    <ds:schemaRef ds:uri="http://schemas.openxmlformats.org/package/2006/metadata/core-properties"/>
    <ds:schemaRef ds:uri="http://schemas.microsoft.com/office/2006/documentManagement/types"/>
    <ds:schemaRef ds:uri="e8d1ac66-52f7-4cba-a3db-9cc4a60ac180"/>
    <ds:schemaRef ds:uri="http://schemas.microsoft.com/office/infopath/2007/PartnerControls"/>
    <ds:schemaRef ds:uri="http://schemas.microsoft.com/office/2006/metadata/properties"/>
    <ds:schemaRef ds:uri="18ee5480-bc57-428c-a521-c1b5a30d1164"/>
    <ds:schemaRef ds:uri="http://purl.org/dc/dcmitype/"/>
    <ds:schemaRef ds:uri="http://purl.org/dc/elements/1.1/"/>
  </ds:schemaRefs>
</ds:datastoreItem>
</file>

<file path=customXml/itemProps2.xml><?xml version="1.0" encoding="utf-8"?>
<ds:datastoreItem xmlns:ds="http://schemas.openxmlformats.org/officeDocument/2006/customXml" ds:itemID="{52D8FBB2-C3BA-4C93-B0D9-135B70C1E1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ee5480-bc57-428c-a521-c1b5a30d1164"/>
    <ds:schemaRef ds:uri="e8d1ac66-52f7-4cba-a3db-9cc4a60ac1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CE7BC2D-B2DD-4604-AC8F-7A244B70887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vt:i4>
      </vt:variant>
    </vt:vector>
  </HeadingPairs>
  <TitlesOfParts>
    <vt:vector size="24" baseType="lpstr">
      <vt:lpstr>Parms</vt:lpstr>
      <vt:lpstr>Optimized Portfolio</vt:lpstr>
      <vt:lpstr>CAPM Graph</vt:lpstr>
      <vt:lpstr>Historical Data</vt:lpstr>
      <vt:lpstr>Deltas</vt:lpstr>
      <vt:lpstr>Index</vt:lpstr>
      <vt:lpstr>best.portfolios</vt:lpstr>
      <vt:lpstr>daily.portfolio.risk</vt:lpstr>
      <vt:lpstr>end.date</vt:lpstr>
      <vt:lpstr>market.reward</vt:lpstr>
      <vt:lpstr>market.risk</vt:lpstr>
      <vt:lpstr>Portfolio.Companies</vt:lpstr>
      <vt:lpstr>Return</vt:lpstr>
      <vt:lpstr>Risk</vt:lpstr>
      <vt:lpstr>risk.free.rate</vt:lpstr>
      <vt:lpstr>start.date</vt:lpstr>
      <vt:lpstr>Stock.List</vt:lpstr>
      <vt:lpstr>Stock.Names</vt:lpstr>
      <vt:lpstr>Stock.Returns</vt:lpstr>
      <vt:lpstr>Stock.Risk</vt:lpstr>
      <vt:lpstr>table.delta</vt:lpstr>
      <vt:lpstr>The.Dates</vt:lpstr>
      <vt:lpstr>Weights</vt:lpstr>
      <vt:lpstr>worst.portfolios</vt:lpstr>
    </vt:vector>
  </TitlesOfParts>
  <Company>Kent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Gartner, Caleb</dc:creator>
  <cp:lastModifiedBy>Gartner, Caleb</cp:lastModifiedBy>
  <dcterms:created xsi:type="dcterms:W3CDTF">2025-02-27T19:48:22Z</dcterms:created>
  <dcterms:modified xsi:type="dcterms:W3CDTF">2026-05-01T19:05:58Z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0x010100E9E198C30D334D4799A0A6192774ACA4</vt:lpwstr>
  </property>
</Properties>
</file>