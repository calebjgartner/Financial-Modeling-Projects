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Caleb\Desktop\GitHub Models\"/>
    </mc:Choice>
  </mc:AlternateContent>
  <xr:revisionPtr revIDLastSave="0" documentId="8_{90D335C4-6122-40F8-AB35-74EC07CBDE11}" xr6:coauthVersionLast="47" xr6:coauthVersionMax="47" xr10:uidLastSave="{00000000-0000-0000-0000-000000000000}"/>
  <bookViews>
    <workbookView xWindow="28680" yWindow="-120" windowWidth="29040" windowHeight="15720" activeTab="5" xr2:uid="{4D835893-D1A0-4330-94EF-8082FBB7A43D}"/>
  </bookViews>
  <sheets>
    <sheet name="Parms" sheetId="1" r:id="rId1"/>
    <sheet name="LBO Returns" sheetId="8" r:id="rId2"/>
    <sheet name="Transaction Summary" sheetId="7" r:id="rId3"/>
    <sheet name="Financial Statements" sheetId="2" r:id="rId4"/>
    <sheet name="DCF Analysis" sheetId="5" r:id="rId5"/>
    <sheet name="DebtSchedule" sheetId="4" r:id="rId6"/>
  </sheets>
  <definedNames>
    <definedName name="company.name">Parms!$A$1</definedName>
    <definedName name="D.F.Interest.Expense">DebtSchedule!$K$18:$O$18</definedName>
    <definedName name="D.F.LTDebt">DebtSchedule!$K$22:$O$22</definedName>
    <definedName name="D.F.Revolver">DebtSchedule!$K$7:$O$7</definedName>
    <definedName name="D.F.STDebt">DebtSchedule!$K$21:$O$21</definedName>
    <definedName name="D.F.Sub.Debt">DebtSchedule!$K$8:$O$8</definedName>
    <definedName name="D.H.Interest.Expense">DebtSchedule!$G$18:$I$18</definedName>
    <definedName name="D.H.LTDebt">DebtSchedule!$G$22:$I$22</definedName>
    <definedName name="D.H.STDebt">DebtSchedule!$G$21:$I$21</definedName>
    <definedName name="D.Rate.Revolver">DebtSchedule!$K$15:$O$15</definedName>
    <definedName name="D.Rate.Sub.Debt">DebtSchedule!$K$16:$O$16</definedName>
    <definedName name="dates.forecast">Parms!$J$1:$N$1</definedName>
    <definedName name="dates.hist">Parms!$G$1:$I$1</definedName>
    <definedName name="DCF.Cash">'Financial Statements'!$I$46</definedName>
    <definedName name="DCF.Debt">DebtSchedule!$I$9</definedName>
    <definedName name="DCF.Discount.Cash.Flow">'DCF Analysis'!$G$26:$K$26</definedName>
    <definedName name="DCF.Equity">'Financial Statements'!$I$82</definedName>
    <definedName name="DCF.Interest.Expense">DebtSchedule!$I$18</definedName>
    <definedName name="DCF.NPV.DCF">'DCF Analysis'!$G$28</definedName>
    <definedName name="DCF.Pref.Stock">'Financial Statements'!$I$78</definedName>
    <definedName name="DCF.Terminal.Discount.Factor">'DCF Analysis'!$K$25</definedName>
    <definedName name="DCF.Terminal.EBITDA">'DCF Analysis'!$K$15</definedName>
    <definedName name="DCF.Terminal.Free.Cash.Flow">'DCF Analysis'!$K$24</definedName>
    <definedName name="DCF.Undiscounted.Cash.Flow">'DCF Analysis'!$G$24:$K$24</definedName>
    <definedName name="EBITDA.LBO">'Transaction Summary'!$G$3</definedName>
    <definedName name="F.Capital">'Financial Statements'!$K$84:$O$84</definedName>
    <definedName name="F.Cash">'Financial Statements'!$K$117:$O$117</definedName>
    <definedName name="F.Cash.Financing">'Financial Statements'!$K$113:$O$113</definedName>
    <definedName name="F.Cash.Investment">'Financial Statements'!$K$106:$O$106</definedName>
    <definedName name="F.Cash.Ops">'Financial Statements'!$K$101:$O$101</definedName>
    <definedName name="F.COGS">'Financial Statements'!$K$13:$O$13</definedName>
    <definedName name="F.EBIT">'Financial Statements'!$K$28:$O$28</definedName>
    <definedName name="F.EBT">'Financial Statements'!$K$33:$O$33</definedName>
    <definedName name="F.Equity">'Financial Statements'!$K$82:$O$82</definedName>
    <definedName name="F.Fixed.Costs">'Financial Statements'!$K$26:$O$26</definedName>
    <definedName name="F.Gross.Margin">'Financial Statements'!$K$15:$O$15</definedName>
    <definedName name="F.Net.Income">'Financial Statements'!$K$37:$O$37</definedName>
    <definedName name="F.Revenues">'Financial Statements'!$K$7:$O$7</definedName>
    <definedName name="F.STarting.Cash">'Financial Statements'!$K$116:$O$116</definedName>
    <definedName name="F.Total.Assets">'Financial Statements'!$K$60:$O$60</definedName>
    <definedName name="FCF.Labels">'DCF Analysis'!$C$15:$F$24</definedName>
    <definedName name="FCF.Values">'DCF Analysis'!$G$15:$K$24</definedName>
    <definedName name="Final.Amortization.Expense">'Financial Statements'!$I$25</definedName>
    <definedName name="Final.Depreciation.Expense">'Financial Statements'!$I$24</definedName>
    <definedName name="Final.EBIT">'Financial Statements'!$I$28</definedName>
    <definedName name="goldman.sachs.fee">'Transaction Summary'!$G$19</definedName>
    <definedName name="H.Capital">'Financial Statements'!$G$84:$I$84</definedName>
    <definedName name="H.Cash">'Financial Statements'!$G$117:$I$117</definedName>
    <definedName name="H.Cash.Financing">'Financial Statements'!$H$113:$I$113</definedName>
    <definedName name="H.Cash.From.Ops">'Financial Statements'!$H$101:$I$101</definedName>
    <definedName name="H.Cash.Investment">'Financial Statements'!$H$106:$I$106</definedName>
    <definedName name="H.COGS">'Financial Statements'!$G$13:$I$13</definedName>
    <definedName name="H.EBIT">'Financial Statements'!$G$28:$I$28</definedName>
    <definedName name="H.Fixed.Costs">'Financial Statements'!$G$26:$I$26</definedName>
    <definedName name="H.Gross.Margin">'Financial Statements'!$G$15:$I$15</definedName>
    <definedName name="H.Net.Income">'Financial Statements'!$G$37:$I$37</definedName>
    <definedName name="H.Operating.Income">'Financial Statements'!$G$28:$I$28</definedName>
    <definedName name="H.Revenues">'Financial Statements'!$G$7:$I$7</definedName>
    <definedName name="H.Total.Assets">'Financial Statements'!$G$60:$I$60</definedName>
    <definedName name="JPM.Fee">'Transaction Summary'!$R$8</definedName>
    <definedName name="LBO.FCF.Discounted">'LBO Returns'!$G$35:$K$35</definedName>
    <definedName name="LBO.FCF.No.Discount">'LBO Returns'!$G$31:$K$31</definedName>
    <definedName name="LBO.Forecast.EBITDA">'LBO Returns'!$G$22:$K$22</definedName>
    <definedName name="LBO.Goodwill">'Transaction Summary'!$G$24</definedName>
    <definedName name="LBO.LTDebt">DebtSchedule!$J$22</definedName>
    <definedName name="LBO.Revolver">'Transaction Summary'!$N$5</definedName>
    <definedName name="LBO.Sponsor.Equity">'Transaction Summary'!$N$7</definedName>
    <definedName name="LBO.STDebt">DebtSchedule!$J$21</definedName>
    <definedName name="LBO.SubDebt">'Transaction Summary'!$N$6</definedName>
    <definedName name="LBO.Terminal.Cash">'Financial Statements'!$O$46</definedName>
    <definedName name="LBO.Terminal.EBITDA">'LBO Returns'!$K$22</definedName>
    <definedName name="LBO.Terminal.WACC">'LBO Returns'!$K$16</definedName>
    <definedName name="market.price">'DCF Analysis'!$G$3</definedName>
    <definedName name="minimum.cash.balance">'Transaction Summary'!$G$18</definedName>
    <definedName name="P.F.Accrued.Liabs">Parms!$J$31:$N$31</definedName>
    <definedName name="P.F.Accts.Pay.Days">Parms!$J$30:$N$30</definedName>
    <definedName name="P.F.Accts.Rec.Days">Parms!$J$27:$N$27</definedName>
    <definedName name="P.F.Amortization.Expense">Parms!$J$21:$N$21</definedName>
    <definedName name="P.F.Buybacks">Parms!$J$24:$N$24</definedName>
    <definedName name="P.F.CAPEX">Parms!$J$32:$N$32</definedName>
    <definedName name="P.F.COGS">Parms!$J$11:$N$13</definedName>
    <definedName name="P.F.Depreciation.Expense">Parms!$J$20:$N$20</definedName>
    <definedName name="P.F.Dividends">Parms!$J$23:$N$23</definedName>
    <definedName name="P.F.Fixed.Costs">Parms!$J$15:$N$19</definedName>
    <definedName name="P.F.Inventory.Days">Parms!$J$28:$N$28</definedName>
    <definedName name="P.F.Prepaids">Parms!$J$29:$N$29</definedName>
    <definedName name="P.F.Revenues">Parms!$J$3:$N$5</definedName>
    <definedName name="P.H.Accounts.Pay.Days">Parms!$G$30:$I$30</definedName>
    <definedName name="P.H.Accounts.Rec.Days">Parms!$G$27:$I$27</definedName>
    <definedName name="P.H.Accrued.Liabs">Parms!$G$31:$I$31</definedName>
    <definedName name="P.H.Amortization.Expense">Parms!$G$21:$I$21</definedName>
    <definedName name="P.H.Buybacks">Parms!$G$24:$I$24</definedName>
    <definedName name="P.H.CAPEX">Parms!$G$32:$I$32</definedName>
    <definedName name="P.H.COGS">Parms!$G$11:$I$13</definedName>
    <definedName name="P.H.Depreciation.Expense">Parms!$G$20:$I$20</definedName>
    <definedName name="P.H.Dividends">Parms!$G$23:$I$23</definedName>
    <definedName name="P.H.Fixed.Costs">Parms!$G$15:$I$19</definedName>
    <definedName name="P.H.Inventory.Days">Parms!$G$28:$I$28</definedName>
    <definedName name="P.H.Prepaids">Parms!$G$29:$I$29</definedName>
    <definedName name="P.H.Revenues">Parms!$G$3:$I$5</definedName>
    <definedName name="shares.outstanding">'DCF Analysis'!$G$4</definedName>
    <definedName name="Starting.Acc.Dep">Parms!$G$34</definedName>
    <definedName name="starting.cash">Parms!$G$36</definedName>
    <definedName name="starting.goodwill">Parms!$G$35</definedName>
    <definedName name="Starting.PPE">Parms!$G$33</definedName>
    <definedName name="stock">'DCF Analysis'!$H$3</definedName>
    <definedName name="table.multiplier">'DCF Analysis'!$I$80:$M$84</definedName>
    <definedName name="table.perpetuity">'DCF Analysis'!$I$71:$M$75</definedName>
    <definedName name="tax.rate">Parms!$G$22</definedName>
    <definedName name="Terminal.Debt">DebtSchedule!$O$9</definedName>
    <definedName name="Terminal.Discount.Factor">'LBO Returns'!$K$34</definedName>
    <definedName name="the.stock">'DCF Analysis'!$H$3</definedName>
    <definedName name="TV.EBITDA.Mult">'DCF Analysis'!$G$50</definedName>
    <definedName name="TV.Gordon">'DCF Analysis'!$G$39</definedName>
    <definedName name="variable.paydown">DebtSchedule!$J$44</definedName>
    <definedName name="WACC">'DCF Analysis'!$G$12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9" i="2" l="1"/>
  <c r="K47" i="2" l="1" a="1"/>
  <c r="K47" i="2" s="1"/>
  <c r="G70" i="8" l="1" a="1"/>
  <c r="G70" i="8" s="1"/>
  <c r="H64" i="8" a="1"/>
  <c r="H64" i="8" s="1"/>
  <c r="G65" i="8" a="1"/>
  <c r="G65" i="8" s="1"/>
  <c r="G60" i="8" a="1"/>
  <c r="G60" i="8" s="1"/>
  <c r="H52" i="8" a="1"/>
  <c r="H52" i="8" s="1"/>
  <c r="G53" i="8" a="1"/>
  <c r="G53" i="8" s="1"/>
  <c r="K19" i="1"/>
  <c r="K9" i="1"/>
  <c r="K8" i="1"/>
  <c r="K7" i="1"/>
  <c r="P46" i="8"/>
  <c r="P47" i="8" s="1"/>
  <c r="P48" i="8" s="1"/>
  <c r="P49" i="8" s="1"/>
  <c r="P45" i="8" a="1"/>
  <c r="P45" i="8" s="1"/>
  <c r="G46" i="8" a="1"/>
  <c r="G46" i="8" s="1"/>
  <c r="O45" i="8" s="1" a="1"/>
  <c r="O45" i="8" s="1"/>
  <c r="G44" i="8"/>
  <c r="G39" i="8" a="1"/>
  <c r="G39" i="8" s="1"/>
  <c r="G21" i="8" a="1"/>
  <c r="G21" i="8" s="1"/>
  <c r="H15" i="8"/>
  <c r="I15" i="8" s="1"/>
  <c r="J15" i="8" s="1"/>
  <c r="K15" i="8" s="1"/>
  <c r="G14" i="8" a="1"/>
  <c r="G14" i="8" s="1"/>
  <c r="G13" i="8" a="1"/>
  <c r="G13" i="8" s="1"/>
  <c r="D9" i="8" a="1"/>
  <c r="D9" i="8" s="1"/>
  <c r="D13" i="8" s="1" a="1"/>
  <c r="D13" i="8" s="1"/>
  <c r="G5" i="8" a="1"/>
  <c r="G5" i="8" s="1"/>
  <c r="G3" i="8" a="1"/>
  <c r="G3" i="8" s="1"/>
  <c r="G22" i="7"/>
  <c r="K42" i="4" a="1"/>
  <c r="K42" i="4" s="1"/>
  <c r="L39" i="4"/>
  <c r="M39" i="4"/>
  <c r="N39" i="4"/>
  <c r="O39" i="4"/>
  <c r="K39" i="4"/>
  <c r="K36" i="4" a="1"/>
  <c r="K36" i="4" s="1"/>
  <c r="M34" i="4"/>
  <c r="N34" i="4"/>
  <c r="O34" i="4"/>
  <c r="L34" i="4"/>
  <c r="K33" i="4" a="1"/>
  <c r="K33" i="4" s="1"/>
  <c r="K32" i="4" a="1"/>
  <c r="K32" i="4" s="1"/>
  <c r="K116" i="2"/>
  <c r="J117" i="2"/>
  <c r="J82" i="2"/>
  <c r="K78" i="2"/>
  <c r="L79" i="2" l="1"/>
  <c r="M79" i="2" s="1"/>
  <c r="N79" i="2" s="1"/>
  <c r="O79" i="2" s="1"/>
  <c r="K79" i="2"/>
  <c r="J81" i="2"/>
  <c r="L78" i="2"/>
  <c r="M78" i="2" s="1"/>
  <c r="N78" i="2" s="1"/>
  <c r="O78" i="2" s="1"/>
  <c r="K80" i="2"/>
  <c r="L72" i="2"/>
  <c r="M72" i="2"/>
  <c r="N72" i="2"/>
  <c r="O72" i="2"/>
  <c r="K72" i="2"/>
  <c r="J72" i="2"/>
  <c r="L8" i="4"/>
  <c r="M8" i="4"/>
  <c r="N8" i="4" s="1"/>
  <c r="O8" i="4" s="1"/>
  <c r="P8" i="4" s="1"/>
  <c r="J9" i="4"/>
  <c r="P26" i="4"/>
  <c r="M26" i="4"/>
  <c r="N26" i="4"/>
  <c r="O26" i="4"/>
  <c r="L26" i="4"/>
  <c r="K8" i="4"/>
  <c r="J8" i="4"/>
  <c r="J7" i="4"/>
  <c r="P4" i="4"/>
  <c r="L4" i="4"/>
  <c r="M4" i="4"/>
  <c r="N4" i="4"/>
  <c r="O4" i="4"/>
  <c r="L5" i="4"/>
  <c r="M5" i="4"/>
  <c r="N5" i="4"/>
  <c r="O5" i="4"/>
  <c r="L6" i="4"/>
  <c r="M6" i="4"/>
  <c r="N6" i="4" s="1"/>
  <c r="O6" i="4" s="1"/>
  <c r="K5" i="4"/>
  <c r="K6" i="4"/>
  <c r="K4" i="4"/>
  <c r="J46" i="2"/>
  <c r="G1" i="1" a="1"/>
  <c r="G1" i="1" s="1"/>
  <c r="N7" i="7"/>
  <c r="N16" i="7"/>
  <c r="R8" i="7"/>
  <c r="R6" i="7"/>
  <c r="R5" i="7"/>
  <c r="N15" i="7"/>
  <c r="N11" i="7"/>
  <c r="G89" i="5" a="1"/>
  <c r="G89" i="5" s="1"/>
  <c r="I99" i="5" a="1"/>
  <c r="I99" i="5" s="1"/>
  <c r="G99" i="5" a="1"/>
  <c r="G99" i="5" s="1"/>
  <c r="I98" i="5"/>
  <c r="I97" i="5"/>
  <c r="G98" i="5"/>
  <c r="G97" i="5"/>
  <c r="I88" i="5" a="1"/>
  <c r="I88" i="5" s="1"/>
  <c r="I79" i="5" a="1"/>
  <c r="I79" i="5" s="1"/>
  <c r="H80" i="5" a="1"/>
  <c r="H80" i="5" s="1"/>
  <c r="H71" i="5" a="1"/>
  <c r="H71" i="5" s="1"/>
  <c r="I70" i="5" a="1"/>
  <c r="I70" i="5" s="1"/>
  <c r="H65" i="5"/>
  <c r="G100" i="5" a="1"/>
  <c r="G100" i="5" s="1"/>
  <c r="H99" i="5" l="1"/>
  <c r="H97" i="5"/>
  <c r="H98" i="5"/>
  <c r="H18" i="5"/>
  <c r="I18" i="5"/>
  <c r="J18" i="5"/>
  <c r="K18" i="5"/>
  <c r="G18" i="5"/>
  <c r="G14" i="5" a="1"/>
  <c r="G14" i="5" s="1"/>
  <c r="G3" i="5" a="1"/>
  <c r="G3" i="5" s="1"/>
  <c r="G5" i="5" a="1"/>
  <c r="G5" i="5" s="1"/>
  <c r="G4" i="5" a="1"/>
  <c r="G4" i="5" s="1"/>
  <c r="A1" i="5"/>
  <c r="H105" i="2"/>
  <c r="I105" i="2" s="1"/>
  <c r="K105" i="2" s="1"/>
  <c r="K93" i="2" a="1"/>
  <c r="K93" i="2" s="1"/>
  <c r="K89" i="2" a="1"/>
  <c r="K89" i="2" s="1"/>
  <c r="I31" i="1"/>
  <c r="J31" i="1" s="1"/>
  <c r="K31" i="1" s="1"/>
  <c r="L31" i="1" s="1"/>
  <c r="M31" i="1" s="1"/>
  <c r="N31" i="1" s="1"/>
  <c r="H31" i="1"/>
  <c r="N28" i="1"/>
  <c r="J29" i="1"/>
  <c r="K29" i="1"/>
  <c r="L29" i="1" s="1"/>
  <c r="M29" i="1" s="1"/>
  <c r="N29" i="1" s="1"/>
  <c r="L30" i="1"/>
  <c r="N30" i="1" s="1"/>
  <c r="K32" i="1"/>
  <c r="L32" i="1"/>
  <c r="M32" i="1" s="1"/>
  <c r="K43" i="2" a="1"/>
  <c r="K43" i="2" s="1"/>
  <c r="P6" i="4"/>
  <c r="P5" i="4"/>
  <c r="K2" i="4" a="1"/>
  <c r="K2" i="4" s="1"/>
  <c r="K24" i="2" a="1"/>
  <c r="K24" i="2" s="1"/>
  <c r="K2" i="2" a="1"/>
  <c r="K2" i="2" s="1"/>
  <c r="K23" i="1"/>
  <c r="K24" i="1"/>
  <c r="L80" i="2" s="1"/>
  <c r="J20" i="1"/>
  <c r="K20" i="1"/>
  <c r="L20" i="1" s="1"/>
  <c r="M20" i="1" s="1"/>
  <c r="N20" i="1" s="1"/>
  <c r="C7" i="1" a="1"/>
  <c r="C7" i="1" s="1"/>
  <c r="J11" i="1"/>
  <c r="G117" i="2"/>
  <c r="H116" i="2" s="1"/>
  <c r="F99" i="2" a="1"/>
  <c r="F99" i="2" s="1"/>
  <c r="F96" i="2" a="1"/>
  <c r="F96" i="2" s="1"/>
  <c r="G80" i="2"/>
  <c r="H24" i="1"/>
  <c r="I24" i="1" s="1"/>
  <c r="H79" i="2"/>
  <c r="I79" i="2" s="1"/>
  <c r="H78" i="2"/>
  <c r="I78" i="2" s="1"/>
  <c r="H72" i="2"/>
  <c r="I72" i="2" s="1"/>
  <c r="G18" i="4"/>
  <c r="H13" i="4"/>
  <c r="I13" i="4" s="1"/>
  <c r="K13" i="4" s="1"/>
  <c r="L13" i="4" s="1"/>
  <c r="M13" i="4" s="1"/>
  <c r="N13" i="4" s="1"/>
  <c r="O13" i="4" s="1"/>
  <c r="H14" i="4"/>
  <c r="I14" i="4" s="1"/>
  <c r="K14" i="4" s="1"/>
  <c r="L14" i="4" s="1"/>
  <c r="M14" i="4" s="1"/>
  <c r="N14" i="4" s="1"/>
  <c r="O14" i="4" s="1"/>
  <c r="H15" i="4"/>
  <c r="I15" i="4"/>
  <c r="L15" i="4" s="1"/>
  <c r="M15" i="4" s="1"/>
  <c r="N15" i="4" s="1"/>
  <c r="O15" i="4" s="1"/>
  <c r="H16" i="4"/>
  <c r="I16" i="4"/>
  <c r="L16" i="4" s="1"/>
  <c r="M16" i="4" s="1"/>
  <c r="N16" i="4" s="1"/>
  <c r="O16" i="4" s="1"/>
  <c r="I12" i="4"/>
  <c r="K12" i="4" s="1"/>
  <c r="L12" i="4" s="1"/>
  <c r="H12" i="4"/>
  <c r="H18" i="4" s="1"/>
  <c r="C12" i="4" a="1"/>
  <c r="C12" i="4" s="1"/>
  <c r="G9" i="4"/>
  <c r="H5" i="4"/>
  <c r="H9" i="4" s="1"/>
  <c r="A1" i="4"/>
  <c r="H30" i="1"/>
  <c r="I30" i="1" s="1"/>
  <c r="H57" i="2"/>
  <c r="I57" i="2" s="1"/>
  <c r="G56" i="2"/>
  <c r="G54" i="2"/>
  <c r="G53" i="2"/>
  <c r="I32" i="1"/>
  <c r="G104" i="2" s="1" a="1"/>
  <c r="H29" i="1"/>
  <c r="I29" i="1" s="1"/>
  <c r="H28" i="1"/>
  <c r="I28" i="1"/>
  <c r="H27" i="1"/>
  <c r="I27" i="1" s="1"/>
  <c r="N27" i="1" s="1"/>
  <c r="I23" i="1"/>
  <c r="H23" i="1"/>
  <c r="G39" i="2" s="1" a="1"/>
  <c r="G39" i="2" s="1"/>
  <c r="N32" i="1" l="1"/>
  <c r="K104" i="2" a="1"/>
  <c r="K104" i="2" s="1"/>
  <c r="G23" i="5" a="1"/>
  <c r="G23" i="5" s="1"/>
  <c r="L23" i="1"/>
  <c r="M23" i="1" s="1"/>
  <c r="N23" i="1" s="1"/>
  <c r="K111" i="2" a="1"/>
  <c r="K111" i="2" s="1"/>
  <c r="L24" i="1"/>
  <c r="M24" i="1" s="1"/>
  <c r="N24" i="1" s="1"/>
  <c r="M80" i="2"/>
  <c r="N80" i="2" s="1"/>
  <c r="O80" i="2" s="1"/>
  <c r="K112" i="2" a="1"/>
  <c r="K112" i="2" s="1"/>
  <c r="H109" i="2"/>
  <c r="I5" i="4"/>
  <c r="I9" i="4" s="1"/>
  <c r="I18" i="4"/>
  <c r="I8" i="5" s="1"/>
  <c r="G21" i="4"/>
  <c r="G22" i="4" s="1"/>
  <c r="J57" i="2"/>
  <c r="K57" i="2" s="1"/>
  <c r="L57" i="2" s="1"/>
  <c r="M57" i="2" s="1"/>
  <c r="N57" i="2" s="1"/>
  <c r="O57" i="2" s="1"/>
  <c r="G58" i="5"/>
  <c r="H58" i="5" s="1"/>
  <c r="N14" i="7"/>
  <c r="G9" i="7"/>
  <c r="G9" i="5"/>
  <c r="G60" i="5"/>
  <c r="H60" i="5"/>
  <c r="K106" i="2"/>
  <c r="L105" i="2"/>
  <c r="M12" i="4"/>
  <c r="J17" i="1"/>
  <c r="K17" i="1" s="1"/>
  <c r="J18" i="1"/>
  <c r="K18" i="1" s="1"/>
  <c r="K11" i="1"/>
  <c r="J13" i="1"/>
  <c r="J12" i="1"/>
  <c r="J3" i="1"/>
  <c r="G104" i="2"/>
  <c r="H106" i="2"/>
  <c r="I106" i="2"/>
  <c r="G111" i="2" a="1"/>
  <c r="G112" i="2" a="1"/>
  <c r="G112" i="2" s="1"/>
  <c r="G55" i="2"/>
  <c r="G58" i="2" s="1"/>
  <c r="G2" i="4" a="1"/>
  <c r="G2" i="4" s="1"/>
  <c r="G43" i="2" a="1"/>
  <c r="G43" i="2" s="1"/>
  <c r="G89" i="2" a="1"/>
  <c r="G89" i="2" s="1"/>
  <c r="H53" i="2"/>
  <c r="I53" i="2" s="1"/>
  <c r="H80" i="2"/>
  <c r="I80" i="2" s="1"/>
  <c r="G4" i="2" a="1"/>
  <c r="G4" i="2" s="1"/>
  <c r="G7" i="2" s="1"/>
  <c r="H21" i="1"/>
  <c r="H20" i="1"/>
  <c r="I20" i="1" s="1"/>
  <c r="G24" i="2" s="1" a="1"/>
  <c r="G2" i="2" a="1"/>
  <c r="G2" i="2" s="1"/>
  <c r="D4" i="2" a="1"/>
  <c r="D4" i="2" s="1"/>
  <c r="D10" i="2" s="1" a="1"/>
  <c r="D10" i="2" s="1"/>
  <c r="C11" i="1" a="1"/>
  <c r="C11" i="1" s="1"/>
  <c r="A1" i="2"/>
  <c r="K39" i="2" l="1" a="1"/>
  <c r="K39" i="2" s="1"/>
  <c r="N13" i="7"/>
  <c r="G57" i="5"/>
  <c r="H57" i="5" s="1"/>
  <c r="G8" i="7"/>
  <c r="G8" i="5"/>
  <c r="I109" i="2"/>
  <c r="G31" i="2" a="1"/>
  <c r="G31" i="2" s="1"/>
  <c r="H21" i="4"/>
  <c r="H22" i="4" s="1"/>
  <c r="K53" i="2"/>
  <c r="L53" i="2" s="1"/>
  <c r="M53" i="2" s="1"/>
  <c r="N53" i="2" s="1"/>
  <c r="J53" i="2"/>
  <c r="L106" i="2"/>
  <c r="M105" i="2"/>
  <c r="N12" i="4"/>
  <c r="K16" i="1"/>
  <c r="K15" i="1"/>
  <c r="L18" i="1"/>
  <c r="M18" i="1" s="1"/>
  <c r="N18" i="1" s="1"/>
  <c r="L17" i="1"/>
  <c r="M17" i="1" s="1"/>
  <c r="K12" i="1"/>
  <c r="L11" i="1"/>
  <c r="K13" i="1"/>
  <c r="J4" i="1"/>
  <c r="K3" i="1"/>
  <c r="J5" i="1"/>
  <c r="G24" i="2"/>
  <c r="H54" i="2"/>
  <c r="I21" i="1"/>
  <c r="G94" i="2" s="1" a="1"/>
  <c r="G94" i="2" s="1"/>
  <c r="G93" i="2" a="1"/>
  <c r="G93" i="2" s="1"/>
  <c r="G111" i="2"/>
  <c r="H113" i="2"/>
  <c r="I113" i="2"/>
  <c r="G10" i="2" a="1"/>
  <c r="I7" i="2"/>
  <c r="H7" i="2"/>
  <c r="J55" i="2" l="1"/>
  <c r="N105" i="2"/>
  <c r="M106" i="2"/>
  <c r="O12" i="4"/>
  <c r="O53" i="2"/>
  <c r="N17" i="1"/>
  <c r="L15" i="1"/>
  <c r="M15" i="1" s="1"/>
  <c r="L16" i="1"/>
  <c r="M16" i="1" s="1"/>
  <c r="L19" i="1"/>
  <c r="M19" i="1" s="1"/>
  <c r="M11" i="1"/>
  <c r="N11" i="1" s="1"/>
  <c r="L12" i="1"/>
  <c r="M12" i="1" s="1"/>
  <c r="N12" i="1" s="1"/>
  <c r="L13" i="1"/>
  <c r="M13" i="1" s="1"/>
  <c r="N13" i="1" s="1"/>
  <c r="L8" i="1"/>
  <c r="L7" i="1"/>
  <c r="L3" i="1" s="1"/>
  <c r="K5" i="1"/>
  <c r="I54" i="2"/>
  <c r="J54" i="2" s="1"/>
  <c r="H55" i="2"/>
  <c r="G25" i="2" a="1"/>
  <c r="G66" i="2" a="1"/>
  <c r="G47" i="2" a="1"/>
  <c r="J47" i="2" s="1"/>
  <c r="G49" i="2" a="1"/>
  <c r="G19" i="2" a="1"/>
  <c r="G10" i="2"/>
  <c r="G13" i="2" s="1"/>
  <c r="H13" i="2"/>
  <c r="I13" i="2"/>
  <c r="G49" i="2" l="1"/>
  <c r="J49" i="2"/>
  <c r="G66" i="2"/>
  <c r="J66" i="2"/>
  <c r="I55" i="2"/>
  <c r="K54" i="2"/>
  <c r="N106" i="2"/>
  <c r="O105" i="2"/>
  <c r="O106" i="2" s="1"/>
  <c r="N16" i="1"/>
  <c r="N15" i="1"/>
  <c r="N19" i="1"/>
  <c r="M8" i="1"/>
  <c r="N8" i="1" s="1"/>
  <c r="K4" i="1"/>
  <c r="L4" i="1" s="1"/>
  <c r="L9" i="1"/>
  <c r="L5" i="1" s="1"/>
  <c r="M7" i="1"/>
  <c r="N7" i="1" s="1"/>
  <c r="G25" i="2"/>
  <c r="H56" i="2"/>
  <c r="I56" i="2" s="1"/>
  <c r="G65" i="2" a="1"/>
  <c r="G47" i="2"/>
  <c r="G48" i="2" a="1"/>
  <c r="G19" i="2"/>
  <c r="G26" i="2" s="1"/>
  <c r="H26" i="2"/>
  <c r="I26" i="2"/>
  <c r="G15" i="2" a="1"/>
  <c r="G15" i="2" s="1"/>
  <c r="G48" i="2" l="1"/>
  <c r="J48" i="2"/>
  <c r="J50" i="2" s="1"/>
  <c r="I99" i="2" a="1"/>
  <c r="I99" i="2" s="1"/>
  <c r="J65" i="2"/>
  <c r="I58" i="2"/>
  <c r="L54" i="2"/>
  <c r="K55" i="2"/>
  <c r="M4" i="1"/>
  <c r="N4" i="1" s="1"/>
  <c r="M3" i="1"/>
  <c r="M9" i="1"/>
  <c r="N9" i="1" s="1"/>
  <c r="H58" i="2"/>
  <c r="I96" i="2" a="1"/>
  <c r="I96" i="2" s="1"/>
  <c r="H96" i="2" a="1"/>
  <c r="H96" i="2" s="1"/>
  <c r="G65" i="2"/>
  <c r="G16" i="2" a="1"/>
  <c r="G16" i="2" s="1"/>
  <c r="G28" i="2" a="1"/>
  <c r="G28" i="2" l="1"/>
  <c r="G3" i="7"/>
  <c r="M54" i="2"/>
  <c r="L55" i="2"/>
  <c r="N3" i="1"/>
  <c r="M5" i="1"/>
  <c r="N5" i="1" s="1"/>
  <c r="H99" i="2" a="1"/>
  <c r="H99" i="2" s="1"/>
  <c r="G29" i="2" a="1"/>
  <c r="G29" i="2" s="1"/>
  <c r="G33" i="2" a="1"/>
  <c r="G33" i="2" s="1"/>
  <c r="N54" i="2" l="1"/>
  <c r="M55" i="2"/>
  <c r="G17" i="7"/>
  <c r="P5" i="7"/>
  <c r="P6" i="7"/>
  <c r="P7" i="7"/>
  <c r="G5" i="7"/>
  <c r="K10" i="2" a="1"/>
  <c r="K4" i="2" a="1"/>
  <c r="G35" i="2" a="1"/>
  <c r="G35" i="2" s="1"/>
  <c r="G37" i="2" s="1" a="1"/>
  <c r="G37" i="2" s="1"/>
  <c r="O54" i="2" l="1"/>
  <c r="O55" i="2" s="1"/>
  <c r="N55" i="2"/>
  <c r="K10" i="2"/>
  <c r="K13" i="2" s="1"/>
  <c r="L13" i="2"/>
  <c r="M13" i="2"/>
  <c r="N13" i="2"/>
  <c r="O13" i="2"/>
  <c r="K4" i="2"/>
  <c r="K7" i="2" s="1"/>
  <c r="N7" i="2"/>
  <c r="L7" i="2"/>
  <c r="M7" i="2"/>
  <c r="O7" i="2"/>
  <c r="G40" i="2" a="1"/>
  <c r="G40" i="2" s="1"/>
  <c r="G81" i="2" s="1"/>
  <c r="G91" i="2" a="1"/>
  <c r="I101" i="2" s="1"/>
  <c r="K66" i="2" l="1" a="1"/>
  <c r="K66" i="2" s="1"/>
  <c r="K65" i="2" a="1"/>
  <c r="K49" i="2" a="1"/>
  <c r="K49" i="2" s="1"/>
  <c r="K48" i="2" a="1"/>
  <c r="K48" i="2" s="1"/>
  <c r="K19" i="2" a="1"/>
  <c r="K15" i="2" a="1"/>
  <c r="K15" i="2" s="1"/>
  <c r="K16" i="2" s="1" a="1"/>
  <c r="K16" i="2" s="1"/>
  <c r="G91" i="2"/>
  <c r="H101" i="2"/>
  <c r="H115" i="2" s="1" a="1"/>
  <c r="H115" i="2" s="1"/>
  <c r="H117" i="2" s="1"/>
  <c r="I116" i="2" s="1"/>
  <c r="H81" i="2"/>
  <c r="G82" i="2"/>
  <c r="N99" i="2" l="1" a="1"/>
  <c r="N99" i="2" s="1"/>
  <c r="O99" i="2" a="1"/>
  <c r="O99" i="2" s="1"/>
  <c r="M99" i="2" a="1"/>
  <c r="M99" i="2" s="1"/>
  <c r="N96" i="2" a="1"/>
  <c r="N96" i="2" s="1"/>
  <c r="N35" i="4" s="1"/>
  <c r="O96" i="2" a="1"/>
  <c r="O96" i="2" s="1"/>
  <c r="O35" i="4" s="1"/>
  <c r="M96" i="2" a="1"/>
  <c r="M96" i="2" s="1"/>
  <c r="M35" i="4" s="1"/>
  <c r="K65" i="2"/>
  <c r="K19" i="2"/>
  <c r="I117" i="2"/>
  <c r="I81" i="2"/>
  <c r="H82" i="2"/>
  <c r="I21" i="5" l="1"/>
  <c r="K21" i="5"/>
  <c r="J21" i="5"/>
  <c r="K99" i="2" a="1"/>
  <c r="K99" i="2" s="1"/>
  <c r="L99" i="2" a="1"/>
  <c r="L99" i="2" s="1"/>
  <c r="L96" i="2" a="1"/>
  <c r="L96" i="2" s="1"/>
  <c r="K96" i="2" a="1"/>
  <c r="K96" i="2" s="1"/>
  <c r="K35" i="4" s="1"/>
  <c r="I82" i="2"/>
  <c r="G23" i="7" s="1"/>
  <c r="G46" i="2" a="1"/>
  <c r="L35" i="4" l="1"/>
  <c r="G46" i="2"/>
  <c r="G50" i="2" s="1"/>
  <c r="N4" i="7"/>
  <c r="G11" i="7"/>
  <c r="G12" i="7" s="1"/>
  <c r="H21" i="5"/>
  <c r="G21" i="5"/>
  <c r="G10" i="5"/>
  <c r="H50" i="2"/>
  <c r="I50" i="2"/>
  <c r="G24" i="7" l="1"/>
  <c r="N12" i="7"/>
  <c r="N17" i="7" s="1"/>
  <c r="G13" i="7"/>
  <c r="P4" i="7"/>
  <c r="N8" i="7"/>
  <c r="G11" i="5"/>
  <c r="H10" i="5" s="1"/>
  <c r="G60" i="2" a="1"/>
  <c r="G60" i="2" s="1"/>
  <c r="J56" i="2" l="1"/>
  <c r="J21" i="1"/>
  <c r="J58" i="2"/>
  <c r="J60" i="2" s="1"/>
  <c r="O7" i="7"/>
  <c r="O5" i="7"/>
  <c r="O6" i="7"/>
  <c r="O4" i="7"/>
  <c r="N18" i="7"/>
  <c r="H8" i="5"/>
  <c r="H9" i="5"/>
  <c r="K21" i="1" l="1"/>
  <c r="L21" i="1" s="1"/>
  <c r="M21" i="1" s="1"/>
  <c r="N21" i="1" s="1"/>
  <c r="K25" i="2" a="1"/>
  <c r="K94" i="2" a="1"/>
  <c r="K94" i="2" s="1"/>
  <c r="G16" i="5" a="1"/>
  <c r="G16" i="5" s="1"/>
  <c r="G20" i="5" s="1" a="1"/>
  <c r="G20" i="5" s="1"/>
  <c r="G12" i="5"/>
  <c r="K25" i="2" l="1"/>
  <c r="O26" i="2"/>
  <c r="M26" i="2"/>
  <c r="L26" i="2"/>
  <c r="N26" i="2"/>
  <c r="G25" i="5"/>
  <c r="H25" i="5"/>
  <c r="I25" i="5"/>
  <c r="J25" i="5"/>
  <c r="K25" i="5"/>
  <c r="K26" i="2" l="1"/>
  <c r="K28" i="2" s="1" a="1"/>
  <c r="K28" i="2" s="1"/>
  <c r="K56" i="2"/>
  <c r="G17" i="5" l="1" a="1"/>
  <c r="G17" i="5" s="1"/>
  <c r="K29" i="2" a="1"/>
  <c r="K29" i="2" s="1"/>
  <c r="K58" i="2"/>
  <c r="L56" i="2"/>
  <c r="L58" i="2" l="1"/>
  <c r="M56" i="2"/>
  <c r="G15" i="5" a="1"/>
  <c r="G19" i="5" a="1"/>
  <c r="H93" i="5" l="1"/>
  <c r="H92" i="5"/>
  <c r="G15" i="5"/>
  <c r="H89" i="5"/>
  <c r="H90" i="5"/>
  <c r="G44" i="5"/>
  <c r="G46" i="5" s="1"/>
  <c r="G48" i="5" s="1"/>
  <c r="H91" i="5"/>
  <c r="G19" i="5"/>
  <c r="G22" i="5" s="1"/>
  <c r="J22" i="5"/>
  <c r="K22" i="5"/>
  <c r="I22" i="5"/>
  <c r="H22" i="5"/>
  <c r="N56" i="2"/>
  <c r="M58" i="2"/>
  <c r="O56" i="2" l="1"/>
  <c r="O58" i="2" s="1"/>
  <c r="N58" i="2"/>
  <c r="G24" i="5" a="1"/>
  <c r="G24" i="5" l="1"/>
  <c r="G32" i="5"/>
  <c r="G34" i="5" s="1"/>
  <c r="G35" i="5" s="1"/>
  <c r="G37" i="5" s="1"/>
  <c r="G51" i="5"/>
  <c r="G26" i="5" l="1" a="1"/>
  <c r="G26" i="5" s="1"/>
  <c r="G28" i="5" s="1"/>
  <c r="G49" i="5" s="1"/>
  <c r="G50" i="5" s="1"/>
  <c r="H56" i="5" s="1"/>
  <c r="H59" i="5" s="1"/>
  <c r="H61" i="5" s="1"/>
  <c r="G22" i="8" a="1"/>
  <c r="G38" i="5" l="1"/>
  <c r="G39" i="5" s="1"/>
  <c r="G56" i="5" s="1"/>
  <c r="G59" i="5" s="1"/>
  <c r="G61" i="5" s="1"/>
  <c r="G22" i="8"/>
  <c r="H53" i="8" s="1" a="1"/>
  <c r="H53" i="8" s="1"/>
  <c r="R46" i="8"/>
  <c r="R47" i="8"/>
  <c r="S48" i="8"/>
  <c r="R49" i="8"/>
  <c r="T49" i="8"/>
  <c r="Q48" i="8"/>
  <c r="S46" i="8"/>
  <c r="T46" i="8"/>
  <c r="S47" i="8"/>
  <c r="T47" i="8"/>
  <c r="R48" i="8"/>
  <c r="T48" i="8"/>
  <c r="S49" i="8"/>
  <c r="Q47" i="8"/>
  <c r="Q49" i="8"/>
  <c r="Q46" i="8"/>
  <c r="H39" i="8" a="1"/>
  <c r="H39" i="8" s="1"/>
  <c r="H88" i="5"/>
  <c r="H62" i="5"/>
  <c r="H79" i="5"/>
  <c r="G40" i="5" l="1"/>
  <c r="H70" i="5"/>
  <c r="G62" i="5"/>
  <c r="G66" i="5"/>
  <c r="K115" i="2" l="1"/>
  <c r="M113" i="2"/>
  <c r="M109" i="2"/>
  <c r="L44" i="4"/>
  <c r="L43" i="4"/>
  <c r="L41" i="4"/>
  <c r="G73" i="2"/>
  <c r="K86" i="2"/>
  <c r="K86" i="2" a="1"/>
  <c r="K60" i="2"/>
  <c r="K60" i="2" a="1"/>
  <c r="K50" i="2"/>
  <c r="L82" i="2"/>
  <c r="K71" i="2"/>
  <c r="M41" i="4"/>
  <c r="M43" i="4"/>
  <c r="M44" i="4"/>
  <c r="K40" i="8"/>
  <c r="U47" i="8"/>
  <c r="I47" i="8"/>
  <c r="K35" i="2"/>
  <c r="K35" i="2" a="1"/>
  <c r="J22" i="4"/>
  <c r="J71" i="2"/>
  <c r="J73" i="2"/>
  <c r="G10" i="8"/>
  <c r="G10" i="8" a="1"/>
  <c r="G7" i="8"/>
  <c r="L113" i="2"/>
  <c r="L109" i="2"/>
  <c r="K75" i="2"/>
  <c r="P9" i="4"/>
  <c r="P7" i="4"/>
  <c r="O117" i="2"/>
  <c r="O116" i="2"/>
  <c r="N117" i="2"/>
  <c r="N116" i="2"/>
  <c r="M117" i="2"/>
  <c r="M116" i="2"/>
  <c r="L117" i="2"/>
  <c r="N44" i="4"/>
  <c r="N43" i="4"/>
  <c r="N41" i="4"/>
  <c r="K73" i="2"/>
  <c r="O113" i="2"/>
  <c r="O109" i="2"/>
  <c r="K40" i="4"/>
  <c r="K40" i="4" a="1"/>
  <c r="K37" i="4"/>
  <c r="I48" i="8"/>
  <c r="U48" i="8"/>
  <c r="K41" i="8"/>
  <c r="J42" i="8"/>
  <c r="J39" i="8"/>
  <c r="J40" i="8"/>
  <c r="J41" i="8"/>
  <c r="G75" i="2"/>
  <c r="G84" i="2"/>
  <c r="H59" i="8"/>
  <c r="H59" i="8" a="1"/>
  <c r="H44" i="8"/>
  <c r="H48" i="8"/>
  <c r="H46" i="8"/>
  <c r="H47" i="8"/>
  <c r="K16" i="8"/>
  <c r="H49" i="8"/>
  <c r="M82" i="2"/>
  <c r="K40" i="2"/>
  <c r="K37" i="2"/>
  <c r="H19" i="8"/>
  <c r="K19" i="8"/>
  <c r="J19" i="8"/>
  <c r="I19" i="8"/>
  <c r="G34" i="8"/>
  <c r="O18" i="4"/>
  <c r="G18" i="8"/>
  <c r="O22" i="4"/>
  <c r="O7" i="4"/>
  <c r="O9" i="4"/>
  <c r="O21" i="4"/>
  <c r="K33" i="2"/>
  <c r="G11" i="8"/>
  <c r="G11" i="8" a="1"/>
  <c r="G6" i="8"/>
  <c r="K82" i="2"/>
  <c r="G6" i="8" a="1"/>
  <c r="G86" i="2"/>
  <c r="G68" i="2"/>
  <c r="G75" i="2" a="1"/>
  <c r="G84" i="2" a="1"/>
  <c r="G86" i="2" a="1"/>
  <c r="N113" i="2"/>
  <c r="N109" i="2"/>
  <c r="L18" i="4"/>
  <c r="L68" i="2"/>
  <c r="N68" i="2"/>
  <c r="M68" i="2"/>
  <c r="K67" i="2"/>
  <c r="O68" i="2"/>
  <c r="L22" i="4"/>
  <c r="L9" i="4"/>
  <c r="L21" i="4"/>
  <c r="G67" i="2"/>
  <c r="I68" i="2"/>
  <c r="G67" i="2" a="1"/>
  <c r="H68" i="2"/>
  <c r="G71" i="2"/>
  <c r="I73" i="2"/>
  <c r="I21" i="4"/>
  <c r="I22" i="4"/>
  <c r="G71" i="2" a="1"/>
  <c r="H73" i="2"/>
  <c r="M18" i="4"/>
  <c r="K31" i="2"/>
  <c r="K31" i="2" a="1"/>
  <c r="H58" i="8"/>
  <c r="M37" i="4"/>
  <c r="K27" i="4"/>
  <c r="L37" i="4"/>
  <c r="O37" i="4"/>
  <c r="N37" i="4"/>
  <c r="G35" i="8"/>
  <c r="G16" i="8"/>
  <c r="G18" i="8" a="1"/>
  <c r="G19" i="8"/>
  <c r="G34" i="8" a="1"/>
  <c r="G35" i="8" a="1"/>
  <c r="O41" i="4"/>
  <c r="O43" i="4"/>
  <c r="O44" i="4"/>
  <c r="N22" i="4"/>
  <c r="N9" i="4"/>
  <c r="N21" i="4"/>
  <c r="K38" i="4"/>
  <c r="K30" i="4"/>
  <c r="K30" i="4" a="1"/>
  <c r="N82" i="2"/>
  <c r="K84" i="2"/>
  <c r="K21" i="4"/>
  <c r="K67" i="2" a="1"/>
  <c r="K68" i="2"/>
  <c r="K75" i="2" a="1"/>
  <c r="K84" i="2" a="1"/>
  <c r="K101" i="2"/>
  <c r="J21" i="4"/>
  <c r="J67" i="2"/>
  <c r="J68" i="2"/>
  <c r="J75" i="2"/>
  <c r="J84" i="2"/>
  <c r="J86" i="2"/>
  <c r="I46" i="8"/>
  <c r="U46" i="8"/>
  <c r="L39" i="8"/>
  <c r="K39" i="8"/>
  <c r="L39" i="8" a="1"/>
  <c r="G9" i="8"/>
  <c r="G9" i="8" a="1"/>
  <c r="G4" i="8"/>
  <c r="H7" i="8"/>
  <c r="J7" i="8"/>
  <c r="K7" i="8"/>
  <c r="G4" i="8" a="1"/>
  <c r="I7" i="8"/>
  <c r="N7" i="4"/>
  <c r="N18" i="4"/>
  <c r="M22" i="4"/>
  <c r="L7" i="4"/>
  <c r="M7" i="4"/>
  <c r="M9" i="4"/>
  <c r="M21" i="4"/>
  <c r="H70" i="8"/>
  <c r="H70" i="8" a="1"/>
  <c r="H60" i="8"/>
  <c r="H65" i="8"/>
  <c r="H58" i="8" a="1"/>
  <c r="H60" i="8" a="1"/>
  <c r="H65" i="8" a="1"/>
  <c r="O101" i="2"/>
  <c r="M101" i="2"/>
  <c r="L101" i="2"/>
  <c r="K91" i="2"/>
  <c r="K91" i="2" a="1"/>
  <c r="N101" i="2"/>
  <c r="J16" i="8"/>
  <c r="I16" i="8"/>
  <c r="H16" i="8"/>
  <c r="N50" i="2"/>
  <c r="M50" i="2"/>
  <c r="K46" i="2"/>
  <c r="L50" i="2"/>
  <c r="O50" i="2"/>
  <c r="K18" i="4"/>
  <c r="K33" i="2" a="1"/>
  <c r="K37" i="2" a="1"/>
  <c r="K40" i="2" a="1"/>
  <c r="K81" i="2"/>
  <c r="L81" i="2"/>
  <c r="M81" i="2"/>
  <c r="N81" i="2"/>
  <c r="O81" i="2"/>
  <c r="O82" i="2"/>
  <c r="K46" i="2" a="1"/>
  <c r="I39" i="8"/>
  <c r="I40" i="8"/>
  <c r="I41" i="8"/>
  <c r="I42" i="8"/>
  <c r="K42" i="8"/>
  <c r="U49" i="8"/>
  <c r="I49" i="8"/>
  <c r="M73" i="2"/>
  <c r="O73" i="2"/>
  <c r="L73" i="2"/>
  <c r="K109" i="2"/>
  <c r="K113" i="2"/>
  <c r="K115" i="2" a="1"/>
  <c r="K117" i="2"/>
  <c r="L116" i="2"/>
  <c r="K38" i="4" a="1"/>
  <c r="K41" i="4"/>
  <c r="K43" i="4"/>
  <c r="K44" i="4"/>
  <c r="K27" i="4" a="1"/>
  <c r="K7" i="4"/>
  <c r="K9" i="4"/>
  <c r="K22" i="4"/>
  <c r="K71" i="2" a="1"/>
  <c r="N7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<sst xmlns="http://schemas.openxmlformats.org/spreadsheetml/2006/main" count="320" uniqueCount="255">
  <si>
    <t>Legends Inc.</t>
  </si>
  <si>
    <t>Revenues</t>
  </si>
  <si>
    <t>Foot Solutions</t>
  </si>
  <si>
    <t>Greeting Fulfillments</t>
  </si>
  <si>
    <t>Legendwear</t>
  </si>
  <si>
    <t>Cost of Goods Sold</t>
  </si>
  <si>
    <t>Income Statement</t>
  </si>
  <si>
    <t>Total Revenues</t>
  </si>
  <si>
    <t>Total Cost of Goods Sold</t>
  </si>
  <si>
    <t>Gross Margin</t>
  </si>
  <si>
    <t>% Revenues</t>
  </si>
  <si>
    <t>Selling, General and Administrative Expenses (SG&amp;A)(aka Operating Expenses)</t>
  </si>
  <si>
    <t>Rent</t>
  </si>
  <si>
    <t>Phone</t>
  </si>
  <si>
    <t>Advertising</t>
  </si>
  <si>
    <t>Salaries</t>
  </si>
  <si>
    <t>Depreciation Expense</t>
  </si>
  <si>
    <t>Amortization Expense</t>
  </si>
  <si>
    <t>Utilities</t>
  </si>
  <si>
    <t>Operating Expenses (aka fixed costs)</t>
  </si>
  <si>
    <t>Total SG&amp;A Expenses</t>
  </si>
  <si>
    <t>Interest Expense</t>
  </si>
  <si>
    <t>Earnings Before Interest and Taxes (EBIT)</t>
  </si>
  <si>
    <t>Earnings Before Taxes (EBT)</t>
  </si>
  <si>
    <t>Tax Rate</t>
  </si>
  <si>
    <t>Income Tax Expense</t>
  </si>
  <si>
    <t>Net Income</t>
  </si>
  <si>
    <t>Cash Dividends</t>
  </si>
  <si>
    <t>Less: Cash Dividends</t>
  </si>
  <si>
    <t>Change in Retained Earnings</t>
  </si>
  <si>
    <t>Balance Sheet</t>
  </si>
  <si>
    <t>Assets</t>
  </si>
  <si>
    <t>Cash</t>
  </si>
  <si>
    <t>Accounts Receivable</t>
  </si>
  <si>
    <t>Working Capital</t>
  </si>
  <si>
    <t>Accounts Receivable (days of Sales)</t>
  </si>
  <si>
    <t>Inventory</t>
  </si>
  <si>
    <t>Inventory (days of COGS)</t>
  </si>
  <si>
    <t>Prepaid Expenses</t>
  </si>
  <si>
    <t>Short Term Assets</t>
  </si>
  <si>
    <t>Total Short Term Assets</t>
  </si>
  <si>
    <t>Long Term Assets</t>
  </si>
  <si>
    <t>Gross Property, Plant &amp; Equipment</t>
  </si>
  <si>
    <t>Capital Expenditure (CAPEX)</t>
  </si>
  <si>
    <t>Starting Gross PP&amp;E</t>
  </si>
  <si>
    <t>Starting Accumulated Depreciation</t>
  </si>
  <si>
    <t>less: Accumulated Depreciation</t>
  </si>
  <si>
    <t>Net PP&amp;E</t>
  </si>
  <si>
    <t>Goodwill</t>
  </si>
  <si>
    <t>Starting.Goodwill</t>
  </si>
  <si>
    <t>Intellectual Property (IP)</t>
  </si>
  <si>
    <t>Total Long Term Assets</t>
  </si>
  <si>
    <t>Total Assets</t>
  </si>
  <si>
    <t>Capital (Liabilities and Shareholder Equity)</t>
  </si>
  <si>
    <t>Liabilities</t>
  </si>
  <si>
    <t>Short Term Liabilities</t>
  </si>
  <si>
    <t>Accounts Payable</t>
  </si>
  <si>
    <t>Accrued Liabilities</t>
  </si>
  <si>
    <t>Accounts Payable (days COGS)</t>
  </si>
  <si>
    <t>Short Term Portion of LT Debt</t>
  </si>
  <si>
    <t>Debt</t>
  </si>
  <si>
    <t>Huntington</t>
  </si>
  <si>
    <t>PNC</t>
  </si>
  <si>
    <t>Keybank</t>
  </si>
  <si>
    <t>Total Debt</t>
  </si>
  <si>
    <t>Interest Rate</t>
  </si>
  <si>
    <t>Calculate Current Portion of Long Term Debt</t>
  </si>
  <si>
    <t>Current Portion</t>
  </si>
  <si>
    <t>Long Term Debt</t>
  </si>
  <si>
    <t>Total Short Term Liabilities</t>
  </si>
  <si>
    <t>Long Term Liabilities</t>
  </si>
  <si>
    <t>Capitalized Leases</t>
  </si>
  <si>
    <t>Total Long Term Liabilities</t>
  </si>
  <si>
    <t>Total Liabililities</t>
  </si>
  <si>
    <t>Shareholder Equity</t>
  </si>
  <si>
    <t>Preferred Stock</t>
  </si>
  <si>
    <t>Common Stock</t>
  </si>
  <si>
    <t>Treasury Stock</t>
  </si>
  <si>
    <t>Stock Buybacks</t>
  </si>
  <si>
    <t>Retained Earnings</t>
  </si>
  <si>
    <t>Total Shareholders Equity</t>
  </si>
  <si>
    <t>Total Liabilities &amp; Equity</t>
  </si>
  <si>
    <t>Checksum</t>
  </si>
  <si>
    <t>Statement of Changes in Cash</t>
  </si>
  <si>
    <t>Cash from Operations</t>
  </si>
  <si>
    <t>Add Back Non Cash Items</t>
  </si>
  <si>
    <t>Change in Working Capital</t>
  </si>
  <si>
    <t>Total Cash from Operations</t>
  </si>
  <si>
    <t>Cash from Investment</t>
  </si>
  <si>
    <t>CAPEX</t>
  </si>
  <si>
    <t>Loss/Gain on Disposal of Assets</t>
  </si>
  <si>
    <t>Total Cash from Investment</t>
  </si>
  <si>
    <t>Cash from Financing</t>
  </si>
  <si>
    <t>Borrowing/(repayment) of debt</t>
  </si>
  <si>
    <t>Issuance of Shares</t>
  </si>
  <si>
    <t>Cash Dividend</t>
  </si>
  <si>
    <t>Total Cash From Financing</t>
  </si>
  <si>
    <t>Net Change in Cash</t>
  </si>
  <si>
    <t>Starting Cash</t>
  </si>
  <si>
    <t>Starting Cash Balance</t>
  </si>
  <si>
    <t>Ending Cash Balance</t>
  </si>
  <si>
    <t>% Change</t>
  </si>
  <si>
    <t>General Assumptions</t>
  </si>
  <si>
    <t>Share Price @ Last Close</t>
  </si>
  <si>
    <t>Shares Outstanding (mm's)</t>
  </si>
  <si>
    <t>Market Capitaliztion ($mm's)</t>
  </si>
  <si>
    <t>Weighted Averaged Cost of Capital (WACC)</t>
  </si>
  <si>
    <t>Common Stock (aka Equity)</t>
  </si>
  <si>
    <t>Amount</t>
  </si>
  <si>
    <t>Weight</t>
  </si>
  <si>
    <t>Cost</t>
  </si>
  <si>
    <t>DCF.Debt</t>
  </si>
  <si>
    <t>WACC</t>
  </si>
  <si>
    <t>Free Cash Flow Buildup</t>
  </si>
  <si>
    <t>EBITDA</t>
  </si>
  <si>
    <t>Less: Depreciation and Amortization</t>
  </si>
  <si>
    <t>EBIT</t>
  </si>
  <si>
    <t>tax rate</t>
  </si>
  <si>
    <t>EBIAT (NOPAT - Net Op Profit After Tax)</t>
  </si>
  <si>
    <t>Add back: Depr &amp; Amort</t>
  </si>
  <si>
    <t>Working Capital Change</t>
  </si>
  <si>
    <t>Unlevered Cash From Operations</t>
  </si>
  <si>
    <t>Less: CAPEX</t>
  </si>
  <si>
    <t>Unlevered Free Cash Flow</t>
  </si>
  <si>
    <t>years</t>
  </si>
  <si>
    <t>Discount Factor</t>
  </si>
  <si>
    <t>Discounted Free Cash Flow</t>
  </si>
  <si>
    <t>Net Present Value of the DCF</t>
  </si>
  <si>
    <t>Enterprise Valuations</t>
  </si>
  <si>
    <t>Perpetuity Approach</t>
  </si>
  <si>
    <t>Unlevered FCF Year 5</t>
  </si>
  <si>
    <t>Long Term Growth Rate</t>
  </si>
  <si>
    <t>Forecast Year 6 FCF</t>
  </si>
  <si>
    <t>Terminal Value</t>
  </si>
  <si>
    <t>NPV Calculation</t>
  </si>
  <si>
    <t>PV of the Terminal Value</t>
  </si>
  <si>
    <t>PV of the Free Cash Flows</t>
  </si>
  <si>
    <t>Total Enterprise Value</t>
  </si>
  <si>
    <t>Implied Term Value Exit Multiplier</t>
  </si>
  <si>
    <t>Exit EBITDA Multiple Approach</t>
  </si>
  <si>
    <t>Terminal Value Calculation</t>
  </si>
  <si>
    <t>EBITDA Year 5</t>
  </si>
  <si>
    <t>Expected Exit Multiplier</t>
  </si>
  <si>
    <t>Enterprise Value Calculation</t>
  </si>
  <si>
    <t>Implied Term Value Perpetual Growth Rate</t>
  </si>
  <si>
    <t>Fair Value Per Share</t>
  </si>
  <si>
    <t>Approach</t>
  </si>
  <si>
    <t>Perpetuity</t>
  </si>
  <si>
    <t>Multiple</t>
  </si>
  <si>
    <t>Valuation</t>
  </si>
  <si>
    <t>Enterprise Value</t>
  </si>
  <si>
    <t>Less: Debt</t>
  </si>
  <si>
    <t>Less: Pref Shares</t>
  </si>
  <si>
    <t>Net Residual Value (aka Net Equity Value)</t>
  </si>
  <si>
    <t>Diluted Shares</t>
  </si>
  <si>
    <t>Equity Value Per Share</t>
  </si>
  <si>
    <t>Market Premium (Discount) per Share</t>
  </si>
  <si>
    <t>Golden Flash Hybrid Top-Down, Bottom-Up Valuation Model</t>
  </si>
  <si>
    <t>Weights Based on Reduced Form Integration</t>
  </si>
  <si>
    <t>GFHTDBUVM Value</t>
  </si>
  <si>
    <t>Long-Term Growth Rate</t>
  </si>
  <si>
    <t>EBITDA Multiple</t>
  </si>
  <si>
    <t>EBITDA % of Forecast</t>
  </si>
  <si>
    <t>Table.Perpetuity</t>
  </si>
  <si>
    <t>Table.Multiplier</t>
  </si>
  <si>
    <t>Football Field Calculations</t>
  </si>
  <si>
    <t>Low</t>
  </si>
  <si>
    <t>Difference</t>
  </si>
  <si>
    <t>High</t>
  </si>
  <si>
    <t>DCF Value 8X - 12X Multiplier</t>
  </si>
  <si>
    <t>DCF Value 2%-6% Growth Rate</t>
  </si>
  <si>
    <t>52 Week Market High/Low</t>
  </si>
  <si>
    <t>Transaction Summary</t>
  </si>
  <si>
    <t>Capitalization</t>
  </si>
  <si>
    <t>Less</t>
  </si>
  <si>
    <t>Add</t>
  </si>
  <si>
    <t>Offer Per Share</t>
  </si>
  <si>
    <t>Net Offer Value to Shareholders</t>
  </si>
  <si>
    <t>Other Assumptions</t>
  </si>
  <si>
    <t>Revolver EBITDA Borrowing Base Multiplier</t>
  </si>
  <si>
    <t>Revolver Availability @ Close</t>
  </si>
  <si>
    <t>Minimum Cash Balance</t>
  </si>
  <si>
    <t>Fee: Mergers and Acquisitions Fee</t>
  </si>
  <si>
    <t>Goodwill Calculation</t>
  </si>
  <si>
    <t>Purchase of Equity</t>
  </si>
  <si>
    <t>Less: Book Value of Assets</t>
  </si>
  <si>
    <t>Sources and Uses of Cash</t>
  </si>
  <si>
    <t>Sources</t>
  </si>
  <si>
    <t>Balance Sheet Cash</t>
  </si>
  <si>
    <t>Revolver</t>
  </si>
  <si>
    <t>Subordinated Debt</t>
  </si>
  <si>
    <t>Sponsor Equity (Gecko Fund)</t>
  </si>
  <si>
    <t>Total Sources</t>
  </si>
  <si>
    <t>Uses</t>
  </si>
  <si>
    <t>Retire Debt</t>
  </si>
  <si>
    <t>Retire Pref Stock</t>
  </si>
  <si>
    <t>M&amp;A Fee</t>
  </si>
  <si>
    <t>Debt Placement Fee</t>
  </si>
  <si>
    <t>Total Uses</t>
  </si>
  <si>
    <t>$</t>
  </si>
  <si>
    <t>%</t>
  </si>
  <si>
    <t>xEBITDA</t>
  </si>
  <si>
    <t>Fee%</t>
  </si>
  <si>
    <t>Fee$</t>
  </si>
  <si>
    <t>LBO</t>
  </si>
  <si>
    <t>LBO Revolver</t>
  </si>
  <si>
    <t>Revolver Paydown</t>
  </si>
  <si>
    <t>Paydown Amounts</t>
  </si>
  <si>
    <t xml:space="preserve">Mandatory </t>
  </si>
  <si>
    <t>Variable</t>
  </si>
  <si>
    <t>Revolver Discretionary Paydown Calculation</t>
  </si>
  <si>
    <t>Levered Free Cash Flow</t>
  </si>
  <si>
    <t>Net income</t>
  </si>
  <si>
    <t>Add Back:</t>
  </si>
  <si>
    <t>Depreciation</t>
  </si>
  <si>
    <t>Amortization</t>
  </si>
  <si>
    <t>Non-Cash Interest (aka: PIK)</t>
  </si>
  <si>
    <t>Change In Working Capital</t>
  </si>
  <si>
    <t>Net Levered Free Cash Flow</t>
  </si>
  <si>
    <t>Beginning Cash Balance</t>
  </si>
  <si>
    <t>Less: Minimum Cash Balance</t>
  </si>
  <si>
    <t>Plus: Levered Free Cash Flow</t>
  </si>
  <si>
    <t>LFCF Before Scheduled Paydown</t>
  </si>
  <si>
    <t>Less: Scheduled Revolver Paydown</t>
  </si>
  <si>
    <t>LFCF After Paydown</t>
  </si>
  <si>
    <t>Less: Variable Paydown (% of LFCF)</t>
  </si>
  <si>
    <t>LBO Returns Calculation</t>
  </si>
  <si>
    <t>Weighted Average Cost of Capital (WACC) Post LBO</t>
  </si>
  <si>
    <t xml:space="preserve">Capital </t>
  </si>
  <si>
    <t>Equity</t>
  </si>
  <si>
    <t>Total Capital</t>
  </si>
  <si>
    <t>Weights</t>
  </si>
  <si>
    <t>After-Tax Costs Of Capital</t>
  </si>
  <si>
    <t>Discount Factors</t>
  </si>
  <si>
    <t>1-Year Factors</t>
  </si>
  <si>
    <t>Multi-Year Discount</t>
  </si>
  <si>
    <t>Discounted Unlevered FCF From Operations</t>
  </si>
  <si>
    <t>Equity Calculations</t>
  </si>
  <si>
    <t>Exit Multiplier</t>
  </si>
  <si>
    <t>Terminal Enterprise Value</t>
  </si>
  <si>
    <t>Plus: Terminal Cash</t>
  </si>
  <si>
    <t>Less: Terminal Debt</t>
  </si>
  <si>
    <t>Terminal Equity Value</t>
  </si>
  <si>
    <t>PV TEV</t>
  </si>
  <si>
    <t>Gecko's Performance</t>
  </si>
  <si>
    <t>Gecko's Equity Investment @ LBO</t>
  </si>
  <si>
    <t>NPV</t>
  </si>
  <si>
    <t>IRR</t>
  </si>
  <si>
    <t>Enterprise Value Scenarios Over Time</t>
  </si>
  <si>
    <t>Enterprise Value Exit Scenarios</t>
  </si>
  <si>
    <t>Adjustments:</t>
  </si>
  <si>
    <t>Plus: Cash</t>
  </si>
  <si>
    <t>Net Equity Value</t>
  </si>
  <si>
    <t>Annualized Returns for Gecko</t>
  </si>
  <si>
    <t>Cash on Cash Returns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</si>
</sst>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0&quot;H&quot;"/>
    <numFmt numFmtId="165" formatCode="_(* #,##0_);_(* \(#,##0\);_(* &quot;-&quot;??_);_(@_)"/>
    <numFmt numFmtId="166" formatCode="0.0%"/>
    <numFmt numFmtId="167" formatCode="_(&quot;$&quot;* #,##0_);_(&quot;$&quot;* \(#,##0\);_(&quot;$&quot;* &quot;-&quot;??_);_(@_)"/>
    <numFmt numFmtId="168" formatCode="0&quot;F&quot;"/>
    <numFmt numFmtId="169" formatCode="_([$$-409]* #,##0.00_);_([$$-409]* \(#,##0.00\);_([$$-409]* &quot;-&quot;??_);_(@_)"/>
    <numFmt numFmtId="170" formatCode="_([$$-409]* #,##0_);_([$$-409]* \(#,##0\);_([$$-409]* &quot;-&quot;_);_(@_)"/>
    <numFmt numFmtId="171" formatCode="0.0&quot;X&quot;"/>
    <numFmt numFmtId="172" formatCode="0&quot;mm&quot;"/>
    <numFmt numFmtId="173" formatCode="0.0&quot;x&quot;"/>
    <numFmt numFmtId="174" formatCode="&quot;Year&quot;\ 0"/>
  </numFmts>
  <fonts count="10" x14ac:knownFonts="1">
    <font>
      <sz val="11"/>
      <color theme="1"/>
      <name val="Calibri"/>
      <family val="2"/>
      <scheme val="minor"/>
    </font>
    <font>
      <sz val="11"/>
      <color theme="1"/>
      <name val="Calibri"/>
      <family val="2"/>
      <scheme val="minor"/>
    </font>
    <font>
      <sz val="18"/>
      <color theme="3"/>
      <name val="Calibri Light"/>
      <family val="2"/>
      <scheme val="major"/>
    </font>
    <font>
      <i/>
      <sz val="10"/>
      <color theme="1"/>
      <name val="Calibri"/>
      <family val="2"/>
      <scheme val="minor"/>
    </font>
    <font>
      <b/>
      <sz val="11"/>
      <color theme="1"/>
      <name val="Calibri"/>
      <family val="2"/>
      <scheme val="minor"/>
    </font>
    <font>
      <sz val="20"/>
      <color theme="1"/>
      <name val="Calibri"/>
      <family val="2"/>
      <scheme val="minor"/>
    </font>
    <font>
      <sz val="18"/>
      <color theme="3" tint="-0.24994659260841701"/>
      <name val="Calibri"/>
      <family val="2"/>
      <scheme val="minor"/>
    </font>
    <font>
      <sz val="11"/>
      <name val="Calibri"/>
      <family val="2"/>
      <scheme val="minor"/>
    </font>
    <font>
      <sz val="10"/>
      <color theme="1"/>
      <name val="Calibri"/>
      <family val="2"/>
      <scheme val="minor"/>
    </font>
    <font>
      <sz val="9"/>
      <color theme="1"/>
      <name val="Calibri"/>
      <family val="2"/>
      <scheme val="minor"/>
    </font>
  </fonts>
  <fills count="25">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1"/>
        <bgColor indexed="64"/>
      </patternFill>
    </fill>
    <fill>
      <patternFill patternType="solid">
        <fgColor rgb="FFE1D8FC"/>
        <bgColor indexed="64"/>
      </patternFill>
    </fill>
    <fill>
      <patternFill patternType="solid">
        <fgColor rgb="FFF0ECFE"/>
        <bgColor indexed="64"/>
      </patternFill>
    </fill>
    <fill>
      <patternFill patternType="solid">
        <fgColor theme="9" tint="-0.249977111117893"/>
        <bgColor indexed="64"/>
      </patternFill>
    </fill>
    <fill>
      <patternFill patternType="solid">
        <fgColor rgb="FFFDA087"/>
        <bgColor indexed="64"/>
      </patternFill>
    </fill>
    <fill>
      <patternFill patternType="solid">
        <fgColor rgb="FFF9CFCB"/>
        <bgColor indexed="64"/>
      </patternFill>
    </fill>
    <fill>
      <patternFill patternType="solid">
        <fgColor rgb="FFFFB7FF"/>
        <bgColor indexed="64"/>
      </patternFill>
    </fill>
    <fill>
      <patternFill patternType="solid">
        <fgColor rgb="FFFFE7FF"/>
        <bgColor indexed="64"/>
      </patternFill>
    </fill>
  </fills>
  <borders count="28">
    <border>
      <left/>
      <right/>
      <top/>
      <bottom/>
      <diagonal/>
    </border>
    <border>
      <left/>
      <right/>
      <top style="thin">
        <color indexed="64"/>
      </top>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style="medium">
        <color indexed="64"/>
      </right>
      <top style="thin">
        <color indexed="64"/>
      </top>
      <bottom style="double">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top style="medium">
        <color indexed="64"/>
      </top>
      <bottom/>
      <diagonal/>
    </border>
    <border>
      <left/>
      <right style="medium">
        <color indexed="64"/>
      </right>
      <top style="medium">
        <color indexed="64"/>
      </top>
      <bottom/>
      <diagonal/>
    </border>
  </borders>
  <cellStyleXfs count="10">
    <xf numFmtId="0" fontId="0" fillId="0" borderId="0"/>
    <xf numFmtId="0" fontId="2" fillId="0" borderId="0" applyNumberFormat="0" applyFill="0" applyBorder="0" applyAlignment="0" applyProtection="0"/>
    <xf numFmtId="164" fontId="1" fillId="2"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168" fontId="1" fillId="6" borderId="0"/>
    <xf numFmtId="0" fontId="6" fillId="0" borderId="0"/>
    <xf numFmtId="173" fontId="1" fillId="0" borderId="0"/>
    <xf numFmtId="174" fontId="1" fillId="0" borderId="0"/>
  </cellStyleXfs>
  <cellXfs count="221">
    <xf numFmtId="0" fontId="0" fillId="0" borderId="0" xfId="0"/>
    <xf numFmtId="164" fontId="0" fillId="2" borderId="0" xfId="0" applyNumberFormat="1" applyFill="1"/>
    <xf numFmtId="0" fontId="2" fillId="0" borderId="0" xfId="1"/>
    <xf numFmtId="165" fontId="0" fillId="0" borderId="0" xfId="3" applyNumberFormat="1" applyFont="1"/>
    <xf numFmtId="9" fontId="0" fillId="0" borderId="0" xfId="4" applyFont="1"/>
    <xf numFmtId="164" fontId="1" fillId="2" borderId="0" xfId="2"/>
    <xf numFmtId="165" fontId="0" fillId="0" borderId="1" xfId="3" applyNumberFormat="1" applyFont="1" applyBorder="1"/>
    <xf numFmtId="0" fontId="3" fillId="0" borderId="0" xfId="0" applyFont="1"/>
    <xf numFmtId="166" fontId="0" fillId="0" borderId="0" xfId="4" applyNumberFormat="1" applyFont="1"/>
    <xf numFmtId="165" fontId="0" fillId="0" borderId="0" xfId="3" applyNumberFormat="1" applyFont="1" applyBorder="1"/>
    <xf numFmtId="165" fontId="0" fillId="0" borderId="2" xfId="3" applyNumberFormat="1" applyFont="1" applyBorder="1"/>
    <xf numFmtId="167" fontId="0" fillId="0" borderId="3" xfId="5" applyNumberFormat="1" applyFont="1" applyBorder="1"/>
    <xf numFmtId="0" fontId="0" fillId="0" borderId="0" xfId="0" applyAlignment="1">
      <alignment horizontal="left" indent="1"/>
    </xf>
    <xf numFmtId="167" fontId="0" fillId="0" borderId="4" xfId="5" applyNumberFormat="1" applyFont="1" applyBorder="1"/>
    <xf numFmtId="167" fontId="0" fillId="0" borderId="0" xfId="5" applyNumberFormat="1" applyFont="1"/>
    <xf numFmtId="10" fontId="0" fillId="0" borderId="0" xfId="4" applyNumberFormat="1" applyFont="1"/>
    <xf numFmtId="0" fontId="0" fillId="0" borderId="0" xfId="0" applyAlignment="1">
      <alignment horizontal="left"/>
    </xf>
    <xf numFmtId="165" fontId="0" fillId="3" borderId="0" xfId="3" applyNumberFormat="1" applyFont="1" applyFill="1"/>
    <xf numFmtId="167" fontId="0" fillId="0" borderId="5" xfId="5" applyNumberFormat="1" applyFont="1" applyBorder="1"/>
    <xf numFmtId="165" fontId="0" fillId="4" borderId="0" xfId="3" applyNumberFormat="1" applyFont="1" applyFill="1"/>
    <xf numFmtId="165" fontId="0" fillId="5" borderId="0" xfId="3" applyNumberFormat="1" applyFont="1" applyFill="1"/>
    <xf numFmtId="165" fontId="0" fillId="3" borderId="4" xfId="3" applyNumberFormat="1" applyFont="1" applyFill="1" applyBorder="1"/>
    <xf numFmtId="165" fontId="0" fillId="0" borderId="4" xfId="3" applyNumberFormat="1" applyFont="1" applyBorder="1"/>
    <xf numFmtId="168" fontId="0" fillId="6" borderId="0" xfId="0" applyNumberFormat="1" applyFill="1"/>
    <xf numFmtId="168" fontId="1" fillId="6" borderId="0" xfId="6"/>
    <xf numFmtId="165" fontId="0" fillId="8" borderId="0" xfId="3" applyNumberFormat="1" applyFont="1" applyFill="1"/>
    <xf numFmtId="165" fontId="0" fillId="9" borderId="1" xfId="3" applyNumberFormat="1" applyFont="1" applyFill="1" applyBorder="1"/>
    <xf numFmtId="165" fontId="0" fillId="9" borderId="0" xfId="3" applyNumberFormat="1" applyFont="1" applyFill="1"/>
    <xf numFmtId="0" fontId="0" fillId="8" borderId="0" xfId="0" applyFill="1"/>
    <xf numFmtId="165" fontId="0" fillId="7" borderId="0" xfId="3" applyNumberFormat="1" applyFont="1" applyFill="1"/>
    <xf numFmtId="165" fontId="0" fillId="11" borderId="1" xfId="3" applyNumberFormat="1" applyFont="1" applyFill="1" applyBorder="1"/>
    <xf numFmtId="169" fontId="0" fillId="0" borderId="0" xfId="0" applyNumberFormat="1"/>
    <xf numFmtId="170" fontId="0" fillId="0" borderId="0" xfId="0" applyNumberFormat="1"/>
    <xf numFmtId="0" fontId="0" fillId="0" borderId="0" xfId="0" applyAlignment="1">
      <alignment horizontal="right"/>
    </xf>
    <xf numFmtId="10" fontId="4" fillId="0" borderId="0" xfId="0" applyNumberFormat="1" applyFont="1"/>
    <xf numFmtId="165" fontId="0" fillId="0" borderId="1" xfId="0" applyNumberFormat="1" applyBorder="1"/>
    <xf numFmtId="165" fontId="0" fillId="12" borderId="6" xfId="3" applyNumberFormat="1" applyFont="1" applyFill="1" applyBorder="1"/>
    <xf numFmtId="165" fontId="0" fillId="0" borderId="0" xfId="3" applyNumberFormat="1" applyFont="1" applyAlignment="1">
      <alignment shrinkToFit="1"/>
    </xf>
    <xf numFmtId="10" fontId="0" fillId="0" borderId="0" xfId="0" applyNumberFormat="1"/>
    <xf numFmtId="165" fontId="0" fillId="13" borderId="7" xfId="3" applyNumberFormat="1" applyFont="1" applyFill="1" applyBorder="1"/>
    <xf numFmtId="165" fontId="0" fillId="13" borderId="8" xfId="3" applyNumberFormat="1" applyFont="1" applyFill="1" applyBorder="1"/>
    <xf numFmtId="165" fontId="0" fillId="13" borderId="9" xfId="3" applyNumberFormat="1" applyFont="1" applyFill="1" applyBorder="1"/>
    <xf numFmtId="0" fontId="0" fillId="0" borderId="0" xfId="0" applyAlignment="1">
      <alignment shrinkToFit="1"/>
    </xf>
    <xf numFmtId="165" fontId="0" fillId="14" borderId="1" xfId="3" applyNumberFormat="1" applyFont="1" applyFill="1" applyBorder="1"/>
    <xf numFmtId="165" fontId="0" fillId="0" borderId="1" xfId="3" applyNumberFormat="1" applyFont="1" applyFill="1" applyBorder="1"/>
    <xf numFmtId="171" fontId="0" fillId="0" borderId="0" xfId="3" applyNumberFormat="1" applyFont="1"/>
    <xf numFmtId="171" fontId="0" fillId="0" borderId="0" xfId="0" applyNumberFormat="1" applyAlignment="1">
      <alignment shrinkToFit="1"/>
    </xf>
    <xf numFmtId="0" fontId="0" fillId="0" borderId="0" xfId="0" applyAlignment="1">
      <alignment wrapText="1" shrinkToFit="1"/>
    </xf>
    <xf numFmtId="165" fontId="0" fillId="6" borderId="12" xfId="3" applyNumberFormat="1" applyFont="1" applyFill="1" applyBorder="1" applyAlignment="1">
      <alignment horizontal="center"/>
    </xf>
    <xf numFmtId="165" fontId="0" fillId="16" borderId="13" xfId="3" applyNumberFormat="1" applyFont="1" applyFill="1" applyBorder="1" applyAlignment="1">
      <alignment horizontal="center"/>
    </xf>
    <xf numFmtId="3" fontId="0" fillId="16" borderId="0" xfId="0" applyNumberFormat="1" applyFill="1"/>
    <xf numFmtId="172" fontId="0" fillId="0" borderId="0" xfId="3" applyNumberFormat="1" applyFont="1"/>
    <xf numFmtId="44" fontId="0" fillId="0" borderId="0" xfId="5" applyFont="1"/>
    <xf numFmtId="44" fontId="0" fillId="16" borderId="10" xfId="5" applyFont="1" applyFill="1" applyBorder="1"/>
    <xf numFmtId="44" fontId="0" fillId="16" borderId="11" xfId="5" applyFont="1" applyFill="1" applyBorder="1"/>
    <xf numFmtId="166" fontId="0" fillId="10" borderId="7" xfId="4" applyNumberFormat="1" applyFont="1" applyFill="1" applyBorder="1"/>
    <xf numFmtId="166" fontId="0" fillId="10" borderId="8" xfId="4" applyNumberFormat="1" applyFont="1" applyFill="1" applyBorder="1"/>
    <xf numFmtId="166" fontId="0" fillId="10" borderId="9" xfId="4" applyNumberFormat="1" applyFont="1" applyFill="1" applyBorder="1"/>
    <xf numFmtId="9" fontId="0" fillId="10" borderId="10" xfId="4" applyFont="1" applyFill="1" applyBorder="1"/>
    <xf numFmtId="9" fontId="0" fillId="10" borderId="14" xfId="4" applyFont="1" applyFill="1" applyBorder="1"/>
    <xf numFmtId="9" fontId="0" fillId="10" borderId="11" xfId="4" applyFont="1" applyFill="1" applyBorder="1"/>
    <xf numFmtId="165" fontId="0" fillId="0" borderId="0" xfId="0" applyNumberFormat="1"/>
    <xf numFmtId="171" fontId="0" fillId="10" borderId="10" xfId="3" applyNumberFormat="1" applyFont="1" applyFill="1" applyBorder="1"/>
    <xf numFmtId="171" fontId="0" fillId="10" borderId="14" xfId="3" applyNumberFormat="1" applyFont="1" applyFill="1" applyBorder="1"/>
    <xf numFmtId="171" fontId="0" fillId="10" borderId="11" xfId="3" applyNumberFormat="1" applyFont="1" applyFill="1" applyBorder="1"/>
    <xf numFmtId="165" fontId="0" fillId="10" borderId="7" xfId="3" applyNumberFormat="1" applyFont="1" applyFill="1" applyBorder="1"/>
    <xf numFmtId="165" fontId="0" fillId="10" borderId="8" xfId="3" applyNumberFormat="1" applyFont="1" applyFill="1" applyBorder="1"/>
    <xf numFmtId="165" fontId="0" fillId="10" borderId="9" xfId="3" applyNumberFormat="1" applyFont="1" applyFill="1" applyBorder="1"/>
    <xf numFmtId="9" fontId="0" fillId="15" borderId="15" xfId="4" applyFont="1" applyFill="1" applyBorder="1"/>
    <xf numFmtId="9" fontId="0" fillId="15" borderId="16" xfId="4" applyFont="1" applyFill="1" applyBorder="1"/>
    <xf numFmtId="9" fontId="0" fillId="15" borderId="17" xfId="4" applyFont="1" applyFill="1" applyBorder="1"/>
    <xf numFmtId="165" fontId="0" fillId="17" borderId="0" xfId="3" applyNumberFormat="1" applyFont="1" applyFill="1"/>
    <xf numFmtId="0" fontId="0" fillId="7" borderId="10" xfId="0" applyFill="1" applyBorder="1"/>
    <xf numFmtId="0" fontId="0" fillId="7" borderId="14" xfId="0" applyFill="1" applyBorder="1"/>
    <xf numFmtId="0" fontId="0" fillId="7" borderId="11" xfId="0" applyFill="1" applyBorder="1"/>
    <xf numFmtId="0" fontId="6" fillId="0" borderId="0" xfId="7"/>
    <xf numFmtId="3" fontId="0" fillId="0" borderId="0" xfId="0" applyNumberFormat="1"/>
    <xf numFmtId="3" fontId="0" fillId="0" borderId="1" xfId="5" applyNumberFormat="1" applyFont="1" applyBorder="1"/>
    <xf numFmtId="3" fontId="0" fillId="0" borderId="0" xfId="5" applyNumberFormat="1" applyFont="1"/>
    <xf numFmtId="0" fontId="0" fillId="0" borderId="16" xfId="0" applyBorder="1"/>
    <xf numFmtId="167" fontId="0" fillId="0" borderId="18" xfId="5" applyNumberFormat="1" applyFont="1" applyBorder="1"/>
    <xf numFmtId="173" fontId="0" fillId="0" borderId="18" xfId="0" applyNumberFormat="1" applyBorder="1"/>
    <xf numFmtId="3" fontId="0" fillId="0" borderId="18" xfId="0" applyNumberFormat="1" applyBorder="1"/>
    <xf numFmtId="167" fontId="0" fillId="0" borderId="19" xfId="5" applyNumberFormat="1" applyFont="1" applyBorder="1"/>
    <xf numFmtId="0" fontId="0" fillId="0" borderId="17" xfId="0" applyBorder="1"/>
    <xf numFmtId="0" fontId="0" fillId="0" borderId="20" xfId="0" applyBorder="1"/>
    <xf numFmtId="167" fontId="4" fillId="0" borderId="21" xfId="5" applyNumberFormat="1" applyFont="1" applyBorder="1"/>
    <xf numFmtId="173" fontId="1" fillId="0" borderId="18" xfId="8" applyBorder="1"/>
    <xf numFmtId="3" fontId="0" fillId="0" borderId="18" xfId="5" applyNumberFormat="1" applyFont="1" applyBorder="1"/>
    <xf numFmtId="3" fontId="0" fillId="0" borderId="21" xfId="5" applyNumberFormat="1" applyFont="1" applyBorder="1"/>
    <xf numFmtId="0" fontId="0" fillId="0" borderId="22" xfId="0" applyBorder="1" applyAlignment="1">
      <alignment horizontal="right"/>
    </xf>
    <xf numFmtId="3" fontId="0" fillId="0" borderId="23" xfId="5" applyNumberFormat="1" applyFont="1" applyBorder="1"/>
    <xf numFmtId="0" fontId="0" fillId="0" borderId="24" xfId="0" applyBorder="1" applyAlignment="1">
      <alignment horizontal="right"/>
    </xf>
    <xf numFmtId="167" fontId="0" fillId="0" borderId="0" xfId="5" applyNumberFormat="1" applyFont="1" applyBorder="1" applyAlignment="1">
      <alignment horizontal="left"/>
    </xf>
    <xf numFmtId="9" fontId="0" fillId="0" borderId="0" xfId="4" applyFont="1" applyBorder="1"/>
    <xf numFmtId="173" fontId="1" fillId="0" borderId="0" xfId="8"/>
    <xf numFmtId="3" fontId="0" fillId="0" borderId="16" xfId="0" applyNumberFormat="1" applyBorder="1"/>
    <xf numFmtId="3" fontId="0" fillId="0" borderId="0" xfId="5" applyNumberFormat="1" applyFont="1" applyBorder="1"/>
    <xf numFmtId="166" fontId="0" fillId="0" borderId="0" xfId="4" applyNumberFormat="1" applyFont="1" applyBorder="1"/>
    <xf numFmtId="3" fontId="0" fillId="0" borderId="25" xfId="5" applyNumberFormat="1" applyFont="1" applyBorder="1"/>
    <xf numFmtId="3" fontId="0" fillId="0" borderId="16" xfId="5" applyNumberFormat="1" applyFont="1" applyBorder="1"/>
    <xf numFmtId="3" fontId="0" fillId="0" borderId="17" xfId="5" applyNumberFormat="1" applyFont="1" applyBorder="1"/>
    <xf numFmtId="3" fontId="0" fillId="0" borderId="20" xfId="5" applyNumberFormat="1" applyFont="1" applyBorder="1"/>
    <xf numFmtId="164" fontId="7" fillId="18" borderId="0" xfId="2" applyFont="1" applyFill="1" applyAlignment="1">
      <alignment horizontal="center"/>
    </xf>
    <xf numFmtId="0" fontId="7" fillId="0" borderId="0" xfId="0" applyFont="1"/>
    <xf numFmtId="165" fontId="7" fillId="0" borderId="0" xfId="3" applyNumberFormat="1" applyFont="1" applyFill="1"/>
    <xf numFmtId="164" fontId="1" fillId="18" borderId="0" xfId="2" applyFill="1" applyAlignment="1">
      <alignment horizontal="center"/>
    </xf>
    <xf numFmtId="0" fontId="0" fillId="19" borderId="0" xfId="0" applyFill="1"/>
    <xf numFmtId="165" fontId="0" fillId="19" borderId="0" xfId="3" applyNumberFormat="1" applyFont="1" applyFill="1"/>
    <xf numFmtId="165" fontId="0" fillId="19" borderId="1" xfId="3" applyNumberFormat="1" applyFont="1" applyFill="1" applyBorder="1"/>
    <xf numFmtId="10" fontId="0" fillId="19" borderId="0" xfId="4" applyNumberFormat="1" applyFont="1" applyFill="1"/>
    <xf numFmtId="165" fontId="0" fillId="19" borderId="0" xfId="3" applyNumberFormat="1" applyFont="1" applyFill="1" applyAlignment="1">
      <alignment shrinkToFit="1"/>
    </xf>
    <xf numFmtId="165" fontId="0" fillId="19" borderId="0" xfId="3" applyNumberFormat="1" applyFont="1" applyFill="1" applyBorder="1"/>
    <xf numFmtId="165" fontId="0" fillId="0" borderId="0" xfId="3" applyNumberFormat="1" applyFont="1" applyFill="1"/>
    <xf numFmtId="0" fontId="7" fillId="19" borderId="0" xfId="0" applyFont="1" applyFill="1"/>
    <xf numFmtId="165" fontId="7" fillId="19" borderId="0" xfId="3" applyNumberFormat="1" applyFont="1" applyFill="1"/>
    <xf numFmtId="165" fontId="7" fillId="19" borderId="1" xfId="3" applyNumberFormat="1" applyFont="1" applyFill="1" applyBorder="1"/>
    <xf numFmtId="9" fontId="7" fillId="19" borderId="0" xfId="4" applyFont="1" applyFill="1"/>
    <xf numFmtId="165" fontId="7" fillId="19" borderId="0" xfId="3" applyNumberFormat="1" applyFont="1" applyFill="1" applyBorder="1"/>
    <xf numFmtId="167" fontId="7" fillId="19" borderId="3" xfId="5" applyNumberFormat="1" applyFont="1" applyFill="1" applyBorder="1"/>
    <xf numFmtId="167" fontId="7" fillId="19" borderId="0" xfId="5" applyNumberFormat="1" applyFont="1" applyFill="1"/>
    <xf numFmtId="167" fontId="7" fillId="19" borderId="4" xfId="5" applyNumberFormat="1" applyFont="1" applyFill="1" applyBorder="1"/>
    <xf numFmtId="167" fontId="7" fillId="19" borderId="5" xfId="5" applyNumberFormat="1" applyFont="1" applyFill="1" applyBorder="1"/>
    <xf numFmtId="164" fontId="7" fillId="19" borderId="0" xfId="2" applyFont="1" applyFill="1"/>
    <xf numFmtId="165" fontId="7" fillId="19" borderId="4" xfId="3" applyNumberFormat="1" applyFont="1" applyFill="1" applyBorder="1"/>
    <xf numFmtId="9" fontId="0" fillId="0" borderId="6" xfId="4" applyFont="1" applyBorder="1"/>
    <xf numFmtId="10" fontId="0" fillId="0" borderId="1" xfId="4" applyNumberFormat="1" applyFont="1" applyBorder="1"/>
    <xf numFmtId="0" fontId="4" fillId="0" borderId="0" xfId="0" applyFont="1"/>
    <xf numFmtId="165" fontId="0" fillId="10" borderId="6" xfId="3" applyNumberFormat="1" applyFont="1" applyFill="1" applyBorder="1" applyAlignment="1">
      <alignment horizontal="center" wrapText="1"/>
    </xf>
    <xf numFmtId="165" fontId="0" fillId="7" borderId="10" xfId="3" applyNumberFormat="1" applyFont="1" applyFill="1" applyBorder="1" applyAlignment="1">
      <alignment horizontal="center" wrapText="1"/>
    </xf>
    <xf numFmtId="165" fontId="0" fillId="7" borderId="14" xfId="3" applyNumberFormat="1" applyFont="1" applyFill="1" applyBorder="1" applyAlignment="1">
      <alignment horizontal="center" wrapText="1"/>
    </xf>
    <xf numFmtId="165" fontId="0" fillId="7" borderId="11" xfId="3" applyNumberFormat="1" applyFont="1" applyFill="1" applyBorder="1" applyAlignment="1">
      <alignment horizontal="center" wrapText="1"/>
    </xf>
    <xf numFmtId="165" fontId="0" fillId="5" borderId="6" xfId="3" applyNumberFormat="1" applyFont="1" applyFill="1" applyBorder="1" applyAlignment="1">
      <alignment horizontal="center" wrapText="1"/>
    </xf>
    <xf numFmtId="173" fontId="1" fillId="11" borderId="7" xfId="8" applyFill="1" applyBorder="1"/>
    <xf numFmtId="173" fontId="1" fillId="11" borderId="8" xfId="8" applyFill="1" applyBorder="1"/>
    <xf numFmtId="173" fontId="1" fillId="11" borderId="9" xfId="8" applyFill="1" applyBorder="1"/>
    <xf numFmtId="165" fontId="0" fillId="4" borderId="15" xfId="3" applyNumberFormat="1" applyFont="1" applyFill="1" applyBorder="1"/>
    <xf numFmtId="165" fontId="0" fillId="4" borderId="26" xfId="3" applyNumberFormat="1" applyFont="1" applyFill="1" applyBorder="1"/>
    <xf numFmtId="165" fontId="0" fillId="4" borderId="27" xfId="3" applyNumberFormat="1" applyFont="1" applyFill="1" applyBorder="1"/>
    <xf numFmtId="165" fontId="0" fillId="4" borderId="16" xfId="3" applyNumberFormat="1" applyFont="1" applyFill="1" applyBorder="1"/>
    <xf numFmtId="165" fontId="0" fillId="4" borderId="0" xfId="3" applyNumberFormat="1" applyFont="1" applyFill="1" applyBorder="1"/>
    <xf numFmtId="165" fontId="0" fillId="4" borderId="18" xfId="3" applyNumberFormat="1" applyFont="1" applyFill="1" applyBorder="1"/>
    <xf numFmtId="165" fontId="0" fillId="4" borderId="17" xfId="3" applyNumberFormat="1" applyFont="1" applyFill="1" applyBorder="1"/>
    <xf numFmtId="165" fontId="0" fillId="4" borderId="20" xfId="3" applyNumberFormat="1" applyFont="1" applyFill="1" applyBorder="1"/>
    <xf numFmtId="165" fontId="0" fillId="4" borderId="21" xfId="3" applyNumberFormat="1" applyFont="1" applyFill="1" applyBorder="1"/>
    <xf numFmtId="165" fontId="0" fillId="8" borderId="7" xfId="3" applyNumberFormat="1" applyFont="1" applyFill="1" applyBorder="1"/>
    <xf numFmtId="165" fontId="0" fillId="8" borderId="8" xfId="3" applyNumberFormat="1" applyFont="1" applyFill="1" applyBorder="1"/>
    <xf numFmtId="165" fontId="0" fillId="8" borderId="9" xfId="3" applyNumberFormat="1" applyFont="1" applyFill="1" applyBorder="1"/>
    <xf numFmtId="165" fontId="0" fillId="11" borderId="18" xfId="3" applyNumberFormat="1" applyFont="1" applyFill="1" applyBorder="1"/>
    <xf numFmtId="165" fontId="0" fillId="11" borderId="21" xfId="3" applyNumberFormat="1" applyFont="1" applyFill="1" applyBorder="1"/>
    <xf numFmtId="0" fontId="0" fillId="7" borderId="0" xfId="0" applyFill="1"/>
    <xf numFmtId="167" fontId="0" fillId="4" borderId="6" xfId="5" applyNumberFormat="1" applyFont="1" applyFill="1" applyBorder="1"/>
    <xf numFmtId="165" fontId="0" fillId="4" borderId="26" xfId="0" applyNumberFormat="1" applyFill="1" applyBorder="1"/>
    <xf numFmtId="165" fontId="0" fillId="4" borderId="27" xfId="0" applyNumberFormat="1" applyFill="1" applyBorder="1"/>
    <xf numFmtId="165" fontId="0" fillId="4" borderId="0" xfId="0" applyNumberFormat="1" applyFill="1"/>
    <xf numFmtId="165" fontId="0" fillId="4" borderId="18" xfId="0" applyNumberFormat="1" applyFill="1" applyBorder="1"/>
    <xf numFmtId="165" fontId="0" fillId="4" borderId="20" xfId="0" applyNumberFormat="1" applyFill="1" applyBorder="1"/>
    <xf numFmtId="165" fontId="0" fillId="4" borderId="21" xfId="0" applyNumberFormat="1" applyFill="1" applyBorder="1"/>
    <xf numFmtId="165" fontId="8" fillId="7" borderId="10" xfId="3" applyNumberFormat="1" applyFont="1" applyFill="1" applyBorder="1" applyAlignment="1">
      <alignment horizontal="center" wrapText="1"/>
    </xf>
    <xf numFmtId="165" fontId="9" fillId="8" borderId="6" xfId="3" applyNumberFormat="1" applyFont="1" applyFill="1" applyBorder="1" applyAlignment="1">
      <alignment horizontal="center" wrapText="1"/>
    </xf>
    <xf numFmtId="9" fontId="0" fillId="4" borderId="27" xfId="4" applyFont="1" applyFill="1" applyBorder="1"/>
    <xf numFmtId="9" fontId="0" fillId="4" borderId="18" xfId="4" applyFont="1" applyFill="1" applyBorder="1"/>
    <xf numFmtId="9" fontId="0" fillId="4" borderId="21" xfId="4" applyFont="1" applyFill="1" applyBorder="1"/>
    <xf numFmtId="0" fontId="0" fillId="20" borderId="0" xfId="0" applyFill="1"/>
    <xf numFmtId="0" fontId="4" fillId="20" borderId="0" xfId="0" applyFont="1" applyFill="1"/>
    <xf numFmtId="168" fontId="1" fillId="6" borderId="10" xfId="6" applyBorder="1"/>
    <xf numFmtId="168" fontId="1" fillId="6" borderId="14" xfId="6" applyBorder="1"/>
    <xf numFmtId="168" fontId="1" fillId="6" borderId="11" xfId="6" applyBorder="1"/>
    <xf numFmtId="1" fontId="0" fillId="0" borderId="0" xfId="0" applyNumberFormat="1"/>
    <xf numFmtId="1" fontId="0" fillId="0" borderId="0" xfId="3" applyNumberFormat="1" applyFont="1"/>
    <xf numFmtId="165" fontId="0" fillId="0" borderId="20" xfId="3" applyNumberFormat="1" applyFont="1" applyBorder="1"/>
    <xf numFmtId="173" fontId="1" fillId="4" borderId="7" xfId="8" applyFill="1" applyBorder="1"/>
    <xf numFmtId="173" fontId="1" fillId="4" borderId="8" xfId="8" applyFill="1" applyBorder="1"/>
    <xf numFmtId="173" fontId="1" fillId="4" borderId="9" xfId="8" applyFill="1" applyBorder="1"/>
    <xf numFmtId="174" fontId="1" fillId="0" borderId="0" xfId="9"/>
    <xf numFmtId="165" fontId="0" fillId="0" borderId="16" xfId="3" applyNumberFormat="1" applyFont="1" applyFill="1" applyBorder="1"/>
    <xf numFmtId="165" fontId="0" fillId="0" borderId="0" xfId="3" applyNumberFormat="1" applyFont="1" applyFill="1" applyBorder="1"/>
    <xf numFmtId="173" fontId="1" fillId="22" borderId="7" xfId="8" applyFill="1" applyBorder="1"/>
    <xf numFmtId="173" fontId="1" fillId="22" borderId="8" xfId="8" applyFill="1" applyBorder="1"/>
    <xf numFmtId="173" fontId="1" fillId="22" borderId="9" xfId="8" applyFill="1" applyBorder="1"/>
    <xf numFmtId="173" fontId="1" fillId="24" borderId="7" xfId="8" applyFill="1" applyBorder="1"/>
    <xf numFmtId="173" fontId="1" fillId="24" borderId="8" xfId="8" applyFill="1" applyBorder="1"/>
    <xf numFmtId="173" fontId="1" fillId="24" borderId="9" xfId="8" applyFill="1" applyBorder="1"/>
    <xf numFmtId="173" fontId="1" fillId="0" borderId="15" xfId="8" applyBorder="1"/>
    <xf numFmtId="173" fontId="1" fillId="0" borderId="26" xfId="8" applyBorder="1"/>
    <xf numFmtId="173" fontId="1" fillId="0" borderId="27" xfId="8" applyBorder="1"/>
    <xf numFmtId="173" fontId="1" fillId="0" borderId="16" xfId="8" applyBorder="1"/>
    <xf numFmtId="173" fontId="1" fillId="0" borderId="17" xfId="8" applyBorder="1"/>
    <xf numFmtId="173" fontId="1" fillId="0" borderId="20" xfId="8" applyBorder="1"/>
    <xf numFmtId="173" fontId="1" fillId="0" borderId="21" xfId="8" applyBorder="1"/>
    <xf numFmtId="0" fontId="0" fillId="10" borderId="7" xfId="0" applyFill="1" applyBorder="1" applyAlignment="1">
      <alignment horizontal="center" vertical="center"/>
    </xf>
    <xf numFmtId="0" fontId="0" fillId="10" borderId="8" xfId="0" applyFill="1" applyBorder="1" applyAlignment="1">
      <alignment horizontal="center" vertical="center"/>
    </xf>
    <xf numFmtId="0" fontId="0" fillId="10" borderId="9" xfId="0" applyFill="1" applyBorder="1" applyAlignment="1">
      <alignment horizontal="center" vertical="center"/>
    </xf>
    <xf numFmtId="0" fontId="0" fillId="23" borderId="7" xfId="0" applyFill="1" applyBorder="1" applyAlignment="1">
      <alignment horizontal="center" vertical="center"/>
    </xf>
    <xf numFmtId="0" fontId="0" fillId="23" borderId="8" xfId="0" applyFill="1" applyBorder="1" applyAlignment="1">
      <alignment horizontal="center" vertical="center"/>
    </xf>
    <xf numFmtId="0" fontId="0" fillId="23" borderId="9" xfId="0" applyFill="1" applyBorder="1" applyAlignment="1">
      <alignment horizontal="center" vertical="center"/>
    </xf>
    <xf numFmtId="0" fontId="7" fillId="15" borderId="7" xfId="0" applyFont="1" applyFill="1" applyBorder="1" applyAlignment="1">
      <alignment horizontal="center" vertical="center"/>
    </xf>
    <xf numFmtId="0" fontId="7" fillId="15" borderId="8" xfId="0" applyFont="1" applyFill="1" applyBorder="1" applyAlignment="1">
      <alignment horizontal="center" vertical="center"/>
    </xf>
    <xf numFmtId="0" fontId="7" fillId="15" borderId="9" xfId="0" applyFont="1" applyFill="1" applyBorder="1" applyAlignment="1">
      <alignment horizontal="center" vertical="center"/>
    </xf>
    <xf numFmtId="0" fontId="7" fillId="21" borderId="7" xfId="0" applyFont="1" applyFill="1" applyBorder="1" applyAlignment="1">
      <alignment horizontal="center" vertical="center"/>
    </xf>
    <xf numFmtId="0" fontId="7" fillId="21" borderId="8" xfId="0" applyFont="1" applyFill="1" applyBorder="1" applyAlignment="1">
      <alignment horizontal="center" vertical="center"/>
    </xf>
    <xf numFmtId="0" fontId="7" fillId="21" borderId="9" xfId="0" applyFont="1" applyFill="1" applyBorder="1" applyAlignment="1">
      <alignment horizontal="center" vertical="center"/>
    </xf>
    <xf numFmtId="0" fontId="0" fillId="0" borderId="0" xfId="0" applyAlignment="1">
      <alignment horizontal="center" shrinkToFit="1"/>
    </xf>
    <xf numFmtId="165" fontId="0" fillId="15" borderId="10" xfId="3" applyNumberFormat="1" applyFont="1" applyFill="1" applyBorder="1" applyAlignment="1">
      <alignment horizontal="center"/>
    </xf>
    <xf numFmtId="165" fontId="0" fillId="15" borderId="11" xfId="3" applyNumberFormat="1" applyFont="1" applyFill="1" applyBorder="1" applyAlignment="1">
      <alignment horizontal="center"/>
    </xf>
    <xf numFmtId="165" fontId="0" fillId="15" borderId="14" xfId="3" applyNumberFormat="1" applyFont="1" applyFill="1" applyBorder="1" applyAlignment="1">
      <alignment horizontal="center"/>
    </xf>
    <xf numFmtId="165" fontId="0" fillId="9" borderId="10" xfId="3" applyNumberFormat="1" applyFont="1" applyFill="1" applyBorder="1" applyAlignment="1">
      <alignment horizontal="center"/>
    </xf>
    <xf numFmtId="165" fontId="0" fillId="9" borderId="14" xfId="3" applyNumberFormat="1" applyFont="1" applyFill="1" applyBorder="1" applyAlignment="1">
      <alignment horizontal="center"/>
    </xf>
    <xf numFmtId="165" fontId="0" fillId="9" borderId="11" xfId="3" applyNumberFormat="1" applyFont="1" applyFill="1" applyBorder="1" applyAlignment="1">
      <alignment horizontal="center"/>
    </xf>
    <xf numFmtId="165" fontId="0" fillId="15" borderId="7" xfId="3" applyNumberFormat="1" applyFont="1" applyFill="1" applyBorder="1" applyAlignment="1">
      <alignment horizontal="center" wrapText="1"/>
    </xf>
    <xf numFmtId="165" fontId="0" fillId="15" borderId="9" xfId="3" applyNumberFormat="1" applyFont="1" applyFill="1" applyBorder="1" applyAlignment="1">
      <alignment horizontal="center" wrapText="1"/>
    </xf>
    <xf numFmtId="0" fontId="5" fillId="15" borderId="7" xfId="0" applyFont="1" applyFill="1" applyBorder="1" applyAlignment="1">
      <alignment horizontal="center" vertical="center" textRotation="90" wrapText="1"/>
    </xf>
    <xf numFmtId="0" fontId="5" fillId="15" borderId="8" xfId="0" applyFont="1" applyFill="1" applyBorder="1" applyAlignment="1">
      <alignment horizontal="center" vertical="center" textRotation="90" wrapText="1"/>
    </xf>
    <xf numFmtId="0" fontId="5" fillId="15" borderId="9" xfId="0" applyFont="1" applyFill="1" applyBorder="1" applyAlignment="1">
      <alignment horizontal="center" vertical="center" textRotation="90" wrapText="1"/>
    </xf>
    <xf numFmtId="166" fontId="0" fillId="0" borderId="0" xfId="4" applyNumberFormat="1" applyFont="1" applyFill="1"/>
    <xf numFmtId="9" fontId="0" fillId="0" borderId="0" xfId="4" applyFont="1" applyFill="1"/>
    <xf numFmtId="0" fontId="0" fillId="0" borderId="0" xfId="0" applyFill="1"/>
    <xf numFmtId="167" fontId="0" fillId="0" borderId="3" xfId="5" applyNumberFormat="1" applyFont="1" applyFill="1" applyBorder="1"/>
    <xf numFmtId="167" fontId="0" fillId="0" borderId="4" xfId="5" applyNumberFormat="1" applyFont="1" applyFill="1" applyBorder="1"/>
    <xf numFmtId="167" fontId="0" fillId="0" borderId="5" xfId="5" applyNumberFormat="1" applyFont="1" applyFill="1" applyBorder="1"/>
    <xf numFmtId="165" fontId="0" fillId="0" borderId="4" xfId="3" applyNumberFormat="1" applyFont="1" applyFill="1" applyBorder="1"/>
  </cellXfs>
  <cellStyles count="10">
    <cellStyle name="Comma" xfId="3" builtinId="3"/>
    <cellStyle name="Currency" xfId="5" builtinId="4"/>
    <cellStyle name="Forecast Date" xfId="6" xr:uid="{15CCEE28-55A2-4B85-B759-0008FD4C071B}"/>
    <cellStyle name="HIstorical Date" xfId="2" xr:uid="{A8B7A028-4366-421A-9323-2353892AC2FD}"/>
    <cellStyle name="Multiplier" xfId="8" xr:uid="{95214D16-5D18-40EF-A0C8-F21BBB7373E9}"/>
    <cellStyle name="Name" xfId="7" xr:uid="{9191A337-385F-47E2-8E16-E1D71F100403}"/>
    <cellStyle name="Normal" xfId="0" builtinId="0"/>
    <cellStyle name="Percent" xfId="4" builtinId="5"/>
    <cellStyle name="Title" xfId="1" builtinId="15"/>
    <cellStyle name="Year" xfId="9" xr:uid="{DE49456D-0242-4D06-81D2-080657152FC9}"/>
  </cellStyles>
  <dxfs count="0"/>
  <tableStyles count="0" defaultTableStyle="TableStyleMedium2" defaultPivotStyle="PivotStyleLight16"/>
  <colors>
    <mruColors>
      <color rgb="FFFFE7FF"/>
      <color rgb="FFFFB7FF"/>
      <color rgb="FFF9CFCB"/>
      <color rgb="FFFDA087"/>
      <color rgb="FFF29B92"/>
      <color rgb="FFFC5C30"/>
      <color rgb="FFFFCCFF"/>
      <color rgb="FFFF99FF"/>
      <color rgb="FFF0ECFE"/>
      <color rgb="FFE1D8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Football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'DCF Analysis'!$G$96</c:f>
              <c:strCache>
                <c:ptCount val="1"/>
                <c:pt idx="0">
                  <c:v> Low </c:v>
                </c:pt>
              </c:strCache>
            </c:strRef>
          </c:tx>
          <c:spPr>
            <a:noFill/>
            <a:ln>
              <a:noFill/>
            </a:ln>
            <a:effectLst/>
          </c:spPr>
          <c:invertIfNegative val="0"/>
          <c:cat>
            <c:strRef>
              <c:f>'DCF Analysis'!$F$97:$F$99</c:f>
              <c:strCache>
                <c:ptCount val="3"/>
                <c:pt idx="0">
                  <c:v>DCF Value 8X - 12X Multiplier</c:v>
                </c:pt>
                <c:pt idx="1">
                  <c:v>DCF Value 2%-6% Growth Rate</c:v>
                </c:pt>
                <c:pt idx="2">
                  <c:v>52 Week Market High/Low</c:v>
                </c:pt>
              </c:strCache>
            </c:strRef>
          </c:cat>
          <c:val>
            <c:numRef>
              <c:f>'DCF Analysis'!$G$97:$G$99</c:f>
              <c:numCache>
                <c:formatCode>_(* #,##0_);_(* \(#,##0\);_(* "-"??_);_(@_)</c:formatCode>
                <c:ptCount val="3"/>
                <c:pt idx="0">
                  <c:v>66.129296690131611</c:v>
                </c:pt>
                <c:pt idx="1">
                  <c:v>41.123143141310287</c:v>
                </c:pt>
                <c:pt idx="2">
                  <c:v>5.63</c:v>
                </c:pt>
              </c:numCache>
            </c:numRef>
          </c:val>
          <c:extLst>
            <c:ext xmlns:c16="http://schemas.microsoft.com/office/drawing/2014/chart" uri="{C3380CC4-5D6E-409C-BE32-E72D297353CC}">
              <c16:uniqueId val="{00000000-0FEB-4F59-BAED-5698FE059971}"/>
            </c:ext>
          </c:extLst>
        </c:ser>
        <c:ser>
          <c:idx val="1"/>
          <c:order val="1"/>
          <c:tx>
            <c:strRef>
              <c:f>'DCF Analysis'!$H$96</c:f>
              <c:strCache>
                <c:ptCount val="1"/>
                <c:pt idx="0">
                  <c:v> Difference </c:v>
                </c:pt>
              </c:strCache>
            </c:strRef>
          </c:tx>
          <c:spPr>
            <a:solidFill>
              <a:schemeClr val="accent2"/>
            </a:solidFill>
            <a:ln>
              <a:noFill/>
            </a:ln>
            <a:effectLst/>
          </c:spPr>
          <c:invertIfNegative val="0"/>
          <c:cat>
            <c:strRef>
              <c:f>'DCF Analysis'!$F$97:$F$99</c:f>
              <c:strCache>
                <c:ptCount val="3"/>
                <c:pt idx="0">
                  <c:v>DCF Value 8X - 12X Multiplier</c:v>
                </c:pt>
                <c:pt idx="1">
                  <c:v>DCF Value 2%-6% Growth Rate</c:v>
                </c:pt>
                <c:pt idx="2">
                  <c:v>52 Week Market High/Low</c:v>
                </c:pt>
              </c:strCache>
            </c:strRef>
          </c:cat>
          <c:val>
            <c:numRef>
              <c:f>'DCF Analysis'!$H$97:$H$99</c:f>
              <c:numCache>
                <c:formatCode>_(* #,##0_);_(* \(#,##0\);_(* "-"??_);_(@_)</c:formatCode>
                <c:ptCount val="3"/>
                <c:pt idx="0">
                  <c:v>60.802126342150345</c:v>
                </c:pt>
                <c:pt idx="1">
                  <c:v>93.34008810516363</c:v>
                </c:pt>
                <c:pt idx="2">
                  <c:v>11.07</c:v>
                </c:pt>
              </c:numCache>
            </c:numRef>
          </c:val>
          <c:extLst>
            <c:ext xmlns:c16="http://schemas.microsoft.com/office/drawing/2014/chart" uri="{C3380CC4-5D6E-409C-BE32-E72D297353CC}">
              <c16:uniqueId val="{00000001-0FEB-4F59-BAED-5698FE059971}"/>
            </c:ext>
          </c:extLst>
        </c:ser>
        <c:ser>
          <c:idx val="2"/>
          <c:order val="2"/>
          <c:tx>
            <c:strRef>
              <c:f>'DCF Analysis'!$I$96</c:f>
              <c:strCache>
                <c:ptCount val="1"/>
                <c:pt idx="0">
                  <c:v> High </c:v>
                </c:pt>
              </c:strCache>
            </c:strRef>
          </c:tx>
          <c:spPr>
            <a:noFill/>
            <a:ln>
              <a:noFill/>
            </a:ln>
            <a:effectLst/>
          </c:spPr>
          <c:invertIfNegative val="0"/>
          <c:cat>
            <c:strRef>
              <c:f>'DCF Analysis'!$F$97:$F$99</c:f>
              <c:strCache>
                <c:ptCount val="3"/>
                <c:pt idx="0">
                  <c:v>DCF Value 8X - 12X Multiplier</c:v>
                </c:pt>
                <c:pt idx="1">
                  <c:v>DCF Value 2%-6% Growth Rate</c:v>
                </c:pt>
                <c:pt idx="2">
                  <c:v>52 Week Market High/Low</c:v>
                </c:pt>
              </c:strCache>
            </c:strRef>
          </c:cat>
          <c:val>
            <c:numRef>
              <c:f>'DCF Analysis'!$I$97:$I$99</c:f>
              <c:numCache>
                <c:formatCode>_(* #,##0_);_(* \(#,##0\);_(* "-"??_);_(@_)</c:formatCode>
                <c:ptCount val="3"/>
                <c:pt idx="0">
                  <c:v>126.93142303228196</c:v>
                </c:pt>
                <c:pt idx="1">
                  <c:v>134.46323124647392</c:v>
                </c:pt>
                <c:pt idx="2">
                  <c:v>16.7</c:v>
                </c:pt>
              </c:numCache>
            </c:numRef>
          </c:val>
          <c:extLst>
            <c:ext xmlns:c16="http://schemas.microsoft.com/office/drawing/2014/chart" uri="{C3380CC4-5D6E-409C-BE32-E72D297353CC}">
              <c16:uniqueId val="{00000002-0FEB-4F59-BAED-5698FE059971}"/>
            </c:ext>
          </c:extLst>
        </c:ser>
        <c:dLbls>
          <c:showLegendKey val="0"/>
          <c:showVal val="0"/>
          <c:showCatName val="0"/>
          <c:showSerName val="0"/>
          <c:showPercent val="0"/>
          <c:showBubbleSize val="0"/>
        </c:dLbls>
        <c:gapWidth val="150"/>
        <c:overlap val="100"/>
        <c:axId val="1941168320"/>
        <c:axId val="301629903"/>
      </c:barChart>
      <c:catAx>
        <c:axId val="194116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29903"/>
        <c:crosses val="autoZero"/>
        <c:auto val="1"/>
        <c:lblAlgn val="ctr"/>
        <c:lblOffset val="100"/>
        <c:noMultiLvlLbl val="0"/>
      </c:catAx>
      <c:valAx>
        <c:axId val="301629903"/>
        <c:scaling>
          <c:orientation val="minMax"/>
          <c:max val="125"/>
          <c:min val="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16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0</xdr:colOff>
      <xdr:row>67</xdr:row>
      <xdr:rowOff>0</xdr:rowOff>
    </xdr:from>
    <xdr:to>
      <xdr:col>21</xdr:col>
      <xdr:colOff>0</xdr:colOff>
      <xdr:row>92</xdr:row>
      <xdr:rowOff>197068</xdr:rowOff>
    </xdr:to>
    <xdr:graphicFrame macro="">
      <xdr:nvGraphicFramePr>
        <xdr:cNvPr id="2" name="Chart 1">
          <a:extLst>
            <a:ext uri="{FF2B5EF4-FFF2-40B4-BE49-F238E27FC236}">
              <a16:creationId xmlns:a16="http://schemas.microsoft.com/office/drawing/2014/main" id="{0AC76211-FF05-023A-2015-7B2303F79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https://www.bing.com/financeapi/forcetrigger?t=a1ptbh&amp;q=XNYS%3aCLF&amp;form=skydnc</v>
    <v>Learn more on Bing</v>
  </rv>
  <rv s="1">
    <v>en-US</v>
    <v>a1ptbh</v>
    <v>268435456</v>
    <v>1</v>
    <v>Powered by Refinitiv</v>
    <v>0</v>
    <v>CLEVELAND-CLIFFS INC. (XNYS:CLF)</v>
    <v>2</v>
    <v>3</v>
    <v>Finance</v>
    <v>4</v>
    <v>16.7</v>
    <v>5.63</v>
    <v>2.0055000000000001</v>
    <v>0.17499999999999999</v>
    <v>1.7156999999999999E-2</v>
    <v>USD</v>
    <v>Cleveland-Cliffs Inc. is a steel producer with a focus on value-added sheet products, particularly for the automotive industry in North America. The Company is vertically integrated from the mining of iron ore, production of pellets and direct reduced iron, and processing of ferrous scrap through primary steelmaking and downstream finishing, stamping, tooling, and tubing. Its offering includes advanced high-strength steel, hot-dipped galvanized, aluminized, galvalume, electrogalvanized, galvanneal, hot-rolled coil (HRC), cold-rolled coil, plate, grain oriented electrical steel (GOES), non-oriented electrical steel (NOES), stainless steels, tool and die, stamped components, and slabs. Its Other Businesses primarily include the Tubular and Tooling and Stamping segments that provide customer solutions with carbon and stainless-steel tubing products, advanced-engineered solutions, tool design and build, hot- and cold-stamped steel components and complex assemblies.</v>
    <v>25000</v>
    <v>New York Stock Exchange</v>
    <v>XNYS</v>
    <v>XNYS</v>
    <v>200 Public Square, Ste. 3300, CLEVELAND, OH, 44114-2315 US</v>
    <v>10.5</v>
    <v>Metals &amp; Mining</v>
    <v>Stock</v>
    <v>46143.795860508595</v>
    <v>0</v>
    <v>10.06</v>
    <v>5918052512</v>
    <v>CLEVELAND-CLIFFS INC.</v>
    <v>CLEVELAND-CLIFFS INC.</v>
    <v>10.14</v>
    <v>10.199999999999999</v>
    <v>10.375</v>
    <v>570414700</v>
    <v>CLF</v>
    <v>CLEVELAND-CLIFFS INC. (XNYS:CLF)</v>
    <v>11353875</v>
    <v>17435412</v>
    <v>1985</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1</v>
      <v>3</v>
      <v>1</v>
      <v>1</v>
      <v>1</v>
      <v>4</v>
      <v>4</v>
      <v>5</v>
      <v>6</v>
      <v>1</v>
      <v>1</v>
      <v>1</v>
      <v>4</v>
      <v>7</v>
      <v>8</v>
      <v>9</v>
      <v>4</v>
    </spb>
    <spb s="4">
      <v>Real-Time Nasdaq Last Sale</v>
      <v>from previous close</v>
      <v>from previous close</v>
      <v>Source: Nasdaq Last Sale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F0B7-1592-4C72-8B6F-57A175261C1C}">
  <sheetPr>
    <tabColor theme="1"/>
  </sheetPr>
  <dimension ref="A1:Q177"/>
  <sheetViews>
    <sheetView zoomScale="140" zoomScaleNormal="140" workbookViewId="0">
      <pane xSplit="6" ySplit="1" topLeftCell="G2" activePane="bottomRight" state="frozen"/>
      <selection pane="topRight" activeCell="G1" sqref="G1"/>
      <selection pane="bottomLeft" activeCell="A2" sqref="A2"/>
      <selection pane="bottomRight" activeCell="O32" sqref="O32"/>
    </sheetView>
  </sheetViews>
  <sheetFormatPr defaultRowHeight="15" x14ac:dyDescent="0.25"/>
  <cols>
    <col min="1" max="5" width="2" customWidth="1"/>
    <col min="6" max="6" width="27.7109375" customWidth="1"/>
    <col min="7" max="13" width="7" bestFit="1" customWidth="1"/>
    <col min="14" max="14" width="8.28515625" bestFit="1" customWidth="1"/>
    <col min="15" max="15" width="19.42578125" customWidth="1"/>
  </cols>
  <sheetData>
    <row r="1" spans="1:17" x14ac:dyDescent="0.25">
      <c r="A1" t="s">
        <v>0</v>
      </c>
      <c r="G1" s="1" cm="1">
        <f t="array" ref="G1:N1">_xlfn.SEQUENCE(1,8,2022,1)</f>
        <v>2022</v>
      </c>
      <c r="H1" s="1">
        <v>2023</v>
      </c>
      <c r="I1" s="1">
        <v>2024</v>
      </c>
      <c r="J1" s="24">
        <v>2025</v>
      </c>
      <c r="K1" s="23">
        <v>2026</v>
      </c>
      <c r="L1" s="23">
        <v>2027</v>
      </c>
      <c r="M1" s="23">
        <v>2028</v>
      </c>
      <c r="N1" s="23">
        <v>2029</v>
      </c>
    </row>
    <row r="2" spans="1:17" x14ac:dyDescent="0.25">
      <c r="B2" t="s">
        <v>1</v>
      </c>
    </row>
    <row r="3" spans="1:17" x14ac:dyDescent="0.25">
      <c r="C3" t="s">
        <v>2</v>
      </c>
      <c r="G3" s="3">
        <v>8399</v>
      </c>
      <c r="H3" s="113">
        <v>8791</v>
      </c>
      <c r="I3" s="113">
        <v>8433</v>
      </c>
      <c r="J3" s="113">
        <f>+I3*(1+J7)</f>
        <v>8719.7219999999998</v>
      </c>
      <c r="K3" s="113">
        <f t="shared" ref="K3:N3" si="0">+J3*(1+K7)</f>
        <v>9016.1925480000009</v>
      </c>
      <c r="L3" s="113">
        <f t="shared" si="0"/>
        <v>9322.7430946320019</v>
      </c>
      <c r="M3" s="113">
        <f t="shared" si="0"/>
        <v>9639.7163598494899</v>
      </c>
      <c r="N3" s="113">
        <f t="shared" si="0"/>
        <v>9967.4667160843728</v>
      </c>
      <c r="O3" s="3"/>
      <c r="P3" s="3"/>
      <c r="Q3" s="3"/>
    </row>
    <row r="4" spans="1:17" x14ac:dyDescent="0.25">
      <c r="C4" t="s">
        <v>3</v>
      </c>
      <c r="G4" s="3">
        <v>8696</v>
      </c>
      <c r="H4" s="113">
        <v>8327</v>
      </c>
      <c r="I4" s="113">
        <v>8537</v>
      </c>
      <c r="J4" s="113">
        <f t="shared" ref="J4:N5" si="1">+I4*(1+J8)</f>
        <v>8852.8689999999988</v>
      </c>
      <c r="K4" s="113">
        <f t="shared" si="1"/>
        <v>9180.4251529999983</v>
      </c>
      <c r="L4" s="113">
        <f t="shared" si="1"/>
        <v>9520.1008836609981</v>
      </c>
      <c r="M4" s="113">
        <f t="shared" si="1"/>
        <v>9872.3446163564549</v>
      </c>
      <c r="N4" s="113">
        <f t="shared" si="1"/>
        <v>10237.621367161642</v>
      </c>
      <c r="O4" s="3"/>
      <c r="P4" s="3"/>
      <c r="Q4" s="3"/>
    </row>
    <row r="5" spans="1:17" x14ac:dyDescent="0.25">
      <c r="C5" t="s">
        <v>4</v>
      </c>
      <c r="G5" s="3">
        <v>8366</v>
      </c>
      <c r="H5" s="113">
        <v>8657</v>
      </c>
      <c r="I5" s="113">
        <v>8501</v>
      </c>
      <c r="J5" s="113">
        <f t="shared" si="1"/>
        <v>8832.5389999999989</v>
      </c>
      <c r="K5" s="113">
        <f t="shared" si="1"/>
        <v>9177.0080209999978</v>
      </c>
      <c r="L5" s="113">
        <f t="shared" si="1"/>
        <v>9534.9113338189964</v>
      </c>
      <c r="M5" s="113">
        <f t="shared" si="1"/>
        <v>9906.7728758379362</v>
      </c>
      <c r="N5" s="113">
        <f t="shared" si="1"/>
        <v>10293.137017995616</v>
      </c>
      <c r="O5" s="3"/>
      <c r="P5" s="3"/>
      <c r="Q5" s="3"/>
    </row>
    <row r="6" spans="1:17" x14ac:dyDescent="0.25">
      <c r="B6" t="s">
        <v>101</v>
      </c>
      <c r="G6" s="3"/>
      <c r="H6" s="113"/>
      <c r="I6" s="113"/>
      <c r="J6" s="113"/>
      <c r="K6" s="113"/>
      <c r="L6" s="113"/>
      <c r="M6" s="113"/>
      <c r="N6" s="113"/>
      <c r="O6" s="3"/>
      <c r="P6" s="3"/>
      <c r="Q6" s="3"/>
    </row>
    <row r="7" spans="1:17" x14ac:dyDescent="0.25">
      <c r="C7" t="str" cm="1">
        <f t="array" ref="C7:C9">+C3:C5</f>
        <v>Foot Solutions</v>
      </c>
      <c r="G7" s="3"/>
      <c r="H7" s="214">
        <v>4.6672222883676673E-2</v>
      </c>
      <c r="I7" s="214">
        <v>-4.0723467182345541E-2</v>
      </c>
      <c r="J7" s="214">
        <v>3.4000000000000002E-2</v>
      </c>
      <c r="K7" s="214">
        <f>+J7</f>
        <v>3.4000000000000002E-2</v>
      </c>
      <c r="L7" s="214">
        <f t="shared" ref="L7:N9" si="2">AVERAGE(J7:K7)</f>
        <v>3.4000000000000002E-2</v>
      </c>
      <c r="M7" s="214">
        <f t="shared" si="2"/>
        <v>3.4000000000000002E-2</v>
      </c>
      <c r="N7" s="214">
        <f t="shared" si="2"/>
        <v>3.4000000000000002E-2</v>
      </c>
      <c r="O7" s="3"/>
      <c r="P7" s="3"/>
      <c r="Q7" s="3"/>
    </row>
    <row r="8" spans="1:17" x14ac:dyDescent="0.25">
      <c r="C8" t="str">
        <v>Greeting Fulfillments</v>
      </c>
      <c r="G8" s="3"/>
      <c r="H8" s="214">
        <v>-4.2433302667893247E-2</v>
      </c>
      <c r="I8" s="214">
        <v>2.5219166566590623E-2</v>
      </c>
      <c r="J8" s="214">
        <v>3.6999999999999998E-2</v>
      </c>
      <c r="K8" s="214">
        <f>+J8</f>
        <v>3.6999999999999998E-2</v>
      </c>
      <c r="L8" s="214">
        <f t="shared" si="2"/>
        <v>3.6999999999999998E-2</v>
      </c>
      <c r="M8" s="214">
        <f t="shared" si="2"/>
        <v>3.6999999999999998E-2</v>
      </c>
      <c r="N8" s="214">
        <f t="shared" si="2"/>
        <v>3.6999999999999998E-2</v>
      </c>
      <c r="O8" s="3"/>
      <c r="P8" s="3"/>
      <c r="Q8" s="3"/>
    </row>
    <row r="9" spans="1:17" x14ac:dyDescent="0.25">
      <c r="C9" t="str">
        <v>Legendwear</v>
      </c>
      <c r="G9" s="3"/>
      <c r="H9" s="214">
        <v>3.4783648099450115E-2</v>
      </c>
      <c r="I9" s="214">
        <v>-1.8020099341573337E-2</v>
      </c>
      <c r="J9" s="214">
        <v>3.9E-2</v>
      </c>
      <c r="K9" s="214">
        <f>+J9</f>
        <v>3.9E-2</v>
      </c>
      <c r="L9" s="214">
        <f t="shared" si="2"/>
        <v>3.9E-2</v>
      </c>
      <c r="M9" s="214">
        <f t="shared" si="2"/>
        <v>3.9E-2</v>
      </c>
      <c r="N9" s="214">
        <f t="shared" si="2"/>
        <v>3.9E-2</v>
      </c>
      <c r="O9" s="3"/>
      <c r="P9" s="3"/>
      <c r="Q9" s="3"/>
    </row>
    <row r="10" spans="1:17" x14ac:dyDescent="0.25">
      <c r="B10" t="s">
        <v>5</v>
      </c>
      <c r="G10" s="3"/>
      <c r="H10" s="113"/>
      <c r="I10" s="113"/>
      <c r="J10" s="113"/>
      <c r="K10" s="113"/>
      <c r="L10" s="113"/>
      <c r="M10" s="113"/>
      <c r="N10" s="113"/>
      <c r="O10" s="3"/>
      <c r="P10" s="3"/>
      <c r="Q10" s="3"/>
    </row>
    <row r="11" spans="1:17" x14ac:dyDescent="0.25">
      <c r="C11" t="str" cm="1">
        <f t="array" ref="C11:C13">+C3:C5</f>
        <v>Foot Solutions</v>
      </c>
      <c r="G11" s="4">
        <v>0.52854836417072271</v>
      </c>
      <c r="H11" s="215">
        <v>0.5194553187608536</v>
      </c>
      <c r="I11" s="215">
        <v>0.52962561139759468</v>
      </c>
      <c r="J11" s="215">
        <f>AVERAGE(G11:I11)</f>
        <v>0.52587643144305696</v>
      </c>
      <c r="K11" s="215">
        <f t="shared" ref="K11:N13" si="3">AVERAGE(H11:J11)</f>
        <v>0.52498578720050171</v>
      </c>
      <c r="L11" s="215">
        <f t="shared" si="3"/>
        <v>0.52682927668038448</v>
      </c>
      <c r="M11" s="215">
        <f t="shared" si="3"/>
        <v>0.52589716510798112</v>
      </c>
      <c r="N11" s="215">
        <f t="shared" si="3"/>
        <v>0.52590407632962244</v>
      </c>
      <c r="O11" s="3"/>
      <c r="P11" s="3"/>
      <c r="Q11" s="3"/>
    </row>
    <row r="12" spans="1:17" x14ac:dyDescent="0.25">
      <c r="C12" t="str">
        <v>Greeting Fulfillments</v>
      </c>
      <c r="G12" s="4">
        <v>0.54951211586347426</v>
      </c>
      <c r="H12" s="215">
        <v>0.50621254781209779</v>
      </c>
      <c r="I12" s="215">
        <v>0.54249378241668467</v>
      </c>
      <c r="J12" s="215">
        <f t="shared" ref="J12:J13" si="4">AVERAGE(G12:I12)</f>
        <v>0.53273948203075217</v>
      </c>
      <c r="K12" s="215">
        <f t="shared" si="3"/>
        <v>0.52714860408651154</v>
      </c>
      <c r="L12" s="215">
        <f t="shared" si="3"/>
        <v>0.53412728951131605</v>
      </c>
      <c r="M12" s="215">
        <f t="shared" si="3"/>
        <v>0.53133845854285988</v>
      </c>
      <c r="N12" s="215">
        <f t="shared" si="3"/>
        <v>0.53087145071356245</v>
      </c>
      <c r="O12" s="3"/>
      <c r="P12" s="3"/>
      <c r="Q12" s="3"/>
    </row>
    <row r="13" spans="1:17" x14ac:dyDescent="0.25">
      <c r="C13" t="str">
        <v>Legendwear</v>
      </c>
      <c r="G13" s="4">
        <v>0.50169647794478178</v>
      </c>
      <c r="H13" s="215">
        <v>0.51854695978673515</v>
      </c>
      <c r="I13" s="215">
        <v>0.53504035458789467</v>
      </c>
      <c r="J13" s="215">
        <f t="shared" si="4"/>
        <v>0.5184279307731372</v>
      </c>
      <c r="K13" s="215">
        <f t="shared" si="3"/>
        <v>0.52400508171592231</v>
      </c>
      <c r="L13" s="215">
        <f t="shared" si="3"/>
        <v>0.52582445569231806</v>
      </c>
      <c r="M13" s="215">
        <f t="shared" si="3"/>
        <v>0.5227524893937926</v>
      </c>
      <c r="N13" s="215">
        <f t="shared" si="3"/>
        <v>0.52419400893401102</v>
      </c>
      <c r="O13" s="3"/>
      <c r="P13" s="3"/>
      <c r="Q13" s="3"/>
    </row>
    <row r="14" spans="1:17" x14ac:dyDescent="0.25">
      <c r="B14" t="s">
        <v>19</v>
      </c>
      <c r="G14" s="3"/>
      <c r="H14" s="113"/>
      <c r="I14" s="113"/>
      <c r="J14" s="215"/>
      <c r="K14" s="215"/>
      <c r="L14" s="215"/>
      <c r="M14" s="215"/>
      <c r="N14" s="215"/>
      <c r="O14" s="3"/>
      <c r="P14" s="3"/>
      <c r="Q14" s="3"/>
    </row>
    <row r="15" spans="1:17" x14ac:dyDescent="0.25">
      <c r="C15" t="s">
        <v>12</v>
      </c>
      <c r="G15" s="8">
        <v>4.5201409593245243E-2</v>
      </c>
      <c r="H15" s="214">
        <v>4.1519681992051187E-2</v>
      </c>
      <c r="I15" s="214">
        <v>4.1485585113035905E-2</v>
      </c>
      <c r="J15" s="214">
        <v>4.1000000000000002E-2</v>
      </c>
      <c r="K15" s="214">
        <f t="shared" ref="K15:K18" si="5">AVERAGE(H15:J15)</f>
        <v>4.1335089035029034E-2</v>
      </c>
      <c r="L15" s="214">
        <f t="shared" ref="L15:L19" si="6">AVERAGE(I15:K15)</f>
        <v>4.127355804935498E-2</v>
      </c>
      <c r="M15" s="214">
        <f t="shared" ref="M15:M19" si="7">AVERAGE(J15:L15)</f>
        <v>4.1202882361461336E-2</v>
      </c>
      <c r="N15" s="214">
        <f t="shared" ref="N15:N19" si="8">AVERAGE(K15:M15)</f>
        <v>4.1270509815281776E-2</v>
      </c>
      <c r="O15" s="3"/>
      <c r="P15" s="3"/>
      <c r="Q15" s="3"/>
    </row>
    <row r="16" spans="1:17" x14ac:dyDescent="0.25">
      <c r="C16" t="s">
        <v>18</v>
      </c>
      <c r="G16" s="8">
        <v>3.9664352979264857E-2</v>
      </c>
      <c r="H16" s="214">
        <v>4.8252510269861749E-2</v>
      </c>
      <c r="I16" s="214">
        <v>4.2862899628605206E-2</v>
      </c>
      <c r="J16" s="214">
        <v>4.2999999999999997E-2</v>
      </c>
      <c r="K16" s="214">
        <f t="shared" si="5"/>
        <v>4.4705136632822308E-2</v>
      </c>
      <c r="L16" s="214">
        <f t="shared" si="6"/>
        <v>4.352267875380917E-2</v>
      </c>
      <c r="M16" s="214">
        <f t="shared" si="7"/>
        <v>4.3742605128877156E-2</v>
      </c>
      <c r="N16" s="214">
        <f t="shared" si="8"/>
        <v>4.3990140171836216E-2</v>
      </c>
      <c r="O16" s="3"/>
      <c r="P16" s="3"/>
      <c r="Q16" s="3"/>
    </row>
    <row r="17" spans="2:17" x14ac:dyDescent="0.25">
      <c r="C17" t="s">
        <v>13</v>
      </c>
      <c r="G17" s="8">
        <v>3.0733282245427887E-2</v>
      </c>
      <c r="H17" s="214">
        <v>3.7306793650625385E-2</v>
      </c>
      <c r="I17" s="214">
        <v>4.1556613459003598E-2</v>
      </c>
      <c r="J17" s="214">
        <f t="shared" ref="J17:J18" si="9">AVERAGE(G17:I17)</f>
        <v>3.6532229785018959E-2</v>
      </c>
      <c r="K17" s="214">
        <f t="shared" si="5"/>
        <v>3.8465212298215978E-2</v>
      </c>
      <c r="L17" s="214">
        <f t="shared" si="6"/>
        <v>3.8851351847412847E-2</v>
      </c>
      <c r="M17" s="214">
        <f t="shared" si="7"/>
        <v>3.7949597976882597E-2</v>
      </c>
      <c r="N17" s="214">
        <f t="shared" si="8"/>
        <v>3.8422054040837143E-2</v>
      </c>
      <c r="O17" s="3"/>
      <c r="P17" s="3"/>
      <c r="Q17" s="3"/>
    </row>
    <row r="18" spans="2:17" x14ac:dyDescent="0.25">
      <c r="C18" t="s">
        <v>14</v>
      </c>
      <c r="G18" s="8">
        <v>3.1545545518032389E-2</v>
      </c>
      <c r="H18" s="214">
        <v>3.7579353363473476E-2</v>
      </c>
      <c r="I18" s="214">
        <v>3.6485053409750758E-2</v>
      </c>
      <c r="J18" s="214">
        <f t="shared" si="9"/>
        <v>3.5203317430418872E-2</v>
      </c>
      <c r="K18" s="214">
        <f t="shared" si="5"/>
        <v>3.6422574734547707E-2</v>
      </c>
      <c r="L18" s="214">
        <f t="shared" si="6"/>
        <v>3.6036981858239114E-2</v>
      </c>
      <c r="M18" s="214">
        <f t="shared" si="7"/>
        <v>3.5887624674401895E-2</v>
      </c>
      <c r="N18" s="214">
        <f t="shared" si="8"/>
        <v>3.611572708906291E-2</v>
      </c>
      <c r="O18" s="3"/>
      <c r="P18" s="3"/>
      <c r="Q18" s="3"/>
    </row>
    <row r="19" spans="2:17" x14ac:dyDescent="0.25">
      <c r="C19" t="s">
        <v>15</v>
      </c>
      <c r="G19" s="8">
        <v>3.7692894294469433E-2</v>
      </c>
      <c r="H19" s="214">
        <v>4.6375124233892735E-2</v>
      </c>
      <c r="I19" s="214">
        <v>3.367032862835715E-2</v>
      </c>
      <c r="J19" s="214">
        <v>3.5999999999999997E-2</v>
      </c>
      <c r="K19" s="214">
        <f>+J19</f>
        <v>3.5999999999999997E-2</v>
      </c>
      <c r="L19" s="214">
        <f t="shared" si="6"/>
        <v>3.5223442876119053E-2</v>
      </c>
      <c r="M19" s="214">
        <f t="shared" si="7"/>
        <v>3.5741147625373011E-2</v>
      </c>
      <c r="N19" s="214">
        <f t="shared" si="8"/>
        <v>3.5654863500497354E-2</v>
      </c>
      <c r="O19" s="3"/>
      <c r="P19" s="3"/>
      <c r="Q19" s="3"/>
    </row>
    <row r="20" spans="2:17" x14ac:dyDescent="0.25">
      <c r="C20" t="s">
        <v>16</v>
      </c>
      <c r="G20" s="3">
        <v>1000</v>
      </c>
      <c r="H20" s="113">
        <f>+G20</f>
        <v>1000</v>
      </c>
      <c r="I20" s="113">
        <f>+H20</f>
        <v>1000</v>
      </c>
      <c r="J20" s="113">
        <f t="shared" ref="J20:N20" si="10">+I20</f>
        <v>1000</v>
      </c>
      <c r="K20" s="113">
        <f t="shared" si="10"/>
        <v>1000</v>
      </c>
      <c r="L20" s="113">
        <f t="shared" si="10"/>
        <v>1000</v>
      </c>
      <c r="M20" s="113">
        <f t="shared" si="10"/>
        <v>1000</v>
      </c>
      <c r="N20" s="113">
        <f t="shared" si="10"/>
        <v>1000</v>
      </c>
      <c r="O20" s="3"/>
      <c r="P20" s="3"/>
      <c r="Q20" s="3"/>
    </row>
    <row r="21" spans="2:17" x14ac:dyDescent="0.25">
      <c r="C21" t="s">
        <v>17</v>
      </c>
      <c r="G21" s="3">
        <v>250</v>
      </c>
      <c r="H21" s="113">
        <f>+G21</f>
        <v>250</v>
      </c>
      <c r="I21" s="113">
        <f>+H21</f>
        <v>250</v>
      </c>
      <c r="J21" s="113">
        <f>+I21+LBO.Goodwill/20</f>
        <v>2841.0597968980851</v>
      </c>
      <c r="K21" s="113">
        <f t="shared" ref="K21:N21" si="11">+J21</f>
        <v>2841.0597968980851</v>
      </c>
      <c r="L21" s="113">
        <f t="shared" si="11"/>
        <v>2841.0597968980851</v>
      </c>
      <c r="M21" s="113">
        <f t="shared" si="11"/>
        <v>2841.0597968980851</v>
      </c>
      <c r="N21" s="113">
        <f t="shared" si="11"/>
        <v>2841.0597968980851</v>
      </c>
      <c r="O21" s="3"/>
      <c r="P21" s="3"/>
      <c r="Q21" s="3"/>
    </row>
    <row r="22" spans="2:17" x14ac:dyDescent="0.25">
      <c r="B22" t="s">
        <v>24</v>
      </c>
      <c r="G22" s="4">
        <v>0.21</v>
      </c>
      <c r="H22" s="113"/>
      <c r="I22" s="113"/>
      <c r="J22" s="113"/>
      <c r="K22" s="113"/>
      <c r="L22" s="113"/>
      <c r="M22" s="113"/>
      <c r="N22" s="113"/>
      <c r="O22" s="3"/>
      <c r="P22" s="3"/>
      <c r="Q22" s="3"/>
    </row>
    <row r="23" spans="2:17" x14ac:dyDescent="0.25">
      <c r="B23" t="s">
        <v>27</v>
      </c>
      <c r="G23" s="3">
        <v>1500</v>
      </c>
      <c r="H23" s="113">
        <f>+G23</f>
        <v>1500</v>
      </c>
      <c r="I23" s="113">
        <f>+H23</f>
        <v>1500</v>
      </c>
      <c r="J23" s="113">
        <v>0</v>
      </c>
      <c r="K23" s="113">
        <f t="shared" ref="K23:N23" si="12">+J23</f>
        <v>0</v>
      </c>
      <c r="L23" s="113">
        <f t="shared" si="12"/>
        <v>0</v>
      </c>
      <c r="M23" s="113">
        <f t="shared" si="12"/>
        <v>0</v>
      </c>
      <c r="N23" s="113">
        <f t="shared" si="12"/>
        <v>0</v>
      </c>
      <c r="O23" s="3"/>
      <c r="P23" s="3"/>
      <c r="Q23" s="3"/>
    </row>
    <row r="24" spans="2:17" x14ac:dyDescent="0.25">
      <c r="B24" t="s">
        <v>78</v>
      </c>
      <c r="G24" s="3">
        <v>500</v>
      </c>
      <c r="H24" s="113">
        <f>+G24</f>
        <v>500</v>
      </c>
      <c r="I24" s="113">
        <f>+H24</f>
        <v>500</v>
      </c>
      <c r="J24" s="113">
        <v>0</v>
      </c>
      <c r="K24" s="113">
        <f t="shared" ref="K24:N24" si="13">+J24</f>
        <v>0</v>
      </c>
      <c r="L24" s="113">
        <f t="shared" si="13"/>
        <v>0</v>
      </c>
      <c r="M24" s="113">
        <f t="shared" si="13"/>
        <v>0</v>
      </c>
      <c r="N24" s="113">
        <f t="shared" si="13"/>
        <v>0</v>
      </c>
      <c r="O24" s="3"/>
      <c r="P24" s="3"/>
      <c r="Q24" s="3"/>
    </row>
    <row r="25" spans="2:17" x14ac:dyDescent="0.25">
      <c r="B25" t="s">
        <v>30</v>
      </c>
      <c r="G25" s="3"/>
      <c r="H25" s="113"/>
      <c r="I25" s="113"/>
      <c r="J25" s="113"/>
      <c r="K25" s="113"/>
      <c r="L25" s="113"/>
      <c r="M25" s="113"/>
      <c r="N25" s="113"/>
      <c r="O25" s="3"/>
      <c r="P25" s="3"/>
      <c r="Q25" s="3"/>
    </row>
    <row r="26" spans="2:17" x14ac:dyDescent="0.25">
      <c r="C26" t="s">
        <v>34</v>
      </c>
      <c r="G26" s="3"/>
      <c r="H26" s="113"/>
      <c r="I26" s="113"/>
      <c r="J26" s="113"/>
      <c r="K26" s="113"/>
      <c r="L26" s="113"/>
      <c r="M26" s="113"/>
      <c r="N26" s="113"/>
      <c r="O26" s="3"/>
      <c r="P26" s="3"/>
      <c r="Q26" s="3"/>
    </row>
    <row r="27" spans="2:17" x14ac:dyDescent="0.25">
      <c r="D27" t="s">
        <v>35</v>
      </c>
      <c r="G27" s="3">
        <v>60</v>
      </c>
      <c r="H27" s="113">
        <f t="shared" ref="H27:I29" si="14">+G27</f>
        <v>60</v>
      </c>
      <c r="I27" s="113">
        <f t="shared" si="14"/>
        <v>60</v>
      </c>
      <c r="J27" s="113">
        <v>55</v>
      </c>
      <c r="K27" s="113">
        <v>50</v>
      </c>
      <c r="L27" s="113">
        <v>45</v>
      </c>
      <c r="M27" s="113">
        <v>43</v>
      </c>
      <c r="N27" s="113">
        <f t="shared" ref="N27:N32" si="15">+M27</f>
        <v>43</v>
      </c>
      <c r="O27" s="3"/>
      <c r="P27" s="3"/>
      <c r="Q27" s="3"/>
    </row>
    <row r="28" spans="2:17" x14ac:dyDescent="0.25">
      <c r="D28" t="s">
        <v>37</v>
      </c>
      <c r="G28" s="3">
        <v>32</v>
      </c>
      <c r="H28" s="113">
        <f t="shared" si="14"/>
        <v>32</v>
      </c>
      <c r="I28" s="113">
        <f t="shared" si="14"/>
        <v>32</v>
      </c>
      <c r="J28" s="113">
        <v>28</v>
      </c>
      <c r="K28" s="113">
        <v>26</v>
      </c>
      <c r="L28" s="113">
        <v>24</v>
      </c>
      <c r="M28" s="113">
        <v>23</v>
      </c>
      <c r="N28" s="113">
        <f t="shared" si="15"/>
        <v>23</v>
      </c>
      <c r="O28" s="3"/>
      <c r="P28" s="3"/>
      <c r="Q28" s="3"/>
    </row>
    <row r="29" spans="2:17" x14ac:dyDescent="0.25">
      <c r="D29" t="s">
        <v>38</v>
      </c>
      <c r="G29" s="4">
        <v>0.03</v>
      </c>
      <c r="H29" s="215">
        <f t="shared" si="14"/>
        <v>0.03</v>
      </c>
      <c r="I29" s="215">
        <f t="shared" si="14"/>
        <v>0.03</v>
      </c>
      <c r="J29" s="215">
        <f t="shared" ref="J29:J31" si="16">+I29</f>
        <v>0.03</v>
      </c>
      <c r="K29" s="215">
        <f t="shared" ref="K29:K32" si="17">+J29</f>
        <v>0.03</v>
      </c>
      <c r="L29" s="215">
        <f t="shared" ref="L29:L32" si="18">+K29</f>
        <v>0.03</v>
      </c>
      <c r="M29" s="215">
        <f t="shared" ref="M29:M32" si="19">+L29</f>
        <v>0.03</v>
      </c>
      <c r="N29" s="215">
        <f t="shared" si="15"/>
        <v>0.03</v>
      </c>
      <c r="O29" s="3"/>
      <c r="P29" s="3"/>
      <c r="Q29" s="3"/>
    </row>
    <row r="30" spans="2:17" x14ac:dyDescent="0.25">
      <c r="D30" t="s">
        <v>58</v>
      </c>
      <c r="G30" s="3">
        <v>35</v>
      </c>
      <c r="H30" s="113">
        <f t="shared" ref="H30" si="20">+G30</f>
        <v>35</v>
      </c>
      <c r="I30" s="113">
        <f t="shared" ref="I30:I31" si="21">+H30</f>
        <v>35</v>
      </c>
      <c r="J30" s="113">
        <v>40</v>
      </c>
      <c r="K30" s="113">
        <v>45</v>
      </c>
      <c r="L30" s="113">
        <f t="shared" si="18"/>
        <v>45</v>
      </c>
      <c r="M30" s="113">
        <v>47</v>
      </c>
      <c r="N30" s="113">
        <f t="shared" si="15"/>
        <v>47</v>
      </c>
      <c r="O30" s="3"/>
      <c r="P30" s="3"/>
      <c r="Q30" s="3"/>
    </row>
    <row r="31" spans="2:17" x14ac:dyDescent="0.25">
      <c r="D31" t="s">
        <v>57</v>
      </c>
      <c r="G31" s="4">
        <v>0.03</v>
      </c>
      <c r="H31" s="215">
        <f>+G31</f>
        <v>0.03</v>
      </c>
      <c r="I31" s="215">
        <f t="shared" si="21"/>
        <v>0.03</v>
      </c>
      <c r="J31" s="215">
        <f t="shared" si="16"/>
        <v>0.03</v>
      </c>
      <c r="K31" s="215">
        <f t="shared" si="17"/>
        <v>0.03</v>
      </c>
      <c r="L31" s="215">
        <f t="shared" si="18"/>
        <v>0.03</v>
      </c>
      <c r="M31" s="215">
        <f t="shared" si="19"/>
        <v>0.03</v>
      </c>
      <c r="N31" s="215">
        <f t="shared" si="15"/>
        <v>0.03</v>
      </c>
      <c r="O31" s="3"/>
      <c r="P31" s="3"/>
      <c r="Q31" s="3"/>
    </row>
    <row r="32" spans="2:17" x14ac:dyDescent="0.25">
      <c r="C32" t="s">
        <v>43</v>
      </c>
      <c r="G32" s="3"/>
      <c r="H32" s="113">
        <v>2500</v>
      </c>
      <c r="I32" s="113">
        <f>+H32</f>
        <v>2500</v>
      </c>
      <c r="J32" s="113">
        <v>1750</v>
      </c>
      <c r="K32" s="113">
        <f t="shared" si="17"/>
        <v>1750</v>
      </c>
      <c r="L32" s="113">
        <f t="shared" si="18"/>
        <v>1750</v>
      </c>
      <c r="M32" s="113">
        <f t="shared" si="19"/>
        <v>1750</v>
      </c>
      <c r="N32" s="113">
        <f t="shared" si="15"/>
        <v>1750</v>
      </c>
      <c r="O32" s="3"/>
      <c r="P32" s="3"/>
      <c r="Q32" s="3"/>
    </row>
    <row r="33" spans="3:17" x14ac:dyDescent="0.25">
      <c r="C33" t="s">
        <v>44</v>
      </c>
      <c r="G33" s="3">
        <v>6000</v>
      </c>
      <c r="H33" s="113"/>
      <c r="I33" s="113"/>
      <c r="J33" s="113"/>
      <c r="K33" s="113"/>
      <c r="L33" s="113"/>
      <c r="M33" s="113"/>
      <c r="N33" s="113"/>
      <c r="O33" s="3"/>
      <c r="P33" s="3"/>
      <c r="Q33" s="3"/>
    </row>
    <row r="34" spans="3:17" x14ac:dyDescent="0.25">
      <c r="C34" t="s">
        <v>45</v>
      </c>
      <c r="G34" s="3">
        <v>1500</v>
      </c>
      <c r="H34" s="113"/>
      <c r="I34" s="113"/>
      <c r="J34" s="113"/>
      <c r="K34" s="113"/>
      <c r="L34" s="113"/>
      <c r="M34" s="113"/>
      <c r="N34" s="113"/>
      <c r="O34" s="3"/>
      <c r="P34" s="3"/>
      <c r="Q34" s="3"/>
    </row>
    <row r="35" spans="3:17" x14ac:dyDescent="0.25">
      <c r="C35" t="s">
        <v>49</v>
      </c>
      <c r="G35" s="3">
        <v>2000</v>
      </c>
      <c r="H35" s="3"/>
      <c r="I35" s="3"/>
      <c r="J35" s="3"/>
      <c r="K35" s="3"/>
      <c r="L35" s="3"/>
      <c r="M35" s="3"/>
      <c r="N35" s="3"/>
      <c r="O35" s="3"/>
      <c r="P35" s="3"/>
      <c r="Q35" s="3"/>
    </row>
    <row r="36" spans="3:17" x14ac:dyDescent="0.25">
      <c r="C36" t="s">
        <v>98</v>
      </c>
      <c r="G36" s="3">
        <v>4500</v>
      </c>
      <c r="H36" s="3"/>
      <c r="I36" s="3"/>
      <c r="J36" s="3"/>
      <c r="K36" s="3"/>
      <c r="L36" s="3"/>
      <c r="M36" s="3"/>
      <c r="N36" s="3"/>
      <c r="O36" s="3"/>
      <c r="P36" s="3"/>
      <c r="Q36" s="3"/>
    </row>
    <row r="37" spans="3:17" x14ac:dyDescent="0.25">
      <c r="G37" s="3"/>
      <c r="H37" s="3"/>
      <c r="I37" s="3"/>
      <c r="J37" s="3"/>
      <c r="K37" s="3"/>
      <c r="L37" s="3"/>
      <c r="M37" s="3"/>
      <c r="N37" s="3"/>
      <c r="O37" s="3"/>
      <c r="P37" s="3"/>
      <c r="Q37" s="3"/>
    </row>
    <row r="38" spans="3:17" x14ac:dyDescent="0.25">
      <c r="G38" s="3"/>
      <c r="H38" s="3"/>
      <c r="I38" s="3"/>
      <c r="J38" s="3"/>
      <c r="K38" s="3"/>
      <c r="L38" s="3"/>
      <c r="M38" s="3"/>
      <c r="N38" s="3"/>
      <c r="O38" s="3"/>
      <c r="P38" s="3"/>
      <c r="Q38" s="3"/>
    </row>
    <row r="39" spans="3:17" x14ac:dyDescent="0.25">
      <c r="G39" s="3"/>
      <c r="H39" s="3"/>
      <c r="I39" s="3"/>
      <c r="J39" s="3"/>
      <c r="K39" s="3"/>
      <c r="L39" s="3"/>
      <c r="M39" s="3"/>
      <c r="N39" s="3"/>
      <c r="O39" s="3"/>
      <c r="P39" s="3"/>
      <c r="Q39" s="3"/>
    </row>
    <row r="40" spans="3:17" x14ac:dyDescent="0.25">
      <c r="G40" s="3"/>
      <c r="H40" s="3"/>
      <c r="I40" s="3"/>
      <c r="J40" s="3"/>
      <c r="K40" s="3"/>
      <c r="L40" s="3"/>
      <c r="M40" s="3"/>
      <c r="N40" s="3"/>
      <c r="O40" s="3"/>
      <c r="P40" s="3"/>
      <c r="Q40" s="3"/>
    </row>
    <row r="41" spans="3:17" x14ac:dyDescent="0.25">
      <c r="G41" s="3"/>
      <c r="H41" s="3"/>
      <c r="I41" s="3"/>
      <c r="J41" s="3"/>
      <c r="K41" s="3"/>
      <c r="L41" s="3"/>
      <c r="M41" s="3"/>
      <c r="N41" s="3"/>
      <c r="O41" s="3"/>
      <c r="P41" s="3"/>
      <c r="Q41" s="3"/>
    </row>
    <row r="42" spans="3:17" x14ac:dyDescent="0.25">
      <c r="G42" s="3"/>
      <c r="H42" s="3"/>
      <c r="I42" s="3"/>
      <c r="J42" s="3"/>
      <c r="K42" s="3"/>
      <c r="L42" s="3"/>
      <c r="M42" s="3"/>
      <c r="N42" s="3"/>
      <c r="O42" s="3"/>
      <c r="P42" s="3"/>
      <c r="Q42" s="3"/>
    </row>
    <row r="43" spans="3:17" x14ac:dyDescent="0.25">
      <c r="G43" s="3"/>
      <c r="H43" s="3"/>
      <c r="I43" s="3"/>
      <c r="J43" s="3"/>
      <c r="K43" s="3"/>
      <c r="L43" s="3"/>
      <c r="M43" s="3"/>
      <c r="N43" s="3"/>
      <c r="O43" s="3"/>
      <c r="P43" s="3"/>
      <c r="Q43" s="3"/>
    </row>
    <row r="44" spans="3:17" x14ac:dyDescent="0.25">
      <c r="G44" s="3"/>
      <c r="H44" s="3"/>
      <c r="I44" s="3"/>
      <c r="J44" s="3"/>
      <c r="K44" s="3"/>
      <c r="L44" s="3"/>
      <c r="M44" s="3"/>
      <c r="N44" s="3"/>
      <c r="O44" s="3"/>
      <c r="P44" s="3"/>
      <c r="Q44" s="3"/>
    </row>
    <row r="45" spans="3:17" x14ac:dyDescent="0.25">
      <c r="G45" s="3"/>
      <c r="H45" s="3"/>
      <c r="I45" s="3"/>
      <c r="J45" s="3"/>
      <c r="K45" s="3"/>
      <c r="L45" s="3"/>
      <c r="M45" s="3"/>
      <c r="N45" s="3"/>
      <c r="O45" s="3"/>
      <c r="P45" s="3"/>
      <c r="Q45" s="3"/>
    </row>
    <row r="46" spans="3:17" x14ac:dyDescent="0.25">
      <c r="G46" s="3"/>
      <c r="H46" s="3"/>
      <c r="I46" s="3"/>
      <c r="J46" s="3"/>
      <c r="K46" s="3"/>
      <c r="L46" s="3"/>
      <c r="M46" s="3"/>
      <c r="N46" s="3"/>
      <c r="O46" s="3"/>
      <c r="P46" s="3"/>
      <c r="Q46" s="3"/>
    </row>
    <row r="47" spans="3:17" x14ac:dyDescent="0.25">
      <c r="G47" s="3"/>
      <c r="H47" s="3"/>
      <c r="I47" s="3"/>
      <c r="J47" s="3"/>
      <c r="K47" s="3"/>
      <c r="L47" s="3"/>
      <c r="M47" s="3"/>
      <c r="N47" s="3"/>
      <c r="O47" s="3"/>
      <c r="P47" s="3"/>
      <c r="Q47" s="3"/>
    </row>
    <row r="48" spans="3:17" x14ac:dyDescent="0.25">
      <c r="G48" s="3"/>
      <c r="H48" s="3"/>
      <c r="I48" s="3"/>
      <c r="J48" s="3"/>
      <c r="K48" s="3"/>
      <c r="L48" s="3"/>
      <c r="M48" s="3"/>
      <c r="N48" s="3"/>
      <c r="O48" s="3"/>
      <c r="P48" s="3"/>
      <c r="Q48" s="3"/>
    </row>
    <row r="49" spans="7:17" x14ac:dyDescent="0.25">
      <c r="G49" s="3"/>
      <c r="H49" s="3"/>
      <c r="I49" s="3"/>
      <c r="J49" s="3"/>
      <c r="K49" s="3"/>
      <c r="L49" s="3"/>
      <c r="M49" s="3"/>
      <c r="N49" s="3"/>
      <c r="O49" s="3"/>
      <c r="P49" s="3"/>
      <c r="Q49" s="3"/>
    </row>
    <row r="50" spans="7:17" x14ac:dyDescent="0.25">
      <c r="G50" s="3"/>
      <c r="H50" s="3"/>
      <c r="I50" s="3"/>
      <c r="J50" s="3"/>
      <c r="K50" s="3"/>
      <c r="L50" s="3"/>
      <c r="M50" s="3"/>
      <c r="N50" s="3"/>
      <c r="O50" s="3"/>
      <c r="P50" s="3"/>
      <c r="Q50" s="3"/>
    </row>
    <row r="51" spans="7:17" x14ac:dyDescent="0.25">
      <c r="G51" s="3"/>
      <c r="H51" s="3"/>
      <c r="I51" s="3"/>
      <c r="J51" s="3"/>
      <c r="K51" s="3"/>
      <c r="L51" s="3"/>
      <c r="M51" s="3"/>
      <c r="N51" s="3"/>
      <c r="O51" s="3"/>
      <c r="P51" s="3"/>
      <c r="Q51" s="3"/>
    </row>
    <row r="52" spans="7:17" x14ac:dyDescent="0.25">
      <c r="G52" s="3"/>
      <c r="H52" s="3"/>
      <c r="I52" s="3"/>
      <c r="J52" s="3"/>
      <c r="K52" s="3"/>
      <c r="L52" s="3"/>
      <c r="M52" s="3"/>
      <c r="N52" s="3"/>
      <c r="O52" s="3"/>
      <c r="P52" s="3"/>
      <c r="Q52" s="3"/>
    </row>
    <row r="53" spans="7:17" x14ac:dyDescent="0.25">
      <c r="G53" s="3"/>
      <c r="H53" s="3"/>
      <c r="I53" s="3"/>
      <c r="J53" s="3"/>
      <c r="K53" s="3"/>
      <c r="L53" s="3"/>
      <c r="M53" s="3"/>
      <c r="N53" s="3"/>
      <c r="O53" s="3"/>
      <c r="P53" s="3"/>
      <c r="Q53" s="3"/>
    </row>
    <row r="54" spans="7:17" x14ac:dyDescent="0.25">
      <c r="G54" s="3"/>
      <c r="H54" s="3"/>
      <c r="I54" s="3"/>
      <c r="J54" s="3"/>
      <c r="K54" s="3"/>
      <c r="L54" s="3"/>
      <c r="M54" s="3"/>
      <c r="N54" s="3"/>
      <c r="O54" s="3"/>
      <c r="P54" s="3"/>
      <c r="Q54" s="3"/>
    </row>
    <row r="55" spans="7:17" x14ac:dyDescent="0.25">
      <c r="G55" s="3"/>
      <c r="H55" s="3"/>
      <c r="I55" s="3"/>
      <c r="J55" s="3"/>
      <c r="K55" s="3"/>
      <c r="L55" s="3"/>
      <c r="M55" s="3"/>
      <c r="N55" s="3"/>
      <c r="O55" s="3"/>
      <c r="P55" s="3"/>
      <c r="Q55" s="3"/>
    </row>
    <row r="56" spans="7:17" x14ac:dyDescent="0.25">
      <c r="G56" s="3"/>
      <c r="H56" s="3"/>
      <c r="I56" s="3"/>
      <c r="J56" s="3"/>
      <c r="K56" s="3"/>
      <c r="L56" s="3"/>
      <c r="M56" s="3"/>
      <c r="N56" s="3"/>
      <c r="O56" s="3"/>
      <c r="P56" s="3"/>
      <c r="Q56" s="3"/>
    </row>
    <row r="57" spans="7:17" x14ac:dyDescent="0.25">
      <c r="G57" s="3"/>
      <c r="H57" s="3"/>
      <c r="I57" s="3"/>
      <c r="J57" s="3"/>
      <c r="K57" s="3"/>
      <c r="L57" s="3"/>
      <c r="M57" s="3"/>
      <c r="N57" s="3"/>
      <c r="O57" s="3"/>
      <c r="P57" s="3"/>
      <c r="Q57" s="3"/>
    </row>
    <row r="58" spans="7:17" x14ac:dyDescent="0.25">
      <c r="G58" s="3"/>
      <c r="H58" s="3"/>
      <c r="I58" s="3"/>
      <c r="J58" s="3"/>
      <c r="K58" s="3"/>
      <c r="L58" s="3"/>
      <c r="M58" s="3"/>
      <c r="N58" s="3"/>
      <c r="O58" s="3"/>
      <c r="P58" s="3"/>
      <c r="Q58" s="3"/>
    </row>
    <row r="59" spans="7:17" x14ac:dyDescent="0.25">
      <c r="G59" s="3"/>
      <c r="H59" s="3"/>
      <c r="I59" s="3"/>
      <c r="J59" s="3"/>
      <c r="K59" s="3"/>
      <c r="L59" s="3"/>
      <c r="M59" s="3"/>
      <c r="N59" s="3"/>
      <c r="O59" s="3"/>
      <c r="P59" s="3"/>
      <c r="Q59" s="3"/>
    </row>
    <row r="60" spans="7:17" x14ac:dyDescent="0.25">
      <c r="G60" s="3"/>
      <c r="H60" s="3"/>
      <c r="I60" s="3"/>
      <c r="J60" s="3"/>
      <c r="K60" s="3"/>
      <c r="L60" s="3"/>
      <c r="M60" s="3"/>
      <c r="N60" s="3"/>
      <c r="O60" s="3"/>
      <c r="P60" s="3"/>
      <c r="Q60" s="3"/>
    </row>
    <row r="61" spans="7:17" x14ac:dyDescent="0.25">
      <c r="G61" s="3"/>
      <c r="H61" s="3"/>
      <c r="I61" s="3"/>
      <c r="J61" s="3"/>
      <c r="K61" s="3"/>
      <c r="L61" s="3"/>
      <c r="M61" s="3"/>
      <c r="N61" s="3"/>
      <c r="O61" s="3"/>
      <c r="P61" s="3"/>
      <c r="Q61" s="3"/>
    </row>
    <row r="62" spans="7:17" x14ac:dyDescent="0.25">
      <c r="G62" s="3"/>
      <c r="H62" s="3"/>
      <c r="I62" s="3"/>
      <c r="J62" s="3"/>
      <c r="K62" s="3"/>
      <c r="L62" s="3"/>
      <c r="M62" s="3"/>
      <c r="N62" s="3"/>
      <c r="O62" s="3"/>
      <c r="P62" s="3"/>
      <c r="Q62" s="3"/>
    </row>
    <row r="63" spans="7:17" x14ac:dyDescent="0.25">
      <c r="G63" s="3"/>
      <c r="H63" s="3"/>
      <c r="I63" s="3"/>
      <c r="J63" s="3"/>
      <c r="K63" s="3"/>
      <c r="L63" s="3"/>
      <c r="M63" s="3"/>
      <c r="N63" s="3"/>
      <c r="O63" s="3"/>
      <c r="P63" s="3"/>
      <c r="Q63" s="3"/>
    </row>
    <row r="64" spans="7:17" x14ac:dyDescent="0.25">
      <c r="G64" s="3"/>
      <c r="H64" s="3"/>
      <c r="I64" s="3"/>
      <c r="J64" s="3"/>
      <c r="K64" s="3"/>
      <c r="L64" s="3"/>
      <c r="M64" s="3"/>
      <c r="N64" s="3"/>
      <c r="O64" s="3"/>
      <c r="P64" s="3"/>
      <c r="Q64" s="3"/>
    </row>
    <row r="65" spans="7:17" x14ac:dyDescent="0.25">
      <c r="G65" s="3"/>
      <c r="H65" s="3"/>
      <c r="I65" s="3"/>
      <c r="J65" s="3"/>
      <c r="K65" s="3"/>
      <c r="L65" s="3"/>
      <c r="M65" s="3"/>
      <c r="N65" s="3"/>
      <c r="O65" s="3"/>
      <c r="P65" s="3"/>
      <c r="Q65" s="3"/>
    </row>
    <row r="66" spans="7:17" x14ac:dyDescent="0.25">
      <c r="G66" s="3"/>
      <c r="H66" s="3"/>
      <c r="I66" s="3"/>
      <c r="J66" s="3"/>
      <c r="K66" s="3"/>
      <c r="L66" s="3"/>
      <c r="M66" s="3"/>
      <c r="N66" s="3"/>
      <c r="O66" s="3"/>
      <c r="P66" s="3"/>
      <c r="Q66" s="3"/>
    </row>
    <row r="67" spans="7:17" x14ac:dyDescent="0.25">
      <c r="G67" s="3"/>
      <c r="H67" s="3"/>
      <c r="I67" s="3"/>
      <c r="J67" s="3"/>
      <c r="K67" s="3"/>
      <c r="L67" s="3"/>
      <c r="M67" s="3"/>
      <c r="N67" s="3"/>
      <c r="O67" s="3"/>
      <c r="P67" s="3"/>
      <c r="Q67" s="3"/>
    </row>
    <row r="68" spans="7:17" x14ac:dyDescent="0.25">
      <c r="G68" s="3"/>
      <c r="H68" s="3"/>
      <c r="I68" s="3"/>
      <c r="J68" s="3"/>
      <c r="K68" s="3"/>
      <c r="L68" s="3"/>
      <c r="M68" s="3"/>
      <c r="N68" s="3"/>
      <c r="O68" s="3"/>
      <c r="P68" s="3"/>
      <c r="Q68" s="3"/>
    </row>
    <row r="69" spans="7:17" x14ac:dyDescent="0.25">
      <c r="G69" s="3"/>
      <c r="H69" s="3"/>
      <c r="I69" s="3"/>
      <c r="J69" s="3"/>
      <c r="K69" s="3"/>
      <c r="L69" s="3"/>
      <c r="M69" s="3"/>
      <c r="N69" s="3"/>
      <c r="O69" s="3"/>
      <c r="P69" s="3"/>
      <c r="Q69" s="3"/>
    </row>
    <row r="70" spans="7:17" x14ac:dyDescent="0.25">
      <c r="G70" s="3"/>
      <c r="H70" s="3"/>
      <c r="I70" s="3"/>
      <c r="J70" s="3"/>
      <c r="K70" s="3"/>
      <c r="L70" s="3"/>
      <c r="M70" s="3"/>
      <c r="N70" s="3"/>
      <c r="O70" s="3"/>
      <c r="P70" s="3"/>
      <c r="Q70" s="3"/>
    </row>
    <row r="71" spans="7:17" x14ac:dyDescent="0.25">
      <c r="G71" s="3"/>
      <c r="H71" s="3"/>
      <c r="I71" s="3"/>
      <c r="J71" s="3"/>
      <c r="K71" s="3"/>
      <c r="L71" s="3"/>
      <c r="M71" s="3"/>
      <c r="N71" s="3"/>
      <c r="O71" s="3"/>
      <c r="P71" s="3"/>
      <c r="Q71" s="3"/>
    </row>
    <row r="72" spans="7:17" x14ac:dyDescent="0.25">
      <c r="G72" s="3"/>
      <c r="H72" s="3"/>
      <c r="I72" s="3"/>
      <c r="J72" s="3"/>
      <c r="K72" s="3"/>
      <c r="L72" s="3"/>
      <c r="M72" s="3"/>
      <c r="N72" s="3"/>
      <c r="O72" s="3"/>
      <c r="P72" s="3"/>
      <c r="Q72" s="3"/>
    </row>
    <row r="73" spans="7:17" x14ac:dyDescent="0.25">
      <c r="G73" s="3"/>
      <c r="H73" s="3"/>
      <c r="I73" s="3"/>
      <c r="J73" s="3"/>
      <c r="K73" s="3"/>
      <c r="L73" s="3"/>
      <c r="M73" s="3"/>
      <c r="N73" s="3"/>
      <c r="O73" s="3"/>
      <c r="P73" s="3"/>
      <c r="Q73" s="3"/>
    </row>
    <row r="74" spans="7:17" x14ac:dyDescent="0.25">
      <c r="G74" s="3"/>
      <c r="H74" s="3"/>
      <c r="I74" s="3"/>
      <c r="J74" s="3"/>
      <c r="K74" s="3"/>
      <c r="L74" s="3"/>
      <c r="M74" s="3"/>
      <c r="N74" s="3"/>
      <c r="O74" s="3"/>
      <c r="P74" s="3"/>
      <c r="Q74" s="3"/>
    </row>
    <row r="75" spans="7:17" x14ac:dyDescent="0.25">
      <c r="G75" s="3"/>
      <c r="H75" s="3"/>
      <c r="I75" s="3"/>
      <c r="J75" s="3"/>
      <c r="K75" s="3"/>
      <c r="L75" s="3"/>
      <c r="M75" s="3"/>
      <c r="N75" s="3"/>
      <c r="O75" s="3"/>
      <c r="P75" s="3"/>
      <c r="Q75" s="3"/>
    </row>
    <row r="76" spans="7:17" x14ac:dyDescent="0.25">
      <c r="G76" s="3"/>
      <c r="H76" s="3"/>
      <c r="I76" s="3"/>
      <c r="J76" s="3"/>
      <c r="K76" s="3"/>
      <c r="L76" s="3"/>
      <c r="M76" s="3"/>
      <c r="N76" s="3"/>
      <c r="O76" s="3"/>
      <c r="P76" s="3"/>
      <c r="Q76" s="3"/>
    </row>
    <row r="77" spans="7:17" x14ac:dyDescent="0.25">
      <c r="G77" s="3"/>
      <c r="H77" s="3"/>
      <c r="I77" s="3"/>
      <c r="J77" s="3"/>
      <c r="K77" s="3"/>
      <c r="L77" s="3"/>
      <c r="M77" s="3"/>
      <c r="N77" s="3"/>
      <c r="O77" s="3"/>
      <c r="P77" s="3"/>
      <c r="Q77" s="3"/>
    </row>
    <row r="78" spans="7:17" x14ac:dyDescent="0.25">
      <c r="G78" s="3"/>
      <c r="H78" s="3"/>
      <c r="I78" s="3"/>
      <c r="J78" s="3"/>
      <c r="K78" s="3"/>
      <c r="L78" s="3"/>
      <c r="M78" s="3"/>
      <c r="N78" s="3"/>
      <c r="O78" s="3"/>
      <c r="P78" s="3"/>
      <c r="Q78" s="3"/>
    </row>
    <row r="79" spans="7:17" x14ac:dyDescent="0.25">
      <c r="G79" s="3"/>
      <c r="H79" s="3"/>
      <c r="I79" s="3"/>
      <c r="J79" s="3"/>
      <c r="K79" s="3"/>
      <c r="L79" s="3"/>
      <c r="M79" s="3"/>
      <c r="N79" s="3"/>
      <c r="O79" s="3"/>
      <c r="P79" s="3"/>
      <c r="Q79" s="3"/>
    </row>
    <row r="80" spans="7:17" x14ac:dyDescent="0.25">
      <c r="G80" s="3"/>
      <c r="H80" s="3"/>
      <c r="I80" s="3"/>
      <c r="J80" s="3"/>
      <c r="K80" s="3"/>
      <c r="L80" s="3"/>
      <c r="M80" s="3"/>
      <c r="N80" s="3"/>
      <c r="O80" s="3"/>
      <c r="P80" s="3"/>
      <c r="Q80" s="3"/>
    </row>
    <row r="81" spans="7:17" x14ac:dyDescent="0.25">
      <c r="G81" s="3"/>
      <c r="H81" s="3"/>
      <c r="I81" s="3"/>
      <c r="J81" s="3"/>
      <c r="K81" s="3"/>
      <c r="L81" s="3"/>
      <c r="M81" s="3"/>
      <c r="N81" s="3"/>
      <c r="O81" s="3"/>
      <c r="P81" s="3"/>
      <c r="Q81" s="3"/>
    </row>
    <row r="82" spans="7:17" x14ac:dyDescent="0.25">
      <c r="G82" s="3"/>
      <c r="H82" s="3"/>
      <c r="I82" s="3"/>
      <c r="J82" s="3"/>
      <c r="K82" s="3"/>
      <c r="L82" s="3"/>
      <c r="M82" s="3"/>
      <c r="N82" s="3"/>
      <c r="O82" s="3"/>
      <c r="P82" s="3"/>
      <c r="Q82" s="3"/>
    </row>
    <row r="83" spans="7:17" x14ac:dyDescent="0.25">
      <c r="G83" s="3"/>
      <c r="H83" s="3"/>
      <c r="I83" s="3"/>
      <c r="J83" s="3"/>
      <c r="K83" s="3"/>
      <c r="L83" s="3"/>
      <c r="M83" s="3"/>
      <c r="N83" s="3"/>
      <c r="O83" s="3"/>
      <c r="P83" s="3"/>
      <c r="Q83" s="3"/>
    </row>
    <row r="84" spans="7:17" x14ac:dyDescent="0.25">
      <c r="G84" s="3"/>
      <c r="H84" s="3"/>
      <c r="I84" s="3"/>
      <c r="J84" s="3"/>
      <c r="K84" s="3"/>
      <c r="L84" s="3"/>
      <c r="M84" s="3"/>
      <c r="N84" s="3"/>
      <c r="O84" s="3"/>
      <c r="P84" s="3"/>
      <c r="Q84" s="3"/>
    </row>
    <row r="85" spans="7:17" x14ac:dyDescent="0.25">
      <c r="G85" s="3"/>
      <c r="H85" s="3"/>
      <c r="I85" s="3"/>
      <c r="J85" s="3"/>
      <c r="K85" s="3"/>
      <c r="L85" s="3"/>
      <c r="M85" s="3"/>
      <c r="N85" s="3"/>
      <c r="O85" s="3"/>
      <c r="P85" s="3"/>
      <c r="Q85" s="3"/>
    </row>
    <row r="86" spans="7:17" x14ac:dyDescent="0.25">
      <c r="G86" s="3"/>
      <c r="H86" s="3"/>
      <c r="I86" s="3"/>
      <c r="J86" s="3"/>
      <c r="K86" s="3"/>
      <c r="L86" s="3"/>
      <c r="M86" s="3"/>
      <c r="N86" s="3"/>
      <c r="O86" s="3"/>
      <c r="P86" s="3"/>
      <c r="Q86" s="3"/>
    </row>
    <row r="87" spans="7:17" x14ac:dyDescent="0.25">
      <c r="G87" s="3"/>
      <c r="H87" s="3"/>
      <c r="I87" s="3"/>
      <c r="J87" s="3"/>
      <c r="K87" s="3"/>
      <c r="L87" s="3"/>
      <c r="M87" s="3"/>
      <c r="N87" s="3"/>
      <c r="O87" s="3"/>
      <c r="P87" s="3"/>
      <c r="Q87" s="3"/>
    </row>
    <row r="88" spans="7:17" x14ac:dyDescent="0.25">
      <c r="G88" s="3"/>
      <c r="H88" s="3"/>
      <c r="I88" s="3"/>
      <c r="J88" s="3"/>
      <c r="K88" s="3"/>
      <c r="L88" s="3"/>
      <c r="M88" s="3"/>
      <c r="N88" s="3"/>
      <c r="O88" s="3"/>
      <c r="P88" s="3"/>
      <c r="Q88" s="3"/>
    </row>
    <row r="89" spans="7:17" x14ac:dyDescent="0.25">
      <c r="G89" s="3"/>
      <c r="H89" s="3"/>
      <c r="I89" s="3"/>
      <c r="J89" s="3"/>
      <c r="K89" s="3"/>
      <c r="L89" s="3"/>
      <c r="M89" s="3"/>
      <c r="N89" s="3"/>
      <c r="O89" s="3"/>
      <c r="P89" s="3"/>
      <c r="Q89" s="3"/>
    </row>
    <row r="90" spans="7:17" x14ac:dyDescent="0.25">
      <c r="G90" s="3"/>
      <c r="H90" s="3"/>
      <c r="I90" s="3"/>
      <c r="J90" s="3"/>
      <c r="K90" s="3"/>
      <c r="L90" s="3"/>
      <c r="M90" s="3"/>
      <c r="N90" s="3"/>
      <c r="O90" s="3"/>
      <c r="P90" s="3"/>
      <c r="Q90" s="3"/>
    </row>
    <row r="91" spans="7:17" x14ac:dyDescent="0.25">
      <c r="G91" s="3"/>
      <c r="H91" s="3"/>
      <c r="I91" s="3"/>
      <c r="J91" s="3"/>
      <c r="K91" s="3"/>
      <c r="L91" s="3"/>
      <c r="M91" s="3"/>
      <c r="N91" s="3"/>
      <c r="O91" s="3"/>
      <c r="P91" s="3"/>
      <c r="Q91" s="3"/>
    </row>
    <row r="92" spans="7:17" x14ac:dyDescent="0.25">
      <c r="G92" s="3"/>
      <c r="H92" s="3"/>
      <c r="I92" s="3"/>
      <c r="J92" s="3"/>
      <c r="K92" s="3"/>
      <c r="L92" s="3"/>
      <c r="M92" s="3"/>
      <c r="N92" s="3"/>
      <c r="O92" s="3"/>
      <c r="P92" s="3"/>
      <c r="Q92" s="3"/>
    </row>
    <row r="93" spans="7:17" x14ac:dyDescent="0.25">
      <c r="G93" s="3"/>
      <c r="H93" s="3"/>
      <c r="I93" s="3"/>
      <c r="J93" s="3"/>
      <c r="K93" s="3"/>
      <c r="L93" s="3"/>
      <c r="M93" s="3"/>
      <c r="N93" s="3"/>
      <c r="O93" s="3"/>
      <c r="P93" s="3"/>
      <c r="Q93" s="3"/>
    </row>
    <row r="94" spans="7:17" x14ac:dyDescent="0.25">
      <c r="G94" s="3"/>
      <c r="H94" s="3"/>
      <c r="I94" s="3"/>
      <c r="J94" s="3"/>
      <c r="K94" s="3"/>
      <c r="L94" s="3"/>
      <c r="M94" s="3"/>
      <c r="N94" s="3"/>
      <c r="O94" s="3"/>
      <c r="P94" s="3"/>
      <c r="Q94" s="3"/>
    </row>
    <row r="95" spans="7:17" x14ac:dyDescent="0.25">
      <c r="G95" s="3"/>
      <c r="H95" s="3"/>
      <c r="I95" s="3"/>
      <c r="J95" s="3"/>
      <c r="K95" s="3"/>
      <c r="L95" s="3"/>
      <c r="M95" s="3"/>
      <c r="N95" s="3"/>
      <c r="O95" s="3"/>
      <c r="P95" s="3"/>
      <c r="Q95" s="3"/>
    </row>
    <row r="96" spans="7:17" x14ac:dyDescent="0.25">
      <c r="G96" s="3"/>
      <c r="H96" s="3"/>
      <c r="I96" s="3"/>
      <c r="J96" s="3"/>
      <c r="K96" s="3"/>
      <c r="L96" s="3"/>
      <c r="M96" s="3"/>
      <c r="N96" s="3"/>
      <c r="O96" s="3"/>
      <c r="P96" s="3"/>
      <c r="Q96" s="3"/>
    </row>
    <row r="97" spans="7:17" x14ac:dyDescent="0.25">
      <c r="G97" s="3"/>
      <c r="H97" s="3"/>
      <c r="I97" s="3"/>
      <c r="J97" s="3"/>
      <c r="K97" s="3"/>
      <c r="L97" s="3"/>
      <c r="M97" s="3"/>
      <c r="N97" s="3"/>
      <c r="O97" s="3"/>
      <c r="P97" s="3"/>
      <c r="Q97" s="3"/>
    </row>
    <row r="98" spans="7:17" x14ac:dyDescent="0.25">
      <c r="G98" s="3"/>
      <c r="H98" s="3"/>
      <c r="I98" s="3"/>
      <c r="J98" s="3"/>
      <c r="K98" s="3"/>
      <c r="L98" s="3"/>
      <c r="M98" s="3"/>
      <c r="N98" s="3"/>
      <c r="O98" s="3"/>
      <c r="P98" s="3"/>
      <c r="Q98" s="3"/>
    </row>
    <row r="99" spans="7:17" x14ac:dyDescent="0.25">
      <c r="G99" s="3"/>
      <c r="H99" s="3"/>
      <c r="I99" s="3"/>
      <c r="J99" s="3"/>
      <c r="K99" s="3"/>
      <c r="L99" s="3"/>
      <c r="M99" s="3"/>
      <c r="N99" s="3"/>
      <c r="O99" s="3"/>
      <c r="P99" s="3"/>
      <c r="Q99" s="3"/>
    </row>
    <row r="100" spans="7:17" x14ac:dyDescent="0.25">
      <c r="G100" s="3"/>
      <c r="H100" s="3"/>
      <c r="I100" s="3"/>
      <c r="J100" s="3"/>
      <c r="K100" s="3"/>
      <c r="L100" s="3"/>
      <c r="M100" s="3"/>
      <c r="N100" s="3"/>
      <c r="O100" s="3"/>
      <c r="P100" s="3"/>
      <c r="Q100" s="3"/>
    </row>
    <row r="101" spans="7:17" x14ac:dyDescent="0.25">
      <c r="G101" s="3"/>
      <c r="H101" s="3"/>
      <c r="I101" s="3"/>
      <c r="J101" s="3"/>
      <c r="K101" s="3"/>
      <c r="L101" s="3"/>
      <c r="M101" s="3"/>
      <c r="N101" s="3"/>
      <c r="O101" s="3"/>
      <c r="P101" s="3"/>
      <c r="Q101" s="3"/>
    </row>
    <row r="102" spans="7:17" x14ac:dyDescent="0.25">
      <c r="G102" s="3"/>
      <c r="H102" s="3"/>
      <c r="I102" s="3"/>
      <c r="J102" s="3"/>
      <c r="K102" s="3"/>
      <c r="L102" s="3"/>
      <c r="M102" s="3"/>
      <c r="N102" s="3"/>
      <c r="O102" s="3"/>
      <c r="P102" s="3"/>
      <c r="Q102" s="3"/>
    </row>
    <row r="103" spans="7:17" x14ac:dyDescent="0.25">
      <c r="G103" s="3"/>
      <c r="H103" s="3"/>
      <c r="I103" s="3"/>
      <c r="J103" s="3"/>
      <c r="K103" s="3"/>
      <c r="L103" s="3"/>
      <c r="M103" s="3"/>
      <c r="N103" s="3"/>
      <c r="O103" s="3"/>
      <c r="P103" s="3"/>
      <c r="Q103" s="3"/>
    </row>
    <row r="104" spans="7:17" x14ac:dyDescent="0.25">
      <c r="G104" s="3"/>
      <c r="H104" s="3"/>
      <c r="I104" s="3"/>
      <c r="J104" s="3"/>
      <c r="K104" s="3"/>
      <c r="L104" s="3"/>
      <c r="M104" s="3"/>
      <c r="N104" s="3"/>
      <c r="O104" s="3"/>
      <c r="P104" s="3"/>
      <c r="Q104" s="3"/>
    </row>
    <row r="105" spans="7:17" x14ac:dyDescent="0.25">
      <c r="G105" s="3"/>
      <c r="H105" s="3"/>
      <c r="I105" s="3"/>
      <c r="J105" s="3"/>
      <c r="K105" s="3"/>
      <c r="L105" s="3"/>
      <c r="M105" s="3"/>
      <c r="N105" s="3"/>
      <c r="O105" s="3"/>
      <c r="P105" s="3"/>
      <c r="Q105" s="3"/>
    </row>
    <row r="106" spans="7:17" x14ac:dyDescent="0.25">
      <c r="G106" s="3"/>
      <c r="H106" s="3"/>
      <c r="I106" s="3"/>
      <c r="J106" s="3"/>
      <c r="K106" s="3"/>
      <c r="L106" s="3"/>
      <c r="M106" s="3"/>
      <c r="N106" s="3"/>
      <c r="O106" s="3"/>
      <c r="P106" s="3"/>
      <c r="Q106" s="3"/>
    </row>
    <row r="107" spans="7:17" x14ac:dyDescent="0.25">
      <c r="G107" s="3"/>
      <c r="H107" s="3"/>
      <c r="I107" s="3"/>
      <c r="J107" s="3"/>
      <c r="K107" s="3"/>
      <c r="L107" s="3"/>
      <c r="M107" s="3"/>
      <c r="N107" s="3"/>
      <c r="O107" s="3"/>
      <c r="P107" s="3"/>
      <c r="Q107" s="3"/>
    </row>
    <row r="108" spans="7:17" x14ac:dyDescent="0.25">
      <c r="G108" s="3"/>
      <c r="H108" s="3"/>
      <c r="I108" s="3"/>
      <c r="J108" s="3"/>
      <c r="K108" s="3"/>
      <c r="L108" s="3"/>
      <c r="M108" s="3"/>
      <c r="N108" s="3"/>
      <c r="O108" s="3"/>
      <c r="P108" s="3"/>
      <c r="Q108" s="3"/>
    </row>
    <row r="109" spans="7:17" x14ac:dyDescent="0.25">
      <c r="G109" s="3"/>
      <c r="H109" s="3"/>
      <c r="I109" s="3"/>
      <c r="J109" s="3"/>
      <c r="K109" s="3"/>
      <c r="L109" s="3"/>
      <c r="M109" s="3"/>
      <c r="N109" s="3"/>
      <c r="O109" s="3"/>
      <c r="P109" s="3"/>
      <c r="Q109" s="3"/>
    </row>
    <row r="110" spans="7:17" x14ac:dyDescent="0.25">
      <c r="G110" s="3"/>
      <c r="H110" s="3"/>
      <c r="I110" s="3"/>
      <c r="J110" s="3"/>
      <c r="K110" s="3"/>
      <c r="L110" s="3"/>
      <c r="M110" s="3"/>
      <c r="N110" s="3"/>
      <c r="O110" s="3"/>
      <c r="P110" s="3"/>
      <c r="Q110" s="3"/>
    </row>
    <row r="111" spans="7:17" x14ac:dyDescent="0.25">
      <c r="G111" s="3"/>
      <c r="H111" s="3"/>
      <c r="I111" s="3"/>
      <c r="J111" s="3"/>
      <c r="K111" s="3"/>
      <c r="L111" s="3"/>
      <c r="M111" s="3"/>
      <c r="N111" s="3"/>
      <c r="O111" s="3"/>
      <c r="P111" s="3"/>
      <c r="Q111" s="3"/>
    </row>
    <row r="112" spans="7:17" x14ac:dyDescent="0.25">
      <c r="G112" s="3"/>
      <c r="H112" s="3"/>
      <c r="I112" s="3"/>
      <c r="J112" s="3"/>
      <c r="K112" s="3"/>
      <c r="L112" s="3"/>
      <c r="M112" s="3"/>
      <c r="N112" s="3"/>
      <c r="O112" s="3"/>
      <c r="P112" s="3"/>
      <c r="Q112" s="3"/>
    </row>
    <row r="113" spans="7:17" x14ac:dyDescent="0.25">
      <c r="G113" s="3"/>
      <c r="H113" s="3"/>
      <c r="I113" s="3"/>
      <c r="J113" s="3"/>
      <c r="K113" s="3"/>
      <c r="L113" s="3"/>
      <c r="M113" s="3"/>
      <c r="N113" s="3"/>
      <c r="O113" s="3"/>
      <c r="P113" s="3"/>
      <c r="Q113" s="3"/>
    </row>
    <row r="114" spans="7:17" x14ac:dyDescent="0.25">
      <c r="G114" s="3"/>
      <c r="H114" s="3"/>
      <c r="I114" s="3"/>
      <c r="J114" s="3"/>
      <c r="K114" s="3"/>
      <c r="L114" s="3"/>
      <c r="M114" s="3"/>
      <c r="N114" s="3"/>
      <c r="O114" s="3"/>
      <c r="P114" s="3"/>
      <c r="Q114" s="3"/>
    </row>
    <row r="115" spans="7:17" x14ac:dyDescent="0.25">
      <c r="G115" s="3"/>
      <c r="H115" s="3"/>
      <c r="I115" s="3"/>
      <c r="J115" s="3"/>
      <c r="K115" s="3"/>
      <c r="L115" s="3"/>
      <c r="M115" s="3"/>
      <c r="N115" s="3"/>
      <c r="O115" s="3"/>
      <c r="P115" s="3"/>
      <c r="Q115" s="3"/>
    </row>
    <row r="116" spans="7:17" x14ac:dyDescent="0.25">
      <c r="G116" s="3"/>
      <c r="H116" s="3"/>
      <c r="I116" s="3"/>
      <c r="J116" s="3"/>
      <c r="K116" s="3"/>
      <c r="L116" s="3"/>
      <c r="M116" s="3"/>
      <c r="N116" s="3"/>
      <c r="O116" s="3"/>
      <c r="P116" s="3"/>
      <c r="Q116" s="3"/>
    </row>
    <row r="117" spans="7:17" x14ac:dyDescent="0.25">
      <c r="G117" s="3"/>
      <c r="H117" s="3"/>
      <c r="I117" s="3"/>
      <c r="J117" s="3"/>
      <c r="K117" s="3"/>
      <c r="L117" s="3"/>
      <c r="M117" s="3"/>
      <c r="N117" s="3"/>
      <c r="O117" s="3"/>
      <c r="P117" s="3"/>
      <c r="Q117" s="3"/>
    </row>
    <row r="118" spans="7:17" x14ac:dyDescent="0.25">
      <c r="G118" s="3"/>
      <c r="H118" s="3"/>
      <c r="I118" s="3"/>
      <c r="J118" s="3"/>
      <c r="K118" s="3"/>
      <c r="L118" s="3"/>
      <c r="M118" s="3"/>
      <c r="N118" s="3"/>
      <c r="O118" s="3"/>
      <c r="P118" s="3"/>
      <c r="Q118" s="3"/>
    </row>
    <row r="119" spans="7:17" x14ac:dyDescent="0.25">
      <c r="G119" s="3"/>
      <c r="H119" s="3"/>
      <c r="I119" s="3"/>
      <c r="J119" s="3"/>
      <c r="K119" s="3"/>
      <c r="L119" s="3"/>
      <c r="M119" s="3"/>
      <c r="N119" s="3"/>
      <c r="O119" s="3"/>
      <c r="P119" s="3"/>
      <c r="Q119" s="3"/>
    </row>
    <row r="120" spans="7:17" x14ac:dyDescent="0.25">
      <c r="G120" s="3"/>
      <c r="H120" s="3"/>
      <c r="I120" s="3"/>
      <c r="J120" s="3"/>
      <c r="K120" s="3"/>
      <c r="L120" s="3"/>
      <c r="M120" s="3"/>
      <c r="N120" s="3"/>
      <c r="O120" s="3"/>
      <c r="P120" s="3"/>
      <c r="Q120" s="3"/>
    </row>
    <row r="121" spans="7:17" x14ac:dyDescent="0.25">
      <c r="G121" s="3"/>
      <c r="H121" s="3"/>
      <c r="I121" s="3"/>
      <c r="J121" s="3"/>
      <c r="K121" s="3"/>
      <c r="L121" s="3"/>
      <c r="M121" s="3"/>
      <c r="N121" s="3"/>
      <c r="O121" s="3"/>
      <c r="P121" s="3"/>
      <c r="Q121" s="3"/>
    </row>
    <row r="122" spans="7:17" x14ac:dyDescent="0.25">
      <c r="G122" s="3"/>
      <c r="H122" s="3"/>
      <c r="I122" s="3"/>
      <c r="J122" s="3"/>
      <c r="K122" s="3"/>
      <c r="L122" s="3"/>
      <c r="M122" s="3"/>
      <c r="N122" s="3"/>
      <c r="O122" s="3"/>
      <c r="P122" s="3"/>
      <c r="Q122" s="3"/>
    </row>
    <row r="123" spans="7:17" x14ac:dyDescent="0.25">
      <c r="G123" s="3"/>
      <c r="H123" s="3"/>
      <c r="I123" s="3"/>
      <c r="J123" s="3"/>
      <c r="K123" s="3"/>
      <c r="L123" s="3"/>
      <c r="M123" s="3"/>
      <c r="N123" s="3"/>
      <c r="O123" s="3"/>
      <c r="P123" s="3"/>
      <c r="Q123" s="3"/>
    </row>
    <row r="124" spans="7:17" x14ac:dyDescent="0.25">
      <c r="G124" s="3"/>
      <c r="H124" s="3"/>
      <c r="I124" s="3"/>
      <c r="J124" s="3"/>
      <c r="K124" s="3"/>
      <c r="L124" s="3"/>
      <c r="M124" s="3"/>
      <c r="N124" s="3"/>
      <c r="O124" s="3"/>
      <c r="P124" s="3"/>
      <c r="Q124" s="3"/>
    </row>
    <row r="125" spans="7:17" x14ac:dyDescent="0.25">
      <c r="G125" s="3"/>
      <c r="H125" s="3"/>
      <c r="I125" s="3"/>
      <c r="J125" s="3"/>
      <c r="K125" s="3"/>
      <c r="L125" s="3"/>
      <c r="M125" s="3"/>
      <c r="N125" s="3"/>
      <c r="O125" s="3"/>
      <c r="P125" s="3"/>
      <c r="Q125" s="3"/>
    </row>
    <row r="126" spans="7:17" x14ac:dyDescent="0.25">
      <c r="G126" s="3"/>
      <c r="H126" s="3"/>
      <c r="I126" s="3"/>
      <c r="J126" s="3"/>
      <c r="K126" s="3"/>
      <c r="L126" s="3"/>
      <c r="M126" s="3"/>
      <c r="N126" s="3"/>
      <c r="O126" s="3"/>
      <c r="P126" s="3"/>
      <c r="Q126" s="3"/>
    </row>
    <row r="127" spans="7:17" x14ac:dyDescent="0.25">
      <c r="G127" s="3"/>
      <c r="H127" s="3"/>
      <c r="I127" s="3"/>
      <c r="J127" s="3"/>
      <c r="K127" s="3"/>
      <c r="L127" s="3"/>
      <c r="M127" s="3"/>
      <c r="N127" s="3"/>
      <c r="O127" s="3"/>
      <c r="P127" s="3"/>
      <c r="Q127" s="3"/>
    </row>
    <row r="128" spans="7:17" x14ac:dyDescent="0.25">
      <c r="G128" s="3"/>
      <c r="H128" s="3"/>
      <c r="I128" s="3"/>
      <c r="J128" s="3"/>
      <c r="K128" s="3"/>
      <c r="L128" s="3"/>
      <c r="M128" s="3"/>
      <c r="N128" s="3"/>
      <c r="O128" s="3"/>
      <c r="P128" s="3"/>
      <c r="Q128" s="3"/>
    </row>
    <row r="129" spans="7:17" x14ac:dyDescent="0.25">
      <c r="G129" s="3"/>
      <c r="H129" s="3"/>
      <c r="I129" s="3"/>
      <c r="J129" s="3"/>
      <c r="K129" s="3"/>
      <c r="L129" s="3"/>
      <c r="M129" s="3"/>
      <c r="N129" s="3"/>
      <c r="O129" s="3"/>
      <c r="P129" s="3"/>
      <c r="Q129" s="3"/>
    </row>
    <row r="130" spans="7:17" x14ac:dyDescent="0.25">
      <c r="G130" s="3"/>
      <c r="H130" s="3"/>
      <c r="I130" s="3"/>
      <c r="J130" s="3"/>
      <c r="K130" s="3"/>
      <c r="L130" s="3"/>
      <c r="M130" s="3"/>
      <c r="N130" s="3"/>
      <c r="O130" s="3"/>
      <c r="P130" s="3"/>
      <c r="Q130" s="3"/>
    </row>
    <row r="131" spans="7:17" x14ac:dyDescent="0.25">
      <c r="G131" s="3"/>
      <c r="H131" s="3"/>
      <c r="I131" s="3"/>
      <c r="J131" s="3"/>
      <c r="K131" s="3"/>
      <c r="L131" s="3"/>
      <c r="M131" s="3"/>
      <c r="N131" s="3"/>
      <c r="O131" s="3"/>
      <c r="P131" s="3"/>
      <c r="Q131" s="3"/>
    </row>
    <row r="132" spans="7:17" x14ac:dyDescent="0.25">
      <c r="G132" s="3"/>
      <c r="H132" s="3"/>
      <c r="I132" s="3"/>
      <c r="J132" s="3"/>
      <c r="K132" s="3"/>
      <c r="L132" s="3"/>
      <c r="M132" s="3"/>
      <c r="N132" s="3"/>
      <c r="O132" s="3"/>
      <c r="P132" s="3"/>
      <c r="Q132" s="3"/>
    </row>
    <row r="133" spans="7:17" x14ac:dyDescent="0.25">
      <c r="G133" s="3"/>
      <c r="H133" s="3"/>
      <c r="I133" s="3"/>
      <c r="J133" s="3"/>
      <c r="K133" s="3"/>
      <c r="L133" s="3"/>
      <c r="M133" s="3"/>
      <c r="N133" s="3"/>
      <c r="O133" s="3"/>
      <c r="P133" s="3"/>
      <c r="Q133" s="3"/>
    </row>
    <row r="134" spans="7:17" x14ac:dyDescent="0.25">
      <c r="G134" s="3"/>
      <c r="H134" s="3"/>
      <c r="I134" s="3"/>
      <c r="J134" s="3"/>
      <c r="K134" s="3"/>
      <c r="L134" s="3"/>
      <c r="M134" s="3"/>
      <c r="N134" s="3"/>
      <c r="O134" s="3"/>
      <c r="P134" s="3"/>
      <c r="Q134" s="3"/>
    </row>
    <row r="135" spans="7:17" x14ac:dyDescent="0.25">
      <c r="G135" s="3"/>
      <c r="H135" s="3"/>
      <c r="I135" s="3"/>
      <c r="J135" s="3"/>
      <c r="K135" s="3"/>
      <c r="L135" s="3"/>
      <c r="M135" s="3"/>
      <c r="N135" s="3"/>
      <c r="O135" s="3"/>
      <c r="P135" s="3"/>
      <c r="Q135" s="3"/>
    </row>
    <row r="136" spans="7:17" x14ac:dyDescent="0.25">
      <c r="G136" s="3"/>
      <c r="H136" s="3"/>
      <c r="I136" s="3"/>
      <c r="J136" s="3"/>
      <c r="K136" s="3"/>
      <c r="L136" s="3"/>
      <c r="M136" s="3"/>
      <c r="N136" s="3"/>
      <c r="O136" s="3"/>
      <c r="P136" s="3"/>
      <c r="Q136" s="3"/>
    </row>
    <row r="137" spans="7:17" x14ac:dyDescent="0.25">
      <c r="G137" s="3"/>
      <c r="H137" s="3"/>
      <c r="I137" s="3"/>
      <c r="J137" s="3"/>
      <c r="K137" s="3"/>
      <c r="L137" s="3"/>
      <c r="M137" s="3"/>
      <c r="N137" s="3"/>
      <c r="O137" s="3"/>
      <c r="P137" s="3"/>
      <c r="Q137" s="3"/>
    </row>
    <row r="138" spans="7:17" x14ac:dyDescent="0.25">
      <c r="G138" s="3"/>
      <c r="H138" s="3"/>
      <c r="I138" s="3"/>
      <c r="J138" s="3"/>
      <c r="K138" s="3"/>
      <c r="L138" s="3"/>
      <c r="M138" s="3"/>
      <c r="N138" s="3"/>
      <c r="O138" s="3"/>
      <c r="P138" s="3"/>
      <c r="Q138" s="3"/>
    </row>
    <row r="139" spans="7:17" x14ac:dyDescent="0.25">
      <c r="G139" s="3"/>
      <c r="H139" s="3"/>
      <c r="I139" s="3"/>
      <c r="J139" s="3"/>
      <c r="K139" s="3"/>
      <c r="L139" s="3"/>
      <c r="M139" s="3"/>
      <c r="N139" s="3"/>
      <c r="O139" s="3"/>
      <c r="P139" s="3"/>
      <c r="Q139" s="3"/>
    </row>
    <row r="140" spans="7:17" x14ac:dyDescent="0.25">
      <c r="G140" s="3"/>
      <c r="H140" s="3"/>
      <c r="I140" s="3"/>
      <c r="J140" s="3"/>
      <c r="K140" s="3"/>
      <c r="L140" s="3"/>
      <c r="M140" s="3"/>
      <c r="N140" s="3"/>
      <c r="O140" s="3"/>
      <c r="P140" s="3"/>
      <c r="Q140" s="3"/>
    </row>
    <row r="141" spans="7:17" x14ac:dyDescent="0.25">
      <c r="G141" s="3"/>
      <c r="H141" s="3"/>
      <c r="I141" s="3"/>
      <c r="J141" s="3"/>
      <c r="K141" s="3"/>
      <c r="L141" s="3"/>
      <c r="M141" s="3"/>
      <c r="N141" s="3"/>
      <c r="O141" s="3"/>
      <c r="P141" s="3"/>
      <c r="Q141" s="3"/>
    </row>
    <row r="142" spans="7:17" x14ac:dyDescent="0.25">
      <c r="G142" s="3"/>
      <c r="H142" s="3"/>
      <c r="I142" s="3"/>
      <c r="J142" s="3"/>
      <c r="K142" s="3"/>
      <c r="L142" s="3"/>
      <c r="M142" s="3"/>
      <c r="N142" s="3"/>
      <c r="O142" s="3"/>
      <c r="P142" s="3"/>
      <c r="Q142" s="3"/>
    </row>
    <row r="143" spans="7:17" x14ac:dyDescent="0.25">
      <c r="G143" s="3"/>
      <c r="H143" s="3"/>
      <c r="I143" s="3"/>
      <c r="J143" s="3"/>
      <c r="K143" s="3"/>
      <c r="L143" s="3"/>
      <c r="M143" s="3"/>
      <c r="N143" s="3"/>
      <c r="O143" s="3"/>
      <c r="P143" s="3"/>
      <c r="Q143" s="3"/>
    </row>
    <row r="144" spans="7:17" x14ac:dyDescent="0.25">
      <c r="G144" s="3"/>
      <c r="H144" s="3"/>
      <c r="I144" s="3"/>
      <c r="J144" s="3"/>
      <c r="K144" s="3"/>
      <c r="L144" s="3"/>
      <c r="M144" s="3"/>
      <c r="N144" s="3"/>
      <c r="O144" s="3"/>
      <c r="P144" s="3"/>
      <c r="Q144" s="3"/>
    </row>
    <row r="145" spans="7:17" x14ac:dyDescent="0.25">
      <c r="G145" s="3"/>
      <c r="H145" s="3"/>
      <c r="I145" s="3"/>
      <c r="J145" s="3"/>
      <c r="K145" s="3"/>
      <c r="L145" s="3"/>
      <c r="M145" s="3"/>
      <c r="N145" s="3"/>
      <c r="O145" s="3"/>
      <c r="P145" s="3"/>
      <c r="Q145" s="3"/>
    </row>
    <row r="146" spans="7:17" x14ac:dyDescent="0.25">
      <c r="G146" s="3"/>
      <c r="H146" s="3"/>
      <c r="I146" s="3"/>
      <c r="J146" s="3"/>
      <c r="K146" s="3"/>
      <c r="L146" s="3"/>
      <c r="M146" s="3"/>
      <c r="N146" s="3"/>
      <c r="O146" s="3"/>
      <c r="P146" s="3"/>
      <c r="Q146" s="3"/>
    </row>
    <row r="147" spans="7:17" x14ac:dyDescent="0.25">
      <c r="G147" s="3"/>
      <c r="H147" s="3"/>
      <c r="I147" s="3"/>
      <c r="J147" s="3"/>
      <c r="K147" s="3"/>
      <c r="L147" s="3"/>
      <c r="M147" s="3"/>
      <c r="N147" s="3"/>
      <c r="O147" s="3"/>
      <c r="P147" s="3"/>
      <c r="Q147" s="3"/>
    </row>
    <row r="148" spans="7:17" x14ac:dyDescent="0.25">
      <c r="G148" s="3"/>
      <c r="H148" s="3"/>
      <c r="I148" s="3"/>
      <c r="J148" s="3"/>
      <c r="K148" s="3"/>
      <c r="L148" s="3"/>
      <c r="M148" s="3"/>
      <c r="N148" s="3"/>
      <c r="O148" s="3"/>
      <c r="P148" s="3"/>
      <c r="Q148" s="3"/>
    </row>
    <row r="149" spans="7:17" x14ac:dyDescent="0.25">
      <c r="G149" s="3"/>
      <c r="H149" s="3"/>
      <c r="I149" s="3"/>
      <c r="J149" s="3"/>
      <c r="K149" s="3"/>
      <c r="L149" s="3"/>
      <c r="M149" s="3"/>
      <c r="N149" s="3"/>
      <c r="O149" s="3"/>
      <c r="P149" s="3"/>
      <c r="Q149" s="3"/>
    </row>
    <row r="150" spans="7:17" x14ac:dyDescent="0.25">
      <c r="G150" s="3"/>
      <c r="H150" s="3"/>
      <c r="I150" s="3"/>
      <c r="J150" s="3"/>
      <c r="K150" s="3"/>
      <c r="L150" s="3"/>
      <c r="M150" s="3"/>
      <c r="N150" s="3"/>
      <c r="O150" s="3"/>
      <c r="P150" s="3"/>
      <c r="Q150" s="3"/>
    </row>
    <row r="151" spans="7:17" x14ac:dyDescent="0.25">
      <c r="G151" s="3"/>
      <c r="H151" s="3"/>
      <c r="I151" s="3"/>
      <c r="J151" s="3"/>
      <c r="K151" s="3"/>
      <c r="L151" s="3"/>
      <c r="M151" s="3"/>
      <c r="N151" s="3"/>
      <c r="O151" s="3"/>
      <c r="P151" s="3"/>
      <c r="Q151" s="3"/>
    </row>
    <row r="152" spans="7:17" x14ac:dyDescent="0.25">
      <c r="G152" s="3"/>
      <c r="H152" s="3"/>
      <c r="I152" s="3"/>
      <c r="J152" s="3"/>
      <c r="K152" s="3"/>
      <c r="L152" s="3"/>
      <c r="M152" s="3"/>
      <c r="N152" s="3"/>
      <c r="O152" s="3"/>
      <c r="P152" s="3"/>
      <c r="Q152" s="3"/>
    </row>
    <row r="153" spans="7:17" x14ac:dyDescent="0.25">
      <c r="G153" s="3"/>
      <c r="H153" s="3"/>
      <c r="I153" s="3"/>
      <c r="J153" s="3"/>
      <c r="K153" s="3"/>
      <c r="L153" s="3"/>
      <c r="M153" s="3"/>
      <c r="N153" s="3"/>
      <c r="O153" s="3"/>
      <c r="P153" s="3"/>
      <c r="Q153" s="3"/>
    </row>
    <row r="154" spans="7:17" x14ac:dyDescent="0.25">
      <c r="G154" s="3"/>
      <c r="H154" s="3"/>
      <c r="I154" s="3"/>
      <c r="J154" s="3"/>
      <c r="K154" s="3"/>
      <c r="L154" s="3"/>
      <c r="M154" s="3"/>
      <c r="N154" s="3"/>
      <c r="O154" s="3"/>
      <c r="P154" s="3"/>
      <c r="Q154" s="3"/>
    </row>
    <row r="155" spans="7:17" x14ac:dyDescent="0.25">
      <c r="G155" s="3"/>
      <c r="H155" s="3"/>
      <c r="I155" s="3"/>
      <c r="J155" s="3"/>
      <c r="K155" s="3"/>
      <c r="L155" s="3"/>
      <c r="M155" s="3"/>
      <c r="N155" s="3"/>
      <c r="O155" s="3"/>
      <c r="P155" s="3"/>
      <c r="Q155" s="3"/>
    </row>
    <row r="156" spans="7:17" x14ac:dyDescent="0.25">
      <c r="G156" s="3"/>
      <c r="H156" s="3"/>
      <c r="I156" s="3"/>
      <c r="J156" s="3"/>
      <c r="K156" s="3"/>
      <c r="L156" s="3"/>
      <c r="M156" s="3"/>
      <c r="N156" s="3"/>
      <c r="O156" s="3"/>
      <c r="P156" s="3"/>
      <c r="Q156" s="3"/>
    </row>
    <row r="157" spans="7:17" x14ac:dyDescent="0.25">
      <c r="G157" s="3"/>
      <c r="H157" s="3"/>
      <c r="I157" s="3"/>
      <c r="J157" s="3"/>
      <c r="K157" s="3"/>
      <c r="L157" s="3"/>
      <c r="M157" s="3"/>
      <c r="N157" s="3"/>
      <c r="O157" s="3"/>
      <c r="P157" s="3"/>
      <c r="Q157" s="3"/>
    </row>
    <row r="158" spans="7:17" x14ac:dyDescent="0.25">
      <c r="G158" s="3"/>
      <c r="H158" s="3"/>
      <c r="I158" s="3"/>
      <c r="J158" s="3"/>
      <c r="K158" s="3"/>
      <c r="L158" s="3"/>
      <c r="M158" s="3"/>
      <c r="N158" s="3"/>
      <c r="O158" s="3"/>
      <c r="P158" s="3"/>
      <c r="Q158" s="3"/>
    </row>
    <row r="159" spans="7:17" x14ac:dyDescent="0.25">
      <c r="G159" s="3"/>
      <c r="H159" s="3"/>
      <c r="I159" s="3"/>
      <c r="J159" s="3"/>
      <c r="K159" s="3"/>
      <c r="L159" s="3"/>
      <c r="M159" s="3"/>
      <c r="N159" s="3"/>
      <c r="O159" s="3"/>
      <c r="P159" s="3"/>
      <c r="Q159" s="3"/>
    </row>
    <row r="160" spans="7:17" x14ac:dyDescent="0.25">
      <c r="G160" s="3"/>
      <c r="H160" s="3"/>
      <c r="I160" s="3"/>
      <c r="J160" s="3"/>
      <c r="K160" s="3"/>
      <c r="L160" s="3"/>
      <c r="M160" s="3"/>
      <c r="N160" s="3"/>
      <c r="O160" s="3"/>
      <c r="P160" s="3"/>
      <c r="Q160" s="3"/>
    </row>
    <row r="161" spans="7:17" x14ac:dyDescent="0.25">
      <c r="G161" s="3"/>
      <c r="H161" s="3"/>
      <c r="I161" s="3"/>
      <c r="J161" s="3"/>
      <c r="K161" s="3"/>
      <c r="L161" s="3"/>
      <c r="M161" s="3"/>
      <c r="N161" s="3"/>
      <c r="O161" s="3"/>
      <c r="P161" s="3"/>
      <c r="Q161" s="3"/>
    </row>
    <row r="162" spans="7:17" x14ac:dyDescent="0.25">
      <c r="G162" s="3"/>
      <c r="H162" s="3"/>
      <c r="I162" s="3"/>
      <c r="J162" s="3"/>
      <c r="K162" s="3"/>
      <c r="L162" s="3"/>
      <c r="M162" s="3"/>
      <c r="N162" s="3"/>
      <c r="O162" s="3"/>
      <c r="P162" s="3"/>
      <c r="Q162" s="3"/>
    </row>
    <row r="163" spans="7:17" x14ac:dyDescent="0.25">
      <c r="G163" s="3"/>
      <c r="H163" s="3"/>
      <c r="I163" s="3"/>
      <c r="J163" s="3"/>
      <c r="K163" s="3"/>
      <c r="L163" s="3"/>
      <c r="M163" s="3"/>
      <c r="N163" s="3"/>
      <c r="O163" s="3"/>
      <c r="P163" s="3"/>
      <c r="Q163" s="3"/>
    </row>
    <row r="164" spans="7:17" x14ac:dyDescent="0.25">
      <c r="G164" s="3"/>
      <c r="H164" s="3"/>
      <c r="I164" s="3"/>
      <c r="J164" s="3"/>
      <c r="K164" s="3"/>
      <c r="L164" s="3"/>
      <c r="M164" s="3"/>
      <c r="N164" s="3"/>
      <c r="O164" s="3"/>
      <c r="P164" s="3"/>
      <c r="Q164" s="3"/>
    </row>
    <row r="165" spans="7:17" x14ac:dyDescent="0.25">
      <c r="G165" s="3"/>
      <c r="H165" s="3"/>
      <c r="I165" s="3"/>
      <c r="J165" s="3"/>
      <c r="K165" s="3"/>
      <c r="L165" s="3"/>
      <c r="M165" s="3"/>
      <c r="N165" s="3"/>
      <c r="O165" s="3"/>
      <c r="P165" s="3"/>
      <c r="Q165" s="3"/>
    </row>
    <row r="166" spans="7:17" x14ac:dyDescent="0.25">
      <c r="G166" s="3"/>
      <c r="H166" s="3"/>
      <c r="I166" s="3"/>
      <c r="J166" s="3"/>
      <c r="K166" s="3"/>
      <c r="L166" s="3"/>
      <c r="M166" s="3"/>
      <c r="N166" s="3"/>
      <c r="O166" s="3"/>
      <c r="P166" s="3"/>
      <c r="Q166" s="3"/>
    </row>
    <row r="167" spans="7:17" x14ac:dyDescent="0.25">
      <c r="G167" s="3"/>
      <c r="H167" s="3"/>
      <c r="I167" s="3"/>
      <c r="J167" s="3"/>
      <c r="K167" s="3"/>
      <c r="L167" s="3"/>
      <c r="M167" s="3"/>
      <c r="N167" s="3"/>
      <c r="O167" s="3"/>
      <c r="P167" s="3"/>
      <c r="Q167" s="3"/>
    </row>
    <row r="168" spans="7:17" x14ac:dyDescent="0.25">
      <c r="G168" s="3"/>
      <c r="H168" s="3"/>
      <c r="I168" s="3"/>
      <c r="J168" s="3"/>
      <c r="K168" s="3"/>
      <c r="L168" s="3"/>
      <c r="M168" s="3"/>
      <c r="N168" s="3"/>
      <c r="O168" s="3"/>
      <c r="P168" s="3"/>
      <c r="Q168" s="3"/>
    </row>
    <row r="169" spans="7:17" x14ac:dyDescent="0.25">
      <c r="G169" s="3"/>
      <c r="H169" s="3"/>
      <c r="I169" s="3"/>
      <c r="J169" s="3"/>
      <c r="K169" s="3"/>
      <c r="L169" s="3"/>
      <c r="M169" s="3"/>
      <c r="N169" s="3"/>
      <c r="O169" s="3"/>
      <c r="P169" s="3"/>
      <c r="Q169" s="3"/>
    </row>
    <row r="170" spans="7:17" x14ac:dyDescent="0.25">
      <c r="G170" s="3"/>
      <c r="H170" s="3"/>
      <c r="I170" s="3"/>
      <c r="J170" s="3"/>
      <c r="K170" s="3"/>
      <c r="L170" s="3"/>
      <c r="M170" s="3"/>
      <c r="N170" s="3"/>
      <c r="O170" s="3"/>
      <c r="P170" s="3"/>
      <c r="Q170" s="3"/>
    </row>
    <row r="171" spans="7:17" x14ac:dyDescent="0.25">
      <c r="G171" s="3"/>
      <c r="H171" s="3"/>
      <c r="I171" s="3"/>
      <c r="J171" s="3"/>
      <c r="K171" s="3"/>
      <c r="L171" s="3"/>
      <c r="M171" s="3"/>
      <c r="N171" s="3"/>
      <c r="O171" s="3"/>
      <c r="P171" s="3"/>
      <c r="Q171" s="3"/>
    </row>
    <row r="172" spans="7:17" x14ac:dyDescent="0.25">
      <c r="G172" s="3"/>
      <c r="H172" s="3"/>
      <c r="I172" s="3"/>
      <c r="J172" s="3"/>
      <c r="K172" s="3"/>
      <c r="L172" s="3"/>
      <c r="M172" s="3"/>
      <c r="N172" s="3"/>
      <c r="O172" s="3"/>
      <c r="P172" s="3"/>
      <c r="Q172" s="3"/>
    </row>
    <row r="173" spans="7:17" x14ac:dyDescent="0.25">
      <c r="G173" s="3"/>
      <c r="H173" s="3"/>
      <c r="I173" s="3"/>
      <c r="J173" s="3"/>
      <c r="K173" s="3"/>
      <c r="L173" s="3"/>
      <c r="M173" s="3"/>
      <c r="N173" s="3"/>
      <c r="O173" s="3"/>
      <c r="P173" s="3"/>
      <c r="Q173" s="3"/>
    </row>
    <row r="174" spans="7:17" x14ac:dyDescent="0.25">
      <c r="G174" s="3"/>
      <c r="H174" s="3"/>
      <c r="I174" s="3"/>
      <c r="J174" s="3"/>
      <c r="K174" s="3"/>
      <c r="L174" s="3"/>
      <c r="M174" s="3"/>
      <c r="N174" s="3"/>
      <c r="O174" s="3"/>
      <c r="P174" s="3"/>
      <c r="Q174" s="3"/>
    </row>
    <row r="175" spans="7:17" x14ac:dyDescent="0.25">
      <c r="G175" s="3"/>
      <c r="H175" s="3"/>
      <c r="I175" s="3"/>
      <c r="J175" s="3"/>
      <c r="K175" s="3"/>
      <c r="L175" s="3"/>
      <c r="M175" s="3"/>
      <c r="N175" s="3"/>
      <c r="O175" s="3"/>
      <c r="P175" s="3"/>
      <c r="Q175" s="3"/>
    </row>
    <row r="176" spans="7:17" x14ac:dyDescent="0.25">
      <c r="G176" s="3"/>
      <c r="H176" s="3"/>
      <c r="I176" s="3"/>
      <c r="J176" s="3"/>
      <c r="K176" s="3"/>
      <c r="L176" s="3"/>
      <c r="M176" s="3"/>
      <c r="N176" s="3"/>
      <c r="O176" s="3"/>
      <c r="P176" s="3"/>
      <c r="Q176" s="3"/>
    </row>
    <row r="177" spans="7:17" x14ac:dyDescent="0.25">
      <c r="G177" s="3"/>
      <c r="H177" s="3"/>
      <c r="I177" s="3"/>
      <c r="J177" s="3"/>
      <c r="K177" s="3"/>
      <c r="L177" s="3"/>
      <c r="M177" s="3"/>
      <c r="N177" s="3"/>
      <c r="O177" s="3"/>
      <c r="P177" s="3"/>
      <c r="Q177" s="3"/>
    </row>
  </sheetData>
  <pageMargins left="0.7" right="0.7" top="0.75" bottom="0.75" header="0.3" footer="0.3"/>
  <ignoredErrors>
    <ignoredError sqref="J21"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0253E-5A67-4DF2-B8A1-C379277C9169}">
  <sheetPr>
    <tabColor rgb="FFFFCCFF"/>
  </sheetPr>
  <dimension ref="A1:U368"/>
  <sheetViews>
    <sheetView zoomScale="120" zoomScaleNormal="120" workbookViewId="0">
      <selection activeCell="K47" sqref="K47"/>
    </sheetView>
  </sheetViews>
  <sheetFormatPr defaultRowHeight="15" x14ac:dyDescent="0.25"/>
  <cols>
    <col min="1" max="5" width="2.5703125" customWidth="1"/>
    <col min="6" max="6" width="30.42578125" customWidth="1"/>
    <col min="7" max="7" width="10.7109375" customWidth="1"/>
    <col min="8" max="8" width="11" bestFit="1" customWidth="1"/>
    <col min="9" max="11" width="10.140625" customWidth="1"/>
    <col min="12" max="12" width="10.42578125" bestFit="1" customWidth="1"/>
    <col min="15" max="15" width="9.7109375" customWidth="1"/>
  </cols>
  <sheetData>
    <row r="1" spans="1:11" ht="23.25" x14ac:dyDescent="0.35">
      <c r="A1" s="75" t="s">
        <v>226</v>
      </c>
    </row>
    <row r="2" spans="1:11" x14ac:dyDescent="0.25">
      <c r="B2" t="s">
        <v>227</v>
      </c>
    </row>
    <row r="3" spans="1:11" x14ac:dyDescent="0.25">
      <c r="C3" t="s">
        <v>228</v>
      </c>
      <c r="G3" s="24" cm="1">
        <f t="array" ref="G3:K3">+dates.forecast</f>
        <v>2025</v>
      </c>
      <c r="H3" s="24">
        <v>2026</v>
      </c>
      <c r="I3" s="24">
        <v>2027</v>
      </c>
      <c r="J3" s="24">
        <v>2028</v>
      </c>
      <c r="K3" s="24">
        <v>2029</v>
      </c>
    </row>
    <row r="4" spans="1:11" x14ac:dyDescent="0.25">
      <c r="D4" t="s">
        <v>189</v>
      </c>
      <c r="G4" s="14" cm="1">
        <f t="array" aca="1" ref="G4:K4" ca="1">D.F.Revolver</f>
        <v>18500</v>
      </c>
      <c r="H4" s="14">
        <f ca="1"/>
        <v>16603.763221357745</v>
      </c>
      <c r="I4" s="14">
        <f ca="1"/>
        <v>14303.885536786152</v>
      </c>
      <c r="J4" s="14">
        <f ca="1"/>
        <v>11645.471330587372</v>
      </c>
      <c r="K4" s="14">
        <f ca="1"/>
        <v>8713.3719239918755</v>
      </c>
    </row>
    <row r="5" spans="1:11" x14ac:dyDescent="0.25">
      <c r="D5" t="s">
        <v>190</v>
      </c>
      <c r="G5" s="3" cm="1">
        <f t="array" ref="G5:K5">D.F.Sub.Debt</f>
        <v>20000</v>
      </c>
      <c r="H5" s="3">
        <v>20000</v>
      </c>
      <c r="I5" s="3">
        <v>20000</v>
      </c>
      <c r="J5" s="3">
        <v>20000</v>
      </c>
      <c r="K5" s="3">
        <v>20000</v>
      </c>
    </row>
    <row r="6" spans="1:11" x14ac:dyDescent="0.25">
      <c r="D6" t="s">
        <v>229</v>
      </c>
      <c r="G6" s="3" cm="1">
        <f t="array" aca="1" ref="G6:K6" ca="1">F.Equity</f>
        <v>30001.092535526666</v>
      </c>
      <c r="H6" s="3">
        <f ca="1"/>
        <v>30328.966144689843</v>
      </c>
      <c r="I6" s="3">
        <f ca="1"/>
        <v>30978.917270040118</v>
      </c>
      <c r="J6" s="3">
        <f ca="1"/>
        <v>32075.320819295441</v>
      </c>
      <c r="K6" s="3">
        <f ca="1"/>
        <v>33552.850545243884</v>
      </c>
    </row>
    <row r="7" spans="1:11" x14ac:dyDescent="0.25">
      <c r="C7" t="s">
        <v>230</v>
      </c>
      <c r="G7" s="6">
        <f ca="1">SUM(G4:G6)</f>
        <v>68501.092535526666</v>
      </c>
      <c r="H7" s="6">
        <f t="shared" ref="H7:K7" ca="1" si="0">SUM(H4:H6)</f>
        <v>66932.729366047584</v>
      </c>
      <c r="I7" s="6">
        <f t="shared" ca="1" si="0"/>
        <v>65282.802806826272</v>
      </c>
      <c r="J7" s="6">
        <f t="shared" ca="1" si="0"/>
        <v>63720.792149882815</v>
      </c>
      <c r="K7" s="6">
        <f t="shared" ca="1" si="0"/>
        <v>62266.222469235756</v>
      </c>
    </row>
    <row r="8" spans="1:11" x14ac:dyDescent="0.25">
      <c r="C8" t="s">
        <v>231</v>
      </c>
      <c r="G8" s="3"/>
      <c r="H8" s="3"/>
      <c r="I8" s="3"/>
      <c r="J8" s="3"/>
      <c r="K8" s="3"/>
    </row>
    <row r="9" spans="1:11" x14ac:dyDescent="0.25">
      <c r="D9" t="str" cm="1">
        <f t="array" ref="D9:D11">+D4:D6</f>
        <v>Revolver</v>
      </c>
      <c r="G9" s="4" cm="1">
        <f t="array" aca="1" ref="G9:K9" ca="1">_xlfn.ANCHORARRAY(G4)/$G$7:$K$7</f>
        <v>0.27006868526082795</v>
      </c>
      <c r="H9" s="4">
        <f ca="1"/>
        <v>0.24806642996064943</v>
      </c>
      <c r="I9" s="4">
        <f ca="1"/>
        <v>0.21910648626885351</v>
      </c>
      <c r="J9" s="4">
        <f ca="1"/>
        <v>0.18275779282836158</v>
      </c>
      <c r="K9" s="4">
        <f ca="1"/>
        <v>0.13993737821973934</v>
      </c>
    </row>
    <row r="10" spans="1:11" x14ac:dyDescent="0.25">
      <c r="D10" t="str">
        <v>Subordinated Debt</v>
      </c>
      <c r="G10" s="4" cm="1">
        <f t="array" aca="1" ref="G10:K10" ca="1">_xlfn.ANCHORARRAY(G5)/$G$7:$K$7</f>
        <v>0.29196614622792205</v>
      </c>
      <c r="H10" s="4">
        <f ca="1"/>
        <v>0.29880747714055172</v>
      </c>
      <c r="I10" s="4">
        <f ca="1"/>
        <v>0.30635939543191165</v>
      </c>
      <c r="J10" s="4">
        <f ca="1"/>
        <v>0.31386929329058538</v>
      </c>
      <c r="K10" s="4">
        <f ca="1"/>
        <v>0.32120143485308617</v>
      </c>
    </row>
    <row r="11" spans="1:11" x14ac:dyDescent="0.25">
      <c r="D11" t="str">
        <v>Equity</v>
      </c>
      <c r="G11" s="4" cm="1">
        <f t="array" aca="1" ref="G11:K11" ca="1">_xlfn.ANCHORARRAY(G6)/$G$7:$K$7</f>
        <v>0.43796516851125</v>
      </c>
      <c r="H11" s="4">
        <f ca="1"/>
        <v>0.4531260928987989</v>
      </c>
      <c r="I11" s="4">
        <f ca="1"/>
        <v>0.47453411829923481</v>
      </c>
      <c r="J11" s="4">
        <f ca="1"/>
        <v>0.50337291388105299</v>
      </c>
      <c r="K11" s="4">
        <f ca="1"/>
        <v>0.53886118692717455</v>
      </c>
    </row>
    <row r="12" spans="1:11" x14ac:dyDescent="0.25">
      <c r="C12" t="s">
        <v>232</v>
      </c>
      <c r="G12" s="3"/>
      <c r="H12" s="3"/>
      <c r="I12" s="3"/>
      <c r="J12" s="3"/>
      <c r="K12" s="3"/>
    </row>
    <row r="13" spans="1:11" x14ac:dyDescent="0.25">
      <c r="D13" t="str" cm="1">
        <f t="array" ref="D13:D15">+_xlfn.ANCHORARRAY(D9)</f>
        <v>Revolver</v>
      </c>
      <c r="G13" s="15" cm="1">
        <f t="array" ref="G13:K13">D.Rate.Revolver*(1-tax.rate)</f>
        <v>5.9249999999999997E-2</v>
      </c>
      <c r="H13" s="15">
        <v>5.9249999999999997E-2</v>
      </c>
      <c r="I13" s="15">
        <v>5.9249999999999997E-2</v>
      </c>
      <c r="J13" s="15">
        <v>5.9249999999999997E-2</v>
      </c>
      <c r="K13" s="15">
        <v>5.9249999999999997E-2</v>
      </c>
    </row>
    <row r="14" spans="1:11" x14ac:dyDescent="0.25">
      <c r="D14" t="str">
        <v>Subordinated Debt</v>
      </c>
      <c r="G14" s="15" cm="1">
        <f t="array" ref="G14:K14">D.Rate.Sub.Debt*(1-tax.rate)</f>
        <v>8.2949999999999996E-2</v>
      </c>
      <c r="H14" s="15">
        <v>8.2949999999999996E-2</v>
      </c>
      <c r="I14" s="15">
        <v>8.2949999999999996E-2</v>
      </c>
      <c r="J14" s="15">
        <v>8.2949999999999996E-2</v>
      </c>
      <c r="K14" s="15">
        <v>8.2949999999999996E-2</v>
      </c>
    </row>
    <row r="15" spans="1:11" x14ac:dyDescent="0.25">
      <c r="D15" t="str">
        <v>Equity</v>
      </c>
      <c r="G15" s="15">
        <v>0.26169999999999999</v>
      </c>
      <c r="H15" s="15">
        <f>+G15</f>
        <v>0.26169999999999999</v>
      </c>
      <c r="I15" s="15">
        <f t="shared" ref="I15:K15" si="1">+H15</f>
        <v>0.26169999999999999</v>
      </c>
      <c r="J15" s="15">
        <f t="shared" si="1"/>
        <v>0.26169999999999999</v>
      </c>
      <c r="K15" s="15">
        <f t="shared" si="1"/>
        <v>0.26169999999999999</v>
      </c>
    </row>
    <row r="16" spans="1:11" x14ac:dyDescent="0.25">
      <c r="C16" s="127" t="s">
        <v>112</v>
      </c>
      <c r="G16" s="126">
        <f ca="1">SUMPRODUCT(G9:G11,G13:G15)</f>
        <v>0.15483564603070432</v>
      </c>
      <c r="H16" s="126">
        <f t="shared" ref="H16:K16" ca="1" si="2">SUMPRODUCT(H9:H11,H13:H15)</f>
        <v>0.1580671147155929</v>
      </c>
      <c r="I16" s="126">
        <f t="shared" ca="1" si="2"/>
        <v>0.16258014992141639</v>
      </c>
      <c r="J16" s="126">
        <f t="shared" ca="1" si="2"/>
        <v>0.16859654866620605</v>
      </c>
      <c r="K16" s="126">
        <f t="shared" ca="1" si="2"/>
        <v>0.17595492129942464</v>
      </c>
    </row>
    <row r="17" spans="2:11" x14ac:dyDescent="0.25">
      <c r="C17" t="s">
        <v>233</v>
      </c>
      <c r="G17" s="3"/>
      <c r="H17" s="3"/>
      <c r="I17" s="3"/>
      <c r="J17" s="3"/>
      <c r="K17" s="3"/>
    </row>
    <row r="18" spans="2:11" x14ac:dyDescent="0.25">
      <c r="D18" t="s">
        <v>234</v>
      </c>
      <c r="G18" s="4" cm="1">
        <f t="array" aca="1" ref="G18:K18" ca="1">1/(1+G16:K16)</f>
        <v>0.86592408490083306</v>
      </c>
      <c r="H18" s="4">
        <f ca="1"/>
        <v>0.86350781167427215</v>
      </c>
      <c r="I18" s="4">
        <f ca="1"/>
        <v>0.86015574931981609</v>
      </c>
      <c r="J18" s="4">
        <f ca="1"/>
        <v>0.85572732620284042</v>
      </c>
      <c r="K18" s="4">
        <f ca="1"/>
        <v>0.85037273273622149</v>
      </c>
    </row>
    <row r="19" spans="2:11" x14ac:dyDescent="0.25">
      <c r="D19" t="s">
        <v>235</v>
      </c>
      <c r="G19" s="4">
        <f ca="1">PRODUCT($G18:G18)</f>
        <v>0.86592408490083306</v>
      </c>
      <c r="H19" s="4">
        <f ca="1">PRODUCT($G18:H18)</f>
        <v>0.74773221162876502</v>
      </c>
      <c r="I19" s="4">
        <f ca="1">PRODUCT($G18:I18)</f>
        <v>0.64316616078410371</v>
      </c>
      <c r="J19" s="4">
        <f ca="1">PRODUCT($G18:J18)</f>
        <v>0.55037485907192718</v>
      </c>
      <c r="K19" s="4">
        <f ca="1">PRODUCT($G18:K18)</f>
        <v>0.46802377293830749</v>
      </c>
    </row>
    <row r="20" spans="2:11" x14ac:dyDescent="0.25">
      <c r="G20" s="3"/>
      <c r="I20" s="3"/>
      <c r="K20" s="3"/>
    </row>
    <row r="21" spans="2:11" x14ac:dyDescent="0.25">
      <c r="B21" t="s">
        <v>123</v>
      </c>
      <c r="G21" s="24" cm="1">
        <f t="array" ref="G21:K21">+dates.forecast</f>
        <v>2025</v>
      </c>
      <c r="H21" s="24">
        <v>2026</v>
      </c>
      <c r="I21" s="24">
        <v>2027</v>
      </c>
      <c r="J21" s="24">
        <v>2028</v>
      </c>
      <c r="K21" s="24">
        <v>2029</v>
      </c>
    </row>
    <row r="22" spans="2:11" x14ac:dyDescent="0.25">
      <c r="C22" t="s">
        <v>114</v>
      </c>
      <c r="G22" s="3" cm="1">
        <f t="array" ref="G22:K31">FCF.Values</f>
        <v>7461.5238988305737</v>
      </c>
      <c r="H22" s="3">
        <v>7601.3719235165954</v>
      </c>
      <c r="I22" s="3">
        <v>7836.5741556384073</v>
      </c>
      <c r="J22" s="3">
        <v>8202.322740686217</v>
      </c>
      <c r="K22" s="3">
        <v>8464.8534835372793</v>
      </c>
    </row>
    <row r="23" spans="2:11" x14ac:dyDescent="0.25">
      <c r="D23" t="s">
        <v>115</v>
      </c>
      <c r="G23" s="3">
        <v>-3841.0597968980851</v>
      </c>
      <c r="H23" s="3">
        <v>-3841.0597968980851</v>
      </c>
      <c r="I23" s="3">
        <v>-3841.0597968980851</v>
      </c>
      <c r="J23" s="3">
        <v>-3841.0597968980851</v>
      </c>
      <c r="K23" s="3">
        <v>-3841.0597968980851</v>
      </c>
    </row>
    <row r="24" spans="2:11" x14ac:dyDescent="0.25">
      <c r="C24" t="s">
        <v>116</v>
      </c>
      <c r="G24" s="6">
        <v>3620.4641019324881</v>
      </c>
      <c r="H24" s="6">
        <v>3760.3121266185099</v>
      </c>
      <c r="I24" s="6">
        <v>3995.5143587403218</v>
      </c>
      <c r="J24" s="6">
        <v>4361.2629437881315</v>
      </c>
      <c r="K24" s="6">
        <v>4623.7936866391938</v>
      </c>
    </row>
    <row r="25" spans="2:11" x14ac:dyDescent="0.25">
      <c r="D25" t="s">
        <v>117</v>
      </c>
      <c r="G25" s="3">
        <v>0.21</v>
      </c>
      <c r="H25" s="3">
        <v>0.21</v>
      </c>
      <c r="I25" s="3">
        <v>0.21</v>
      </c>
      <c r="J25" s="3">
        <v>0.21</v>
      </c>
      <c r="K25" s="3">
        <v>0.21</v>
      </c>
    </row>
    <row r="26" spans="2:11" x14ac:dyDescent="0.25">
      <c r="C26" t="s">
        <v>118</v>
      </c>
      <c r="G26" s="6">
        <v>2860.1666405266656</v>
      </c>
      <c r="H26" s="6">
        <v>2970.6465800286228</v>
      </c>
      <c r="I26" s="6">
        <v>3156.4563434048541</v>
      </c>
      <c r="J26" s="6">
        <v>3445.3977255926238</v>
      </c>
      <c r="K26" s="6">
        <v>3652.7970124449635</v>
      </c>
    </row>
    <row r="27" spans="2:11" x14ac:dyDescent="0.25">
      <c r="D27" t="s">
        <v>119</v>
      </c>
      <c r="G27" s="3">
        <v>3841.0597968980851</v>
      </c>
      <c r="H27" s="3">
        <v>3841.0597968980851</v>
      </c>
      <c r="I27" s="3">
        <v>3841.0597968980851</v>
      </c>
      <c r="J27" s="3">
        <v>3841.0597968980851</v>
      </c>
      <c r="K27" s="3">
        <v>3841.0597968980851</v>
      </c>
    </row>
    <row r="28" spans="2:11" x14ac:dyDescent="0.25">
      <c r="D28" t="s">
        <v>120</v>
      </c>
      <c r="G28" s="3">
        <v>552.35495300991624</v>
      </c>
      <c r="H28" s="3">
        <v>521.32053943083474</v>
      </c>
      <c r="I28" s="3">
        <v>366.14857418190854</v>
      </c>
      <c r="J28" s="3">
        <v>188.02390329974958</v>
      </c>
      <c r="K28" s="3">
        <v>-89.119715457601501</v>
      </c>
    </row>
    <row r="29" spans="2:11" x14ac:dyDescent="0.25">
      <c r="C29" t="s">
        <v>121</v>
      </c>
      <c r="G29" s="6">
        <v>7253.5813904346669</v>
      </c>
      <c r="H29" s="6">
        <v>7333.0269163575431</v>
      </c>
      <c r="I29" s="6">
        <v>7363.6647144848484</v>
      </c>
      <c r="J29" s="6">
        <v>7474.4814257904591</v>
      </c>
      <c r="K29" s="6">
        <v>7404.7370938854474</v>
      </c>
    </row>
    <row r="30" spans="2:11" x14ac:dyDescent="0.25">
      <c r="D30" t="s">
        <v>122</v>
      </c>
      <c r="G30" s="3">
        <v>-1750</v>
      </c>
      <c r="H30" s="3">
        <v>-1750</v>
      </c>
      <c r="I30" s="3">
        <v>-1750</v>
      </c>
      <c r="J30" s="3">
        <v>-1750</v>
      </c>
      <c r="K30" s="3">
        <v>-1750</v>
      </c>
    </row>
    <row r="31" spans="2:11" x14ac:dyDescent="0.25">
      <c r="C31" t="s">
        <v>123</v>
      </c>
      <c r="G31" s="6">
        <v>5503.5813904346669</v>
      </c>
      <c r="H31" s="6">
        <v>5583.0269163575431</v>
      </c>
      <c r="I31" s="6">
        <v>5613.6647144848484</v>
      </c>
      <c r="J31" s="6">
        <v>5724.4814257904591</v>
      </c>
      <c r="K31" s="6">
        <v>5654.7370938854474</v>
      </c>
    </row>
    <row r="32" spans="2:11" x14ac:dyDescent="0.25">
      <c r="G32" s="3"/>
      <c r="H32" s="3"/>
      <c r="I32" s="3"/>
      <c r="J32" s="3"/>
      <c r="K32" s="3"/>
    </row>
    <row r="33" spans="2:21" x14ac:dyDescent="0.25">
      <c r="B33" t="s">
        <v>149</v>
      </c>
      <c r="G33" s="3"/>
      <c r="H33" s="3"/>
      <c r="I33" s="3"/>
      <c r="J33" s="3"/>
      <c r="K33" s="3"/>
    </row>
    <row r="34" spans="2:21" x14ac:dyDescent="0.25">
      <c r="C34" t="s">
        <v>233</v>
      </c>
      <c r="G34" s="4" cm="1">
        <f t="array" aca="1" ref="G34:K34" ca="1">+G19:K19</f>
        <v>0.86592408490083306</v>
      </c>
      <c r="H34" s="4">
        <f ca="1"/>
        <v>0.74773221162876502</v>
      </c>
      <c r="I34" s="4">
        <f ca="1"/>
        <v>0.64316616078410371</v>
      </c>
      <c r="J34" s="4">
        <f ca="1"/>
        <v>0.55037485907192718</v>
      </c>
      <c r="K34" s="4">
        <f ca="1"/>
        <v>0.46802377293830749</v>
      </c>
    </row>
    <row r="35" spans="2:21" x14ac:dyDescent="0.25">
      <c r="C35" t="s">
        <v>236</v>
      </c>
      <c r="G35" s="3" cm="1">
        <f t="array" aca="1" ref="G35:K35" ca="1">+G31:K31*_xlfn.ANCHORARRAY(G34)</f>
        <v>4765.6836791893929</v>
      </c>
      <c r="H35" s="3">
        <f ca="1"/>
        <v>4174.6090637509496</v>
      </c>
      <c r="I35" s="3">
        <f ca="1"/>
        <v>3610.5191823444115</v>
      </c>
      <c r="J35" s="3">
        <f ca="1"/>
        <v>3150.6106579792886</v>
      </c>
      <c r="K35" s="3">
        <f ca="1"/>
        <v>2646.5513896544676</v>
      </c>
    </row>
    <row r="36" spans="2:21" x14ac:dyDescent="0.25">
      <c r="G36" s="3"/>
      <c r="H36" s="3"/>
      <c r="I36" s="3"/>
      <c r="J36" s="3"/>
      <c r="K36" s="3"/>
    </row>
    <row r="37" spans="2:21" ht="15.75" thickBot="1" x14ac:dyDescent="0.3">
      <c r="B37" t="s">
        <v>237</v>
      </c>
      <c r="G37" s="3"/>
      <c r="H37" s="3"/>
      <c r="I37" s="3"/>
      <c r="J37" s="3"/>
      <c r="K37" s="3"/>
    </row>
    <row r="38" spans="2:21" ht="45.75" thickBot="1" x14ac:dyDescent="0.3">
      <c r="G38" s="128" t="s">
        <v>238</v>
      </c>
      <c r="H38" s="129" t="s">
        <v>239</v>
      </c>
      <c r="I38" s="130" t="s">
        <v>240</v>
      </c>
      <c r="J38" s="131" t="s">
        <v>241</v>
      </c>
      <c r="K38" s="132" t="s">
        <v>242</v>
      </c>
      <c r="L38" s="128" t="s">
        <v>243</v>
      </c>
    </row>
    <row r="39" spans="2:21" x14ac:dyDescent="0.25">
      <c r="G39" s="133" cm="1">
        <f t="array" ref="G39:G42">_xlfn.SEQUENCE(4,1,8,2)</f>
        <v>8</v>
      </c>
      <c r="H39" s="136" cm="1">
        <f t="array" ref="H39:H42">+_xlfn.ANCHORARRAY(G39)*LBO.Terminal.EBITDA</f>
        <v>67718.827868298235</v>
      </c>
      <c r="I39" s="137">
        <f ca="1">+LBO.Terminal.Cash</f>
        <v>9364.198813190993</v>
      </c>
      <c r="J39" s="138">
        <f ca="1">-Terminal.Debt</f>
        <v>-28713.371923991876</v>
      </c>
      <c r="K39" s="145">
        <f ca="1">SUM(H39:J39)</f>
        <v>48369.654757497352</v>
      </c>
      <c r="L39" s="148" cm="1">
        <f t="array" aca="1" ref="L39:L42" ca="1">+K39:K42*Terminal.Discount.Factor</f>
        <v>22638.148315327264</v>
      </c>
    </row>
    <row r="40" spans="2:21" x14ac:dyDescent="0.25">
      <c r="G40" s="134">
        <v>10</v>
      </c>
      <c r="H40" s="139">
        <v>84648.53483537279</v>
      </c>
      <c r="I40" s="140">
        <f ca="1">+I39</f>
        <v>9364.198813190993</v>
      </c>
      <c r="J40" s="141">
        <f ca="1">+J39</f>
        <v>-28713.371923991876</v>
      </c>
      <c r="K40" s="146">
        <f t="shared" ref="K40:K42" ca="1" si="3">SUM(H40:J40)</f>
        <v>65299.361724571907</v>
      </c>
      <c r="L40" s="148">
        <f ca="1"/>
        <v>30561.65364479745</v>
      </c>
    </row>
    <row r="41" spans="2:21" x14ac:dyDescent="0.25">
      <c r="G41" s="134">
        <v>12</v>
      </c>
      <c r="H41" s="139">
        <v>101578.24180244736</v>
      </c>
      <c r="I41" s="140">
        <f t="shared" ref="I41:I42" ca="1" si="4">+I40</f>
        <v>9364.198813190993</v>
      </c>
      <c r="J41" s="141">
        <f t="shared" ref="J41:J42" ca="1" si="5">+J40</f>
        <v>-28713.371923991876</v>
      </c>
      <c r="K41" s="146">
        <f t="shared" ca="1" si="3"/>
        <v>82229.068691646477</v>
      </c>
      <c r="L41" s="148">
        <f ca="1"/>
        <v>38485.158974267637</v>
      </c>
    </row>
    <row r="42" spans="2:21" ht="15.75" thickBot="1" x14ac:dyDescent="0.3">
      <c r="G42" s="135">
        <v>14</v>
      </c>
      <c r="H42" s="142">
        <v>118507.94876952191</v>
      </c>
      <c r="I42" s="143">
        <f t="shared" ca="1" si="4"/>
        <v>9364.198813190993</v>
      </c>
      <c r="J42" s="144">
        <f t="shared" ca="1" si="5"/>
        <v>-28713.371923991876</v>
      </c>
      <c r="K42" s="147">
        <f t="shared" ca="1" si="3"/>
        <v>99158.775658721032</v>
      </c>
      <c r="L42" s="149">
        <f ca="1"/>
        <v>46408.664303737824</v>
      </c>
    </row>
    <row r="43" spans="2:21" ht="15.75" thickBot="1" x14ac:dyDescent="0.3">
      <c r="B43" s="163" t="s">
        <v>244</v>
      </c>
      <c r="C43" s="163"/>
      <c r="D43" s="163"/>
      <c r="E43" s="163"/>
      <c r="F43" s="163"/>
      <c r="G43" s="3"/>
      <c r="H43" s="3"/>
      <c r="I43" s="3"/>
      <c r="J43" s="3"/>
      <c r="K43" s="3"/>
    </row>
    <row r="44" spans="2:21" ht="15.75" thickBot="1" x14ac:dyDescent="0.3">
      <c r="C44" s="150" t="s">
        <v>245</v>
      </c>
      <c r="D44" s="150"/>
      <c r="E44" s="150"/>
      <c r="F44" s="150"/>
      <c r="G44" s="151">
        <f>LBO.Sponsor.Equity</f>
        <v>34796.050895</v>
      </c>
      <c r="H44" s="159" t="str">
        <f ca="1">"WACC= "&amp;TEXT(LBO.Terminal.WACC,"0%"&amp;"")</f>
        <v>WACC= 18%</v>
      </c>
      <c r="I44" s="3"/>
      <c r="J44" s="3"/>
      <c r="K44" s="3"/>
    </row>
    <row r="45" spans="2:21" ht="45.75" thickBot="1" x14ac:dyDescent="0.3">
      <c r="G45" s="128" t="s">
        <v>238</v>
      </c>
      <c r="H45" s="158" t="s">
        <v>246</v>
      </c>
      <c r="I45" s="131" t="s">
        <v>247</v>
      </c>
      <c r="J45" s="3"/>
      <c r="K45" s="3"/>
      <c r="O45" s="128" t="str" cm="1">
        <f t="array" ref="O45:O49">+G45:G49</f>
        <v>Exit Multiplier</v>
      </c>
      <c r="P45" s="72" cm="1">
        <f t="array" ref="P45:U45">_xlfn.SEQUENCE(1,6,0,1)</f>
        <v>0</v>
      </c>
      <c r="Q45" s="73">
        <v>1</v>
      </c>
      <c r="R45" s="73">
        <v>2</v>
      </c>
      <c r="S45" s="73">
        <v>3</v>
      </c>
      <c r="T45" s="73">
        <v>4</v>
      </c>
      <c r="U45" s="74">
        <v>5</v>
      </c>
    </row>
    <row r="46" spans="2:21" x14ac:dyDescent="0.25">
      <c r="G46" s="133" cm="1">
        <f t="array" ref="G46:G49">_xlfn.SEQUENCE(4,1,8,2)</f>
        <v>8</v>
      </c>
      <c r="H46" s="136">
        <f ca="1">NPV(LBO.Terminal.WACC,Q46:U46)-LBO.Sponsor.Equity</f>
        <v>4390.3221989686281</v>
      </c>
      <c r="I46" s="160">
        <f ca="1">IRR(P46:U46)</f>
        <v>0.21208100716952005</v>
      </c>
      <c r="J46" s="3"/>
      <c r="K46" s="3"/>
      <c r="O46" s="133">
        <v>8</v>
      </c>
      <c r="P46" s="136">
        <f>-LBO.Sponsor.Equity</f>
        <v>-34796.050895</v>
      </c>
      <c r="Q46" s="152">
        <f>G$31</f>
        <v>5503.5813904346669</v>
      </c>
      <c r="R46" s="152">
        <f t="shared" ref="R46:T49" si="6">H$31</f>
        <v>5583.0269163575431</v>
      </c>
      <c r="S46" s="152">
        <f t="shared" si="6"/>
        <v>5613.6647144848484</v>
      </c>
      <c r="T46" s="152">
        <f t="shared" si="6"/>
        <v>5724.4814257904591</v>
      </c>
      <c r="U46" s="153">
        <f ca="1">K$31+K39</f>
        <v>54024.391851382796</v>
      </c>
    </row>
    <row r="47" spans="2:21" x14ac:dyDescent="0.25">
      <c r="G47" s="134">
        <v>10</v>
      </c>
      <c r="H47" s="139">
        <f ca="1">NPV(LBO.Terminal.WACC,Q47:U47)-LBO.Sponsor.Equity</f>
        <v>11918.607535481511</v>
      </c>
      <c r="I47" s="161">
        <f t="shared" ref="I47:I49" ca="1" si="7">IRR(P47:U47)</f>
        <v>0.26459950367037166</v>
      </c>
      <c r="J47" s="3"/>
      <c r="K47" s="3"/>
      <c r="O47" s="134">
        <v>10</v>
      </c>
      <c r="P47" s="139">
        <f>+P46</f>
        <v>-34796.050895</v>
      </c>
      <c r="Q47" s="154">
        <f t="shared" ref="Q47:Q49" si="8">G$31</f>
        <v>5503.5813904346669</v>
      </c>
      <c r="R47" s="154">
        <f t="shared" si="6"/>
        <v>5583.0269163575431</v>
      </c>
      <c r="S47" s="154">
        <f t="shared" si="6"/>
        <v>5613.6647144848484</v>
      </c>
      <c r="T47" s="154">
        <f t="shared" si="6"/>
        <v>5724.4814257904591</v>
      </c>
      <c r="U47" s="155">
        <f t="shared" ref="U47:U49" ca="1" si="9">K$31+K40</f>
        <v>70954.098818457351</v>
      </c>
    </row>
    <row r="48" spans="2:21" x14ac:dyDescent="0.25">
      <c r="G48" s="134">
        <v>12</v>
      </c>
      <c r="H48" s="139">
        <f ca="1">NPV(LBO.Terminal.WACC,Q48:U48)-LBO.Sponsor.Equity</f>
        <v>19446.892871994394</v>
      </c>
      <c r="I48" s="161">
        <f t="shared" ca="1" si="7"/>
        <v>0.30887216135940854</v>
      </c>
      <c r="J48" s="3"/>
      <c r="K48" s="3"/>
      <c r="O48" s="134">
        <v>12</v>
      </c>
      <c r="P48" s="139">
        <f t="shared" ref="P48:P49" si="10">+P47</f>
        <v>-34796.050895</v>
      </c>
      <c r="Q48" s="154">
        <f t="shared" si="8"/>
        <v>5503.5813904346669</v>
      </c>
      <c r="R48" s="154">
        <f t="shared" si="6"/>
        <v>5583.0269163575431</v>
      </c>
      <c r="S48" s="154">
        <f t="shared" si="6"/>
        <v>5613.6647144848484</v>
      </c>
      <c r="T48" s="154">
        <f t="shared" si="6"/>
        <v>5724.4814257904591</v>
      </c>
      <c r="U48" s="155">
        <f t="shared" ca="1" si="9"/>
        <v>87883.80578553192</v>
      </c>
    </row>
    <row r="49" spans="2:21" ht="15.75" thickBot="1" x14ac:dyDescent="0.3">
      <c r="G49" s="135">
        <v>14</v>
      </c>
      <c r="H49" s="142">
        <f ca="1">NPV(LBO.Terminal.WACC,Q49:U49)-LBO.Sponsor.Equity</f>
        <v>26975.178208507277</v>
      </c>
      <c r="I49" s="162">
        <f t="shared" ca="1" si="7"/>
        <v>0.34736828605114223</v>
      </c>
      <c r="J49" s="3"/>
      <c r="K49" s="3"/>
      <c r="O49" s="135">
        <v>14</v>
      </c>
      <c r="P49" s="142">
        <f t="shared" si="10"/>
        <v>-34796.050895</v>
      </c>
      <c r="Q49" s="156">
        <f t="shared" si="8"/>
        <v>5503.5813904346669</v>
      </c>
      <c r="R49" s="156">
        <f t="shared" si="6"/>
        <v>5583.0269163575431</v>
      </c>
      <c r="S49" s="156">
        <f t="shared" si="6"/>
        <v>5613.6647144848484</v>
      </c>
      <c r="T49" s="156">
        <f t="shared" si="6"/>
        <v>5724.4814257904591</v>
      </c>
      <c r="U49" s="157">
        <f t="shared" ca="1" si="9"/>
        <v>104813.51275260648</v>
      </c>
    </row>
    <row r="50" spans="2:21" x14ac:dyDescent="0.25">
      <c r="G50" s="3"/>
      <c r="H50" s="3"/>
      <c r="I50" s="3"/>
      <c r="J50" s="3"/>
      <c r="K50" s="3"/>
    </row>
    <row r="51" spans="2:21" ht="15.75" thickBot="1" x14ac:dyDescent="0.3">
      <c r="B51" s="164" t="s">
        <v>248</v>
      </c>
      <c r="C51" s="163"/>
      <c r="D51" s="163"/>
      <c r="E51" s="163"/>
      <c r="F51" s="163"/>
      <c r="G51" s="3"/>
      <c r="H51" s="3"/>
      <c r="I51" s="3"/>
      <c r="J51" s="3"/>
      <c r="K51" s="3"/>
    </row>
    <row r="52" spans="2:21" ht="30.75" thickBot="1" x14ac:dyDescent="0.3">
      <c r="G52" s="128" t="s">
        <v>238</v>
      </c>
      <c r="H52" s="165" cm="1">
        <f t="array" ref="H52:L52">+dates.forecast</f>
        <v>2025</v>
      </c>
      <c r="I52" s="166">
        <v>2026</v>
      </c>
      <c r="J52" s="166">
        <v>2027</v>
      </c>
      <c r="K52" s="166">
        <v>2028</v>
      </c>
      <c r="L52" s="167">
        <v>2029</v>
      </c>
    </row>
    <row r="53" spans="2:21" x14ac:dyDescent="0.25">
      <c r="F53" s="190" t="s">
        <v>249</v>
      </c>
      <c r="G53" s="133" cm="1">
        <f t="array" ref="G53:G56">_xlfn.SEQUENCE(4,1,8,2)</f>
        <v>8</v>
      </c>
      <c r="H53" s="168" cm="1">
        <f t="array" ref="H53:L56">_xlfn.ANCHORARRAY(G53)*LBO.Forecast.EBITDA</f>
        <v>59692.191190644589</v>
      </c>
      <c r="I53" s="169">
        <v>60810.975388132763</v>
      </c>
      <c r="J53" s="169">
        <v>62692.593245107259</v>
      </c>
      <c r="K53" s="169">
        <v>65618.581925489736</v>
      </c>
      <c r="L53" s="168">
        <v>67718.827868298235</v>
      </c>
    </row>
    <row r="54" spans="2:21" x14ac:dyDescent="0.25">
      <c r="F54" s="191"/>
      <c r="G54" s="134">
        <v>10</v>
      </c>
      <c r="H54" s="169">
        <v>74615.238988305733</v>
      </c>
      <c r="I54" s="169">
        <v>76013.719235165947</v>
      </c>
      <c r="J54" s="169">
        <v>78365.741556384077</v>
      </c>
      <c r="K54" s="169">
        <v>82023.227406862163</v>
      </c>
      <c r="L54" s="3">
        <v>84648.53483537279</v>
      </c>
      <c r="M54" s="3"/>
      <c r="N54" s="3"/>
      <c r="O54" s="3"/>
      <c r="P54" s="3"/>
      <c r="Q54" s="3"/>
      <c r="R54" s="3"/>
    </row>
    <row r="55" spans="2:21" x14ac:dyDescent="0.25">
      <c r="F55" s="191"/>
      <c r="G55" s="134">
        <v>12</v>
      </c>
      <c r="H55" s="169">
        <v>89538.286785966891</v>
      </c>
      <c r="I55" s="169">
        <v>91216.463082199145</v>
      </c>
      <c r="J55" s="169">
        <v>94038.889867660881</v>
      </c>
      <c r="K55" s="169">
        <v>98427.872888234604</v>
      </c>
      <c r="L55" s="3">
        <v>101578.24180244736</v>
      </c>
      <c r="M55" s="3"/>
      <c r="N55" s="3"/>
      <c r="O55" s="3"/>
      <c r="P55" s="3"/>
      <c r="Q55" s="3"/>
      <c r="R55" s="3"/>
    </row>
    <row r="56" spans="2:21" ht="15.75" thickBot="1" x14ac:dyDescent="0.3">
      <c r="F56" s="192"/>
      <c r="G56" s="135">
        <v>14</v>
      </c>
      <c r="H56" s="169">
        <v>104461.33458362804</v>
      </c>
      <c r="I56" s="169">
        <v>106419.20692923234</v>
      </c>
      <c r="J56" s="169">
        <v>109712.0381789377</v>
      </c>
      <c r="K56" s="169">
        <v>114832.51836960705</v>
      </c>
      <c r="L56" s="3">
        <v>118507.94876952191</v>
      </c>
      <c r="M56" s="3"/>
      <c r="N56" s="3"/>
      <c r="O56" s="3"/>
      <c r="P56" s="3"/>
      <c r="Q56" s="3"/>
      <c r="R56" s="3"/>
    </row>
    <row r="57" spans="2:21" x14ac:dyDescent="0.25">
      <c r="F57" t="s">
        <v>250</v>
      </c>
      <c r="G57" s="3"/>
      <c r="H57" s="3"/>
      <c r="I57" s="3"/>
      <c r="J57" s="3"/>
      <c r="K57" s="3"/>
      <c r="L57" s="3"/>
      <c r="M57" s="3"/>
      <c r="N57" s="3"/>
      <c r="O57" s="3"/>
      <c r="P57" s="3"/>
      <c r="Q57" s="3"/>
      <c r="R57" s="3"/>
    </row>
    <row r="58" spans="2:21" x14ac:dyDescent="0.25">
      <c r="F58" s="12" t="s">
        <v>151</v>
      </c>
      <c r="G58" s="3"/>
      <c r="H58" s="3" cm="1">
        <f t="array" aca="1" ref="H58:L58" ca="1">-D.F.Revolver-D.F.Sub.Debt</f>
        <v>-38500</v>
      </c>
      <c r="I58" s="3">
        <f ca="1"/>
        <v>-36603.763221357745</v>
      </c>
      <c r="J58" s="3">
        <f ca="1"/>
        <v>-34303.885536786154</v>
      </c>
      <c r="K58" s="3">
        <f ca="1"/>
        <v>-31645.471330587374</v>
      </c>
      <c r="L58" s="3">
        <f ca="1"/>
        <v>-28713.371923991876</v>
      </c>
      <c r="M58" s="3"/>
      <c r="N58" s="3"/>
      <c r="O58" s="3"/>
      <c r="P58" s="3"/>
      <c r="Q58" s="3"/>
      <c r="R58" s="3"/>
    </row>
    <row r="59" spans="2:21" ht="15.75" thickBot="1" x14ac:dyDescent="0.3">
      <c r="F59" s="12" t="s">
        <v>251</v>
      </c>
      <c r="G59" s="3"/>
      <c r="H59" s="170" cm="1">
        <f t="array" aca="1" ref="H59:L59" ca="1">+F.Cash</f>
        <v>6248.4563904346669</v>
      </c>
      <c r="I59" s="170">
        <f ca="1"/>
        <v>7292.4735572845093</v>
      </c>
      <c r="J59" s="170">
        <f ca="1"/>
        <v>8099.7553691431867</v>
      </c>
      <c r="K59" s="170">
        <f ca="1"/>
        <v>8816.8284123975627</v>
      </c>
      <c r="L59" s="170">
        <f ca="1"/>
        <v>9364.198813190993</v>
      </c>
      <c r="M59" s="3"/>
      <c r="N59" s="3"/>
      <c r="O59" s="3"/>
      <c r="P59" s="3"/>
      <c r="Q59" s="3"/>
      <c r="R59" s="3"/>
    </row>
    <row r="60" spans="2:21" x14ac:dyDescent="0.25">
      <c r="F60" s="193" t="s">
        <v>252</v>
      </c>
      <c r="G60" s="180" cm="1">
        <f t="array" ref="G60:G63">_xlfn.SEQUENCE(4,1,8,2)</f>
        <v>8</v>
      </c>
      <c r="H60" s="175" cm="1">
        <f t="array" aca="1" ref="H60:L63" ca="1">+_xlfn.ANCHORARRAY(H53)+_xlfn.ANCHORARRAY(H58)+_xlfn.ANCHORARRAY(H59)</f>
        <v>27440.647581079254</v>
      </c>
      <c r="I60" s="176">
        <f ca="1"/>
        <v>31499.685724059527</v>
      </c>
      <c r="J60" s="176">
        <f ca="1"/>
        <v>36488.463077464294</v>
      </c>
      <c r="K60" s="176">
        <f ca="1"/>
        <v>42789.939007299923</v>
      </c>
      <c r="L60" s="176">
        <f ca="1"/>
        <v>48369.654757497352</v>
      </c>
      <c r="M60" s="3"/>
      <c r="N60" s="3"/>
      <c r="O60" s="3"/>
      <c r="P60" s="3"/>
      <c r="Q60" s="3"/>
      <c r="R60" s="3"/>
    </row>
    <row r="61" spans="2:21" x14ac:dyDescent="0.25">
      <c r="F61" s="194"/>
      <c r="G61" s="181">
        <v>10</v>
      </c>
      <c r="H61" s="113">
        <f ca="1"/>
        <v>42363.695378740398</v>
      </c>
      <c r="I61" s="113">
        <f ca="1"/>
        <v>46702.429571092711</v>
      </c>
      <c r="J61" s="113">
        <f ca="1"/>
        <v>52161.611388741112</v>
      </c>
      <c r="K61" s="113">
        <f ca="1"/>
        <v>59194.58448867235</v>
      </c>
      <c r="L61" s="113">
        <f ca="1"/>
        <v>65299.361724571907</v>
      </c>
      <c r="M61" s="3"/>
      <c r="N61" s="3"/>
      <c r="O61" s="3"/>
      <c r="P61" s="3"/>
      <c r="Q61" s="3"/>
      <c r="R61" s="3"/>
    </row>
    <row r="62" spans="2:21" x14ac:dyDescent="0.25">
      <c r="F62" s="194"/>
      <c r="G62" s="181">
        <v>12</v>
      </c>
      <c r="H62" s="113">
        <f ca="1"/>
        <v>57286.743176401556</v>
      </c>
      <c r="I62" s="113">
        <f ca="1"/>
        <v>61905.173418125909</v>
      </c>
      <c r="J62" s="113">
        <f ca="1"/>
        <v>67834.759700017908</v>
      </c>
      <c r="K62" s="113">
        <f ca="1"/>
        <v>75599.229970044791</v>
      </c>
      <c r="L62" s="113">
        <f ca="1"/>
        <v>82229.068691646477</v>
      </c>
      <c r="M62" s="3"/>
      <c r="N62" s="3"/>
      <c r="O62" s="3"/>
      <c r="P62" s="3"/>
      <c r="Q62" s="3"/>
      <c r="R62" s="3"/>
    </row>
    <row r="63" spans="2:21" ht="15.75" thickBot="1" x14ac:dyDescent="0.3">
      <c r="F63" s="195"/>
      <c r="G63" s="182">
        <v>14</v>
      </c>
      <c r="H63" s="113">
        <f ca="1"/>
        <v>72209.790974062707</v>
      </c>
      <c r="I63" s="113">
        <f ca="1"/>
        <v>77107.917265159107</v>
      </c>
      <c r="J63" s="113">
        <f ca="1"/>
        <v>83507.908011294727</v>
      </c>
      <c r="K63" s="113">
        <f ca="1"/>
        <v>92003.875451417232</v>
      </c>
      <c r="L63" s="113">
        <f ca="1"/>
        <v>99158.775658721032</v>
      </c>
      <c r="M63" s="3"/>
      <c r="N63" s="3"/>
      <c r="O63" s="3"/>
      <c r="P63" s="3"/>
      <c r="Q63" s="3"/>
      <c r="R63" s="3"/>
    </row>
    <row r="64" spans="2:21" ht="15.75" thickBot="1" x14ac:dyDescent="0.3">
      <c r="G64" s="3"/>
      <c r="H64" s="174" cm="1">
        <f t="array" ref="H64:L64">_xlfn.SEQUENCE(1,5,1,1)</f>
        <v>1</v>
      </c>
      <c r="I64" s="174">
        <v>2</v>
      </c>
      <c r="J64" s="174">
        <v>3</v>
      </c>
      <c r="K64" s="174">
        <v>4</v>
      </c>
      <c r="L64" s="174">
        <v>5</v>
      </c>
      <c r="M64" s="3"/>
      <c r="N64" s="3"/>
      <c r="O64" s="3"/>
      <c r="P64" s="3"/>
      <c r="Q64" s="3"/>
      <c r="R64" s="3"/>
    </row>
    <row r="65" spans="6:18" x14ac:dyDescent="0.25">
      <c r="F65" s="196" t="s">
        <v>253</v>
      </c>
      <c r="G65" s="171" cm="1">
        <f t="array" ref="G65:G68">_xlfn.SEQUENCE(4,1,8,2)</f>
        <v>8</v>
      </c>
      <c r="H65" s="4" cm="1">
        <f t="array" aca="1" ref="H65:L68" ca="1">(_xlfn.ANCHORARRAY(H60)/LBO.Sponsor.Equity)^(1/_xlfn.ANCHORARRAY(H64))-1</f>
        <v>-0.21138615229976221</v>
      </c>
      <c r="I65" s="4">
        <f ca="1"/>
        <v>-4.854526513357782E-2</v>
      </c>
      <c r="J65" s="4">
        <f ca="1"/>
        <v>1.5956713488235463E-2</v>
      </c>
      <c r="K65" s="4">
        <f ca="1"/>
        <v>5.3059541491766282E-2</v>
      </c>
      <c r="L65" s="4">
        <f ca="1"/>
        <v>6.8091861834427059E-2</v>
      </c>
      <c r="M65" s="3"/>
      <c r="N65" s="3"/>
      <c r="O65" s="3"/>
      <c r="P65" s="3"/>
      <c r="Q65" s="3"/>
      <c r="R65" s="3"/>
    </row>
    <row r="66" spans="6:18" x14ac:dyDescent="0.25">
      <c r="F66" s="197"/>
      <c r="G66" s="172">
        <v>10</v>
      </c>
      <c r="H66" s="4">
        <f ca="1"/>
        <v>0.21748572867008376</v>
      </c>
      <c r="I66" s="4">
        <f ca="1"/>
        <v>0.15852326193205268</v>
      </c>
      <c r="J66" s="4">
        <f ca="1"/>
        <v>0.14447685416608569</v>
      </c>
      <c r="K66" s="4">
        <f ca="1"/>
        <v>0.14205759086364123</v>
      </c>
      <c r="L66" s="4">
        <f ca="1"/>
        <v>0.13416383738631787</v>
      </c>
      <c r="M66" s="3"/>
      <c r="N66" s="3"/>
      <c r="O66" s="3"/>
      <c r="P66" s="3"/>
      <c r="Q66" s="3"/>
      <c r="R66" s="3"/>
    </row>
    <row r="67" spans="6:18" x14ac:dyDescent="0.25">
      <c r="F67" s="197"/>
      <c r="G67" s="172">
        <v>12</v>
      </c>
      <c r="H67" s="4">
        <f ca="1"/>
        <v>0.64635760963993016</v>
      </c>
      <c r="I67" s="4">
        <f ca="1"/>
        <v>0.33382389556329128</v>
      </c>
      <c r="J67" s="4">
        <f ca="1"/>
        <v>0.24922531900864042</v>
      </c>
      <c r="K67" s="4">
        <f ca="1"/>
        <v>0.21407873855393666</v>
      </c>
      <c r="L67" s="4">
        <f ca="1"/>
        <v>0.18767901446804602</v>
      </c>
      <c r="M67" s="3"/>
      <c r="N67" s="3"/>
      <c r="O67" s="3"/>
      <c r="P67" s="3"/>
      <c r="Q67" s="3"/>
      <c r="R67" s="3"/>
    </row>
    <row r="68" spans="6:18" ht="15.75" thickBot="1" x14ac:dyDescent="0.3">
      <c r="F68" s="198"/>
      <c r="G68" s="173">
        <v>14</v>
      </c>
      <c r="H68" s="4">
        <f ca="1"/>
        <v>1.0752294906097766</v>
      </c>
      <c r="I68" s="4">
        <f ca="1"/>
        <v>0.48862225574978702</v>
      </c>
      <c r="J68" s="4">
        <f ca="1"/>
        <v>0.33885192980897272</v>
      </c>
      <c r="K68" s="4">
        <f ca="1"/>
        <v>0.27517280158310031</v>
      </c>
      <c r="L68" s="4">
        <f ca="1"/>
        <v>0.23299194575927196</v>
      </c>
      <c r="M68" s="3"/>
      <c r="N68" s="3"/>
      <c r="O68" s="3"/>
      <c r="P68" s="3"/>
      <c r="Q68" s="3"/>
      <c r="R68" s="3"/>
    </row>
    <row r="69" spans="6:18" ht="15.75" thickBot="1" x14ac:dyDescent="0.3">
      <c r="G69" s="3"/>
      <c r="H69" s="3"/>
      <c r="I69" s="3"/>
      <c r="J69" s="3"/>
      <c r="K69" s="3"/>
      <c r="L69" s="3"/>
      <c r="M69" s="3"/>
      <c r="N69" s="3"/>
      <c r="O69" s="3"/>
      <c r="P69" s="3"/>
      <c r="Q69" s="3"/>
      <c r="R69" s="3"/>
    </row>
    <row r="70" spans="6:18" x14ac:dyDescent="0.25">
      <c r="F70" s="199" t="s">
        <v>254</v>
      </c>
      <c r="G70" s="177" cm="1">
        <f t="array" ref="G70:G73">_xlfn.SEQUENCE(4,1,8,2)</f>
        <v>8</v>
      </c>
      <c r="H70" s="183" cm="1">
        <f t="array" aca="1" ref="H70:L73" ca="1">+_xlfn.ANCHORARRAY(H60)/LBO.Sponsor.Equity</f>
        <v>0.78861384770023779</v>
      </c>
      <c r="I70" s="184">
        <f ca="1"/>
        <v>0.90526611249973366</v>
      </c>
      <c r="J70" s="184">
        <f ca="1"/>
        <v>1.0486380534265596</v>
      </c>
      <c r="K70" s="184">
        <f ca="1"/>
        <v>1.229735498905383</v>
      </c>
      <c r="L70" s="185">
        <f ca="1"/>
        <v>1.3900903554675454</v>
      </c>
      <c r="M70" s="3"/>
      <c r="N70" s="3"/>
      <c r="O70" s="3"/>
      <c r="P70" s="3"/>
      <c r="Q70" s="3"/>
      <c r="R70" s="3"/>
    </row>
    <row r="71" spans="6:18" x14ac:dyDescent="0.25">
      <c r="F71" s="200"/>
      <c r="G71" s="178">
        <v>10</v>
      </c>
      <c r="H71" s="186">
        <f ca="1"/>
        <v>1.2174857286700838</v>
      </c>
      <c r="I71" s="95">
        <f ca="1"/>
        <v>1.3421761484376835</v>
      </c>
      <c r="J71" s="95">
        <f ca="1"/>
        <v>1.4990669931522731</v>
      </c>
      <c r="K71" s="95">
        <f ca="1"/>
        <v>1.7011868578792739</v>
      </c>
      <c r="L71" s="87">
        <f ca="1"/>
        <v>1.8766314005465219</v>
      </c>
      <c r="M71" s="3"/>
      <c r="N71" s="3"/>
      <c r="O71" s="3"/>
      <c r="P71" s="3"/>
      <c r="Q71" s="3"/>
      <c r="R71" s="3"/>
    </row>
    <row r="72" spans="6:18" x14ac:dyDescent="0.25">
      <c r="F72" s="200"/>
      <c r="G72" s="178">
        <v>12</v>
      </c>
      <c r="H72" s="186">
        <f ca="1"/>
        <v>1.6463576096399302</v>
      </c>
      <c r="I72" s="95">
        <f ca="1"/>
        <v>1.7790861843756338</v>
      </c>
      <c r="J72" s="95">
        <f ca="1"/>
        <v>1.9494959328779862</v>
      </c>
      <c r="K72" s="95">
        <f ca="1"/>
        <v>2.1726382168531653</v>
      </c>
      <c r="L72" s="87">
        <f ca="1"/>
        <v>2.3631724456254988</v>
      </c>
      <c r="M72" s="3"/>
      <c r="N72" s="3"/>
      <c r="O72" s="3"/>
      <c r="P72" s="3"/>
      <c r="Q72" s="3"/>
      <c r="R72" s="3"/>
    </row>
    <row r="73" spans="6:18" ht="15.75" thickBot="1" x14ac:dyDescent="0.3">
      <c r="F73" s="201"/>
      <c r="G73" s="179">
        <v>14</v>
      </c>
      <c r="H73" s="187">
        <f ca="1"/>
        <v>2.0752294906097766</v>
      </c>
      <c r="I73" s="188">
        <f ca="1"/>
        <v>2.2159962203135843</v>
      </c>
      <c r="J73" s="188">
        <f ca="1"/>
        <v>2.3999248726036999</v>
      </c>
      <c r="K73" s="188">
        <f ca="1"/>
        <v>2.6440895758270568</v>
      </c>
      <c r="L73" s="189">
        <f ca="1"/>
        <v>2.8497134907044752</v>
      </c>
      <c r="M73" s="3"/>
      <c r="N73" s="3"/>
      <c r="O73" s="3"/>
      <c r="P73" s="3"/>
      <c r="Q73" s="3"/>
      <c r="R73" s="3"/>
    </row>
    <row r="74" spans="6:18" x14ac:dyDescent="0.25">
      <c r="G74" s="3"/>
      <c r="H74" s="3"/>
      <c r="I74" s="3"/>
      <c r="J74" s="3"/>
      <c r="K74" s="3"/>
      <c r="L74" s="3"/>
      <c r="M74" s="3"/>
      <c r="N74" s="3"/>
      <c r="O74" s="3"/>
      <c r="P74" s="3"/>
      <c r="Q74" s="3"/>
      <c r="R74" s="3"/>
    </row>
    <row r="75" spans="6:18" x14ac:dyDescent="0.25">
      <c r="G75" s="3"/>
      <c r="H75" s="3"/>
      <c r="I75" s="3"/>
      <c r="J75" s="3"/>
      <c r="K75" s="3"/>
      <c r="L75" s="3"/>
      <c r="M75" s="3"/>
      <c r="N75" s="3"/>
      <c r="O75" s="3"/>
      <c r="P75" s="3"/>
      <c r="Q75" s="3"/>
      <c r="R75" s="3"/>
    </row>
    <row r="76" spans="6:18" x14ac:dyDescent="0.25">
      <c r="G76" s="3"/>
      <c r="H76" s="3"/>
      <c r="I76" s="3"/>
      <c r="J76" s="3"/>
      <c r="K76" s="3"/>
      <c r="L76" s="3"/>
      <c r="M76" s="3"/>
      <c r="N76" s="3"/>
      <c r="O76" s="3"/>
      <c r="P76" s="3"/>
      <c r="Q76" s="3"/>
      <c r="R76" s="3"/>
    </row>
    <row r="77" spans="6:18" x14ac:dyDescent="0.25">
      <c r="G77" s="3"/>
      <c r="H77" s="3"/>
      <c r="I77" s="3"/>
      <c r="J77" s="3"/>
      <c r="K77" s="3"/>
      <c r="L77" s="3"/>
      <c r="M77" s="3"/>
      <c r="N77" s="3"/>
      <c r="O77" s="3"/>
      <c r="P77" s="3"/>
      <c r="Q77" s="3"/>
      <c r="R77" s="3"/>
    </row>
    <row r="78" spans="6:18" x14ac:dyDescent="0.25">
      <c r="G78" s="3"/>
      <c r="H78" s="3"/>
      <c r="I78" s="3"/>
      <c r="J78" s="3"/>
      <c r="K78" s="3"/>
      <c r="L78" s="3"/>
      <c r="M78" s="3"/>
      <c r="N78" s="3"/>
      <c r="O78" s="3"/>
      <c r="P78" s="3"/>
      <c r="Q78" s="3"/>
      <c r="R78" s="3"/>
    </row>
    <row r="79" spans="6:18" x14ac:dyDescent="0.25">
      <c r="G79" s="3"/>
      <c r="H79" s="3"/>
      <c r="I79" s="3"/>
      <c r="J79" s="3"/>
      <c r="K79" s="3"/>
      <c r="L79" s="3"/>
      <c r="M79" s="3"/>
      <c r="N79" s="3"/>
      <c r="O79" s="3"/>
      <c r="P79" s="3"/>
      <c r="Q79" s="3"/>
      <c r="R79" s="3"/>
    </row>
    <row r="80" spans="6:18" x14ac:dyDescent="0.25">
      <c r="G80" s="3"/>
      <c r="H80" s="3"/>
      <c r="I80" s="3"/>
      <c r="J80" s="3"/>
      <c r="K80" s="3"/>
      <c r="L80" s="3"/>
      <c r="M80" s="3"/>
      <c r="N80" s="3"/>
      <c r="O80" s="3"/>
      <c r="P80" s="3"/>
      <c r="Q80" s="3"/>
      <c r="R80" s="3"/>
    </row>
    <row r="81" spans="7:18" x14ac:dyDescent="0.25">
      <c r="G81" s="3"/>
      <c r="H81" s="3"/>
      <c r="I81" s="3"/>
      <c r="J81" s="3"/>
      <c r="K81" s="3"/>
      <c r="L81" s="3"/>
      <c r="M81" s="3"/>
      <c r="N81" s="3"/>
      <c r="O81" s="3"/>
      <c r="P81" s="3"/>
      <c r="Q81" s="3"/>
      <c r="R81" s="3"/>
    </row>
    <row r="82" spans="7:18" x14ac:dyDescent="0.25">
      <c r="G82" s="3"/>
      <c r="H82" s="3"/>
      <c r="I82" s="3"/>
      <c r="J82" s="3"/>
      <c r="K82" s="3"/>
      <c r="L82" s="3"/>
      <c r="M82" s="3"/>
      <c r="N82" s="3"/>
      <c r="O82" s="3"/>
      <c r="P82" s="3"/>
      <c r="Q82" s="3"/>
      <c r="R82" s="3"/>
    </row>
    <row r="83" spans="7:18" x14ac:dyDescent="0.25">
      <c r="G83" s="3"/>
      <c r="H83" s="3"/>
      <c r="I83" s="3"/>
      <c r="J83" s="3"/>
      <c r="K83" s="3"/>
      <c r="L83" s="3"/>
      <c r="M83" s="3"/>
      <c r="N83" s="3"/>
      <c r="O83" s="3"/>
      <c r="P83" s="3"/>
      <c r="Q83" s="3"/>
      <c r="R83" s="3"/>
    </row>
    <row r="84" spans="7:18" x14ac:dyDescent="0.25">
      <c r="G84" s="3"/>
      <c r="H84" s="3"/>
      <c r="I84" s="3"/>
      <c r="J84" s="3"/>
      <c r="K84" s="3"/>
      <c r="L84" s="3"/>
      <c r="M84" s="3"/>
      <c r="N84" s="3"/>
      <c r="O84" s="3"/>
      <c r="P84" s="3"/>
      <c r="Q84" s="3"/>
      <c r="R84" s="3"/>
    </row>
    <row r="85" spans="7:18" x14ac:dyDescent="0.25">
      <c r="G85" s="3"/>
      <c r="H85" s="3"/>
      <c r="I85" s="3"/>
      <c r="J85" s="3"/>
      <c r="K85" s="3"/>
      <c r="L85" s="3"/>
      <c r="M85" s="3"/>
      <c r="N85" s="3"/>
      <c r="O85" s="3"/>
      <c r="P85" s="3"/>
      <c r="Q85" s="3"/>
      <c r="R85" s="3"/>
    </row>
    <row r="86" spans="7:18" x14ac:dyDescent="0.25">
      <c r="G86" s="3"/>
      <c r="H86" s="3"/>
      <c r="I86" s="3"/>
      <c r="J86" s="3"/>
      <c r="K86" s="3"/>
      <c r="L86" s="3"/>
      <c r="M86" s="3"/>
      <c r="N86" s="3"/>
      <c r="O86" s="3"/>
      <c r="P86" s="3"/>
      <c r="Q86" s="3"/>
      <c r="R86" s="3"/>
    </row>
    <row r="87" spans="7:18" x14ac:dyDescent="0.25">
      <c r="G87" s="3"/>
      <c r="H87" s="3"/>
      <c r="I87" s="3"/>
      <c r="J87" s="3"/>
      <c r="K87" s="3"/>
      <c r="L87" s="3"/>
      <c r="M87" s="3"/>
      <c r="N87" s="3"/>
      <c r="O87" s="3"/>
      <c r="P87" s="3"/>
      <c r="Q87" s="3"/>
      <c r="R87" s="3"/>
    </row>
    <row r="88" spans="7:18" x14ac:dyDescent="0.25">
      <c r="G88" s="3"/>
      <c r="H88" s="3"/>
      <c r="I88" s="3"/>
      <c r="J88" s="3"/>
      <c r="K88" s="3"/>
      <c r="L88" s="3"/>
      <c r="M88" s="3"/>
      <c r="N88" s="3"/>
      <c r="O88" s="3"/>
      <c r="P88" s="3"/>
      <c r="Q88" s="3"/>
      <c r="R88" s="3"/>
    </row>
    <row r="89" spans="7:18" x14ac:dyDescent="0.25">
      <c r="G89" s="3"/>
      <c r="H89" s="3"/>
      <c r="I89" s="3"/>
      <c r="J89" s="3"/>
      <c r="K89" s="3"/>
      <c r="L89" s="3"/>
      <c r="M89" s="3"/>
      <c r="N89" s="3"/>
      <c r="O89" s="3"/>
      <c r="P89" s="3"/>
      <c r="Q89" s="3"/>
      <c r="R89" s="3"/>
    </row>
    <row r="90" spans="7:18" x14ac:dyDescent="0.25">
      <c r="G90" s="3"/>
      <c r="H90" s="3"/>
      <c r="I90" s="3"/>
      <c r="J90" s="3"/>
      <c r="K90" s="3"/>
      <c r="L90" s="3"/>
      <c r="M90" s="3"/>
      <c r="N90" s="3"/>
      <c r="O90" s="3"/>
      <c r="P90" s="3"/>
      <c r="Q90" s="3"/>
      <c r="R90" s="3"/>
    </row>
    <row r="91" spans="7:18" x14ac:dyDescent="0.25">
      <c r="G91" s="3"/>
      <c r="H91" s="3"/>
      <c r="I91" s="3"/>
      <c r="J91" s="3"/>
      <c r="K91" s="3"/>
      <c r="L91" s="3"/>
      <c r="M91" s="3"/>
      <c r="N91" s="3"/>
      <c r="O91" s="3"/>
      <c r="P91" s="3"/>
      <c r="Q91" s="3"/>
      <c r="R91" s="3"/>
    </row>
    <row r="92" spans="7:18" x14ac:dyDescent="0.25">
      <c r="G92" s="3"/>
      <c r="H92" s="3"/>
      <c r="I92" s="3"/>
      <c r="J92" s="3"/>
      <c r="K92" s="3"/>
      <c r="L92" s="3"/>
      <c r="M92" s="3"/>
      <c r="N92" s="3"/>
      <c r="O92" s="3"/>
      <c r="P92" s="3"/>
      <c r="Q92" s="3"/>
      <c r="R92" s="3"/>
    </row>
    <row r="93" spans="7:18" x14ac:dyDescent="0.25">
      <c r="G93" s="3"/>
      <c r="H93" s="3"/>
      <c r="I93" s="3"/>
      <c r="J93" s="3"/>
      <c r="K93" s="3"/>
      <c r="L93" s="3"/>
      <c r="M93" s="3"/>
      <c r="N93" s="3"/>
      <c r="O93" s="3"/>
      <c r="P93" s="3"/>
      <c r="Q93" s="3"/>
      <c r="R93" s="3"/>
    </row>
    <row r="94" spans="7:18" x14ac:dyDescent="0.25">
      <c r="G94" s="3"/>
      <c r="H94" s="3"/>
      <c r="I94" s="3"/>
      <c r="J94" s="3"/>
      <c r="K94" s="3"/>
      <c r="L94" s="3"/>
      <c r="M94" s="3"/>
      <c r="N94" s="3"/>
      <c r="O94" s="3"/>
      <c r="P94" s="3"/>
      <c r="Q94" s="3"/>
      <c r="R94" s="3"/>
    </row>
    <row r="95" spans="7:18" x14ac:dyDescent="0.25">
      <c r="G95" s="3"/>
      <c r="H95" s="3"/>
      <c r="I95" s="3"/>
      <c r="J95" s="3"/>
      <c r="K95" s="3"/>
      <c r="L95" s="3"/>
      <c r="M95" s="3"/>
      <c r="N95" s="3"/>
      <c r="O95" s="3"/>
      <c r="P95" s="3"/>
      <c r="Q95" s="3"/>
      <c r="R95" s="3"/>
    </row>
    <row r="96" spans="7:18" x14ac:dyDescent="0.25">
      <c r="G96" s="3"/>
      <c r="H96" s="3"/>
      <c r="I96" s="3"/>
      <c r="J96" s="3"/>
      <c r="K96" s="3"/>
      <c r="L96" s="3"/>
      <c r="M96" s="3"/>
      <c r="N96" s="3"/>
      <c r="O96" s="3"/>
      <c r="P96" s="3"/>
      <c r="Q96" s="3"/>
      <c r="R96" s="3"/>
    </row>
    <row r="97" spans="7:18" x14ac:dyDescent="0.25">
      <c r="G97" s="3"/>
      <c r="H97" s="3"/>
      <c r="I97" s="3"/>
      <c r="J97" s="3"/>
      <c r="K97" s="3"/>
      <c r="L97" s="3"/>
      <c r="M97" s="3"/>
      <c r="N97" s="3"/>
      <c r="O97" s="3"/>
      <c r="P97" s="3"/>
      <c r="Q97" s="3"/>
      <c r="R97" s="3"/>
    </row>
    <row r="98" spans="7:18" x14ac:dyDescent="0.25">
      <c r="G98" s="3"/>
      <c r="H98" s="3"/>
      <c r="I98" s="3"/>
      <c r="J98" s="3"/>
      <c r="K98" s="3"/>
      <c r="L98" s="3"/>
      <c r="M98" s="3"/>
      <c r="N98" s="3"/>
      <c r="O98" s="3"/>
      <c r="P98" s="3"/>
      <c r="Q98" s="3"/>
      <c r="R98" s="3"/>
    </row>
    <row r="99" spans="7:18" x14ac:dyDescent="0.25">
      <c r="G99" s="3"/>
      <c r="H99" s="3"/>
      <c r="I99" s="3"/>
      <c r="J99" s="3"/>
      <c r="K99" s="3"/>
      <c r="L99" s="3"/>
      <c r="M99" s="3"/>
      <c r="N99" s="3"/>
      <c r="O99" s="3"/>
      <c r="P99" s="3"/>
      <c r="Q99" s="3"/>
      <c r="R99" s="3"/>
    </row>
    <row r="100" spans="7:18" x14ac:dyDescent="0.25">
      <c r="G100" s="3"/>
      <c r="H100" s="3"/>
      <c r="I100" s="3"/>
      <c r="J100" s="3"/>
      <c r="K100" s="3"/>
      <c r="L100" s="3"/>
      <c r="M100" s="3"/>
      <c r="N100" s="3"/>
      <c r="O100" s="3"/>
      <c r="P100" s="3"/>
      <c r="Q100" s="3"/>
      <c r="R100" s="3"/>
    </row>
    <row r="101" spans="7:18" x14ac:dyDescent="0.25">
      <c r="G101" s="3"/>
      <c r="H101" s="3"/>
      <c r="I101" s="3"/>
      <c r="J101" s="3"/>
      <c r="K101" s="3"/>
      <c r="L101" s="3"/>
      <c r="M101" s="3"/>
      <c r="N101" s="3"/>
      <c r="O101" s="3"/>
      <c r="P101" s="3"/>
      <c r="Q101" s="3"/>
      <c r="R101" s="3"/>
    </row>
    <row r="102" spans="7:18" x14ac:dyDescent="0.25">
      <c r="G102" s="3"/>
      <c r="H102" s="3"/>
      <c r="I102" s="3"/>
      <c r="J102" s="3"/>
      <c r="K102" s="3"/>
      <c r="L102" s="3"/>
      <c r="M102" s="3"/>
      <c r="N102" s="3"/>
      <c r="O102" s="3"/>
      <c r="P102" s="3"/>
      <c r="Q102" s="3"/>
      <c r="R102" s="3"/>
    </row>
    <row r="103" spans="7:18" x14ac:dyDescent="0.25">
      <c r="G103" s="3"/>
      <c r="H103" s="3"/>
      <c r="I103" s="3"/>
      <c r="J103" s="3"/>
      <c r="K103" s="3"/>
      <c r="L103" s="3"/>
      <c r="M103" s="3"/>
      <c r="N103" s="3"/>
      <c r="O103" s="3"/>
      <c r="P103" s="3"/>
      <c r="Q103" s="3"/>
      <c r="R103" s="3"/>
    </row>
    <row r="104" spans="7:18" x14ac:dyDescent="0.25">
      <c r="G104" s="3"/>
      <c r="H104" s="3"/>
      <c r="I104" s="3"/>
      <c r="J104" s="3"/>
      <c r="K104" s="3"/>
      <c r="L104" s="3"/>
      <c r="M104" s="3"/>
      <c r="N104" s="3"/>
      <c r="O104" s="3"/>
      <c r="P104" s="3"/>
      <c r="Q104" s="3"/>
      <c r="R104" s="3"/>
    </row>
    <row r="105" spans="7:18" x14ac:dyDescent="0.25">
      <c r="G105" s="3"/>
      <c r="H105" s="3"/>
      <c r="I105" s="3"/>
      <c r="J105" s="3"/>
      <c r="K105" s="3"/>
      <c r="L105" s="3"/>
      <c r="M105" s="3"/>
      <c r="N105" s="3"/>
      <c r="O105" s="3"/>
      <c r="P105" s="3"/>
      <c r="Q105" s="3"/>
      <c r="R105" s="3"/>
    </row>
    <row r="106" spans="7:18" x14ac:dyDescent="0.25">
      <c r="G106" s="3"/>
      <c r="H106" s="3"/>
      <c r="I106" s="3"/>
      <c r="J106" s="3"/>
      <c r="K106" s="3"/>
      <c r="L106" s="3"/>
      <c r="M106" s="3"/>
      <c r="N106" s="3"/>
      <c r="O106" s="3"/>
      <c r="P106" s="3"/>
      <c r="Q106" s="3"/>
      <c r="R106" s="3"/>
    </row>
    <row r="107" spans="7:18" x14ac:dyDescent="0.25">
      <c r="G107" s="3"/>
      <c r="H107" s="3"/>
      <c r="I107" s="3"/>
      <c r="J107" s="3"/>
      <c r="K107" s="3"/>
      <c r="L107" s="3"/>
      <c r="M107" s="3"/>
      <c r="N107" s="3"/>
      <c r="O107" s="3"/>
      <c r="P107" s="3"/>
      <c r="Q107" s="3"/>
      <c r="R107" s="3"/>
    </row>
    <row r="108" spans="7:18" x14ac:dyDescent="0.25">
      <c r="G108" s="3"/>
      <c r="H108" s="3"/>
      <c r="I108" s="3"/>
      <c r="J108" s="3"/>
      <c r="K108" s="3"/>
      <c r="L108" s="3"/>
      <c r="M108" s="3"/>
      <c r="N108" s="3"/>
      <c r="O108" s="3"/>
      <c r="P108" s="3"/>
      <c r="Q108" s="3"/>
      <c r="R108" s="3"/>
    </row>
    <row r="109" spans="7:18" x14ac:dyDescent="0.25">
      <c r="G109" s="3"/>
      <c r="H109" s="3"/>
      <c r="I109" s="3"/>
      <c r="J109" s="3"/>
      <c r="K109" s="3"/>
      <c r="L109" s="3"/>
      <c r="M109" s="3"/>
      <c r="N109" s="3"/>
      <c r="O109" s="3"/>
      <c r="P109" s="3"/>
      <c r="Q109" s="3"/>
      <c r="R109" s="3"/>
    </row>
    <row r="110" spans="7:18" x14ac:dyDescent="0.25">
      <c r="G110" s="3"/>
      <c r="H110" s="3"/>
      <c r="I110" s="3"/>
      <c r="J110" s="3"/>
      <c r="K110" s="3"/>
      <c r="L110" s="3"/>
      <c r="M110" s="3"/>
      <c r="N110" s="3"/>
      <c r="O110" s="3"/>
      <c r="P110" s="3"/>
      <c r="Q110" s="3"/>
      <c r="R110" s="3"/>
    </row>
    <row r="111" spans="7:18" x14ac:dyDescent="0.25">
      <c r="G111" s="3"/>
      <c r="H111" s="3"/>
      <c r="I111" s="3"/>
      <c r="J111" s="3"/>
      <c r="K111" s="3"/>
      <c r="L111" s="3"/>
      <c r="M111" s="3"/>
      <c r="N111" s="3"/>
      <c r="O111" s="3"/>
      <c r="P111" s="3"/>
      <c r="Q111" s="3"/>
      <c r="R111" s="3"/>
    </row>
    <row r="112" spans="7:18" x14ac:dyDescent="0.25">
      <c r="G112" s="3"/>
      <c r="H112" s="3"/>
      <c r="I112" s="3"/>
      <c r="J112" s="3"/>
      <c r="K112" s="3"/>
      <c r="L112" s="3"/>
      <c r="M112" s="3"/>
      <c r="N112" s="3"/>
      <c r="O112" s="3"/>
      <c r="P112" s="3"/>
      <c r="Q112" s="3"/>
      <c r="R112" s="3"/>
    </row>
    <row r="113" spans="7:18" x14ac:dyDescent="0.25">
      <c r="G113" s="3"/>
      <c r="H113" s="3"/>
      <c r="I113" s="3"/>
      <c r="J113" s="3"/>
      <c r="K113" s="3"/>
      <c r="L113" s="3"/>
      <c r="M113" s="3"/>
      <c r="N113" s="3"/>
      <c r="O113" s="3"/>
      <c r="P113" s="3"/>
      <c r="Q113" s="3"/>
      <c r="R113" s="3"/>
    </row>
    <row r="114" spans="7:18" x14ac:dyDescent="0.25">
      <c r="G114" s="3"/>
      <c r="H114" s="3"/>
      <c r="I114" s="3"/>
      <c r="J114" s="3"/>
      <c r="K114" s="3"/>
      <c r="L114" s="3"/>
      <c r="M114" s="3"/>
      <c r="N114" s="3"/>
      <c r="O114" s="3"/>
      <c r="P114" s="3"/>
      <c r="Q114" s="3"/>
      <c r="R114" s="3"/>
    </row>
    <row r="115" spans="7:18" x14ac:dyDescent="0.25">
      <c r="G115" s="3"/>
      <c r="H115" s="3"/>
      <c r="I115" s="3"/>
      <c r="J115" s="3"/>
      <c r="K115" s="3"/>
      <c r="L115" s="3"/>
      <c r="M115" s="3"/>
      <c r="N115" s="3"/>
      <c r="O115" s="3"/>
      <c r="P115" s="3"/>
      <c r="Q115" s="3"/>
      <c r="R115" s="3"/>
    </row>
    <row r="116" spans="7:18" x14ac:dyDescent="0.25">
      <c r="G116" s="3"/>
      <c r="H116" s="3"/>
      <c r="I116" s="3"/>
      <c r="J116" s="3"/>
      <c r="K116" s="3"/>
      <c r="L116" s="3"/>
      <c r="M116" s="3"/>
      <c r="N116" s="3"/>
      <c r="O116" s="3"/>
      <c r="P116" s="3"/>
      <c r="Q116" s="3"/>
      <c r="R116" s="3"/>
    </row>
    <row r="117" spans="7:18" x14ac:dyDescent="0.25">
      <c r="G117" s="3"/>
      <c r="H117" s="3"/>
      <c r="I117" s="3"/>
      <c r="J117" s="3"/>
      <c r="K117" s="3"/>
      <c r="L117" s="3"/>
      <c r="M117" s="3"/>
      <c r="N117" s="3"/>
      <c r="O117" s="3"/>
      <c r="P117" s="3"/>
      <c r="Q117" s="3"/>
      <c r="R117" s="3"/>
    </row>
    <row r="118" spans="7:18" x14ac:dyDescent="0.25">
      <c r="G118" s="3"/>
      <c r="H118" s="3"/>
      <c r="I118" s="3"/>
      <c r="J118" s="3"/>
      <c r="K118" s="3"/>
      <c r="L118" s="3"/>
      <c r="M118" s="3"/>
      <c r="N118" s="3"/>
      <c r="O118" s="3"/>
      <c r="P118" s="3"/>
      <c r="Q118" s="3"/>
      <c r="R118" s="3"/>
    </row>
    <row r="119" spans="7:18" x14ac:dyDescent="0.25">
      <c r="G119" s="3"/>
      <c r="H119" s="3"/>
      <c r="I119" s="3"/>
      <c r="J119" s="3"/>
      <c r="K119" s="3"/>
      <c r="L119" s="3"/>
      <c r="M119" s="3"/>
      <c r="N119" s="3"/>
      <c r="O119" s="3"/>
      <c r="P119" s="3"/>
      <c r="Q119" s="3"/>
      <c r="R119" s="3"/>
    </row>
    <row r="120" spans="7:18" x14ac:dyDescent="0.25">
      <c r="G120" s="3"/>
      <c r="H120" s="3"/>
      <c r="I120" s="3"/>
      <c r="J120" s="3"/>
      <c r="K120" s="3"/>
      <c r="L120" s="3"/>
      <c r="M120" s="3"/>
      <c r="N120" s="3"/>
      <c r="O120" s="3"/>
      <c r="P120" s="3"/>
      <c r="Q120" s="3"/>
      <c r="R120" s="3"/>
    </row>
    <row r="121" spans="7:18" x14ac:dyDescent="0.25">
      <c r="G121" s="3"/>
      <c r="H121" s="3"/>
      <c r="I121" s="3"/>
      <c r="J121" s="3"/>
      <c r="K121" s="3"/>
      <c r="L121" s="3"/>
      <c r="M121" s="3"/>
      <c r="N121" s="3"/>
      <c r="O121" s="3"/>
      <c r="P121" s="3"/>
      <c r="Q121" s="3"/>
      <c r="R121" s="3"/>
    </row>
    <row r="122" spans="7:18" x14ac:dyDescent="0.25">
      <c r="G122" s="3"/>
      <c r="H122" s="3"/>
      <c r="I122" s="3"/>
      <c r="J122" s="3"/>
      <c r="K122" s="3"/>
      <c r="L122" s="3"/>
      <c r="M122" s="3"/>
      <c r="N122" s="3"/>
      <c r="O122" s="3"/>
      <c r="P122" s="3"/>
      <c r="Q122" s="3"/>
      <c r="R122" s="3"/>
    </row>
    <row r="123" spans="7:18" x14ac:dyDescent="0.25">
      <c r="G123" s="3"/>
      <c r="H123" s="3"/>
      <c r="I123" s="3"/>
      <c r="J123" s="3"/>
      <c r="K123" s="3"/>
      <c r="L123" s="3"/>
      <c r="M123" s="3"/>
      <c r="N123" s="3"/>
      <c r="O123" s="3"/>
      <c r="P123" s="3"/>
      <c r="Q123" s="3"/>
      <c r="R123" s="3"/>
    </row>
    <row r="124" spans="7:18" x14ac:dyDescent="0.25">
      <c r="G124" s="3"/>
      <c r="H124" s="3"/>
      <c r="I124" s="3"/>
      <c r="J124" s="3"/>
      <c r="K124" s="3"/>
      <c r="L124" s="3"/>
      <c r="M124" s="3"/>
      <c r="N124" s="3"/>
      <c r="O124" s="3"/>
      <c r="P124" s="3"/>
      <c r="Q124" s="3"/>
      <c r="R124" s="3"/>
    </row>
    <row r="125" spans="7:18" x14ac:dyDescent="0.25">
      <c r="G125" s="3"/>
      <c r="H125" s="3"/>
      <c r="I125" s="3"/>
      <c r="J125" s="3"/>
      <c r="K125" s="3"/>
      <c r="L125" s="3"/>
      <c r="M125" s="3"/>
      <c r="N125" s="3"/>
      <c r="O125" s="3"/>
      <c r="P125" s="3"/>
      <c r="Q125" s="3"/>
      <c r="R125" s="3"/>
    </row>
    <row r="126" spans="7:18" x14ac:dyDescent="0.25">
      <c r="G126" s="3"/>
      <c r="H126" s="3"/>
      <c r="I126" s="3"/>
      <c r="J126" s="3"/>
      <c r="K126" s="3"/>
      <c r="L126" s="3"/>
      <c r="M126" s="3"/>
      <c r="N126" s="3"/>
      <c r="O126" s="3"/>
      <c r="P126" s="3"/>
      <c r="Q126" s="3"/>
      <c r="R126" s="3"/>
    </row>
    <row r="127" spans="7:18" x14ac:dyDescent="0.25">
      <c r="G127" s="3"/>
      <c r="H127" s="3"/>
      <c r="I127" s="3"/>
      <c r="J127" s="3"/>
      <c r="K127" s="3"/>
      <c r="L127" s="3"/>
      <c r="M127" s="3"/>
      <c r="N127" s="3"/>
      <c r="O127" s="3"/>
      <c r="P127" s="3"/>
      <c r="Q127" s="3"/>
      <c r="R127" s="3"/>
    </row>
    <row r="128" spans="7:18" x14ac:dyDescent="0.25">
      <c r="G128" s="3"/>
      <c r="H128" s="3"/>
      <c r="I128" s="3"/>
      <c r="J128" s="3"/>
      <c r="K128" s="3"/>
      <c r="L128" s="3"/>
      <c r="M128" s="3"/>
      <c r="N128" s="3"/>
      <c r="O128" s="3"/>
      <c r="P128" s="3"/>
      <c r="Q128" s="3"/>
      <c r="R128" s="3"/>
    </row>
    <row r="129" spans="7:18" x14ac:dyDescent="0.25">
      <c r="G129" s="3"/>
      <c r="H129" s="3"/>
      <c r="I129" s="3"/>
      <c r="J129" s="3"/>
      <c r="K129" s="3"/>
      <c r="L129" s="3"/>
      <c r="M129" s="3"/>
      <c r="N129" s="3"/>
      <c r="O129" s="3"/>
      <c r="P129" s="3"/>
      <c r="Q129" s="3"/>
      <c r="R129" s="3"/>
    </row>
    <row r="130" spans="7:18" x14ac:dyDescent="0.25">
      <c r="G130" s="3"/>
      <c r="H130" s="3"/>
      <c r="I130" s="3"/>
      <c r="J130" s="3"/>
      <c r="K130" s="3"/>
      <c r="L130" s="3"/>
      <c r="M130" s="3"/>
      <c r="N130" s="3"/>
      <c r="O130" s="3"/>
      <c r="P130" s="3"/>
      <c r="Q130" s="3"/>
      <c r="R130" s="3"/>
    </row>
    <row r="131" spans="7:18" x14ac:dyDescent="0.25">
      <c r="G131" s="3"/>
      <c r="H131" s="3"/>
      <c r="I131" s="3"/>
      <c r="J131" s="3"/>
      <c r="K131" s="3"/>
      <c r="L131" s="3"/>
      <c r="M131" s="3"/>
      <c r="N131" s="3"/>
      <c r="O131" s="3"/>
      <c r="P131" s="3"/>
      <c r="Q131" s="3"/>
      <c r="R131" s="3"/>
    </row>
    <row r="132" spans="7:18" x14ac:dyDescent="0.25">
      <c r="G132" s="3"/>
      <c r="H132" s="3"/>
      <c r="I132" s="3"/>
      <c r="J132" s="3"/>
      <c r="K132" s="3"/>
      <c r="L132" s="3"/>
      <c r="M132" s="3"/>
      <c r="N132" s="3"/>
      <c r="O132" s="3"/>
      <c r="P132" s="3"/>
      <c r="Q132" s="3"/>
      <c r="R132" s="3"/>
    </row>
    <row r="133" spans="7:18" x14ac:dyDescent="0.25">
      <c r="G133" s="3"/>
      <c r="H133" s="3"/>
      <c r="I133" s="3"/>
      <c r="J133" s="3"/>
      <c r="K133" s="3"/>
      <c r="L133" s="3"/>
      <c r="M133" s="3"/>
      <c r="N133" s="3"/>
      <c r="O133" s="3"/>
      <c r="P133" s="3"/>
      <c r="Q133" s="3"/>
      <c r="R133" s="3"/>
    </row>
    <row r="134" spans="7:18" x14ac:dyDescent="0.25">
      <c r="G134" s="3"/>
      <c r="H134" s="3"/>
      <c r="I134" s="3"/>
      <c r="J134" s="3"/>
      <c r="K134" s="3"/>
      <c r="L134" s="3"/>
      <c r="M134" s="3"/>
      <c r="N134" s="3"/>
      <c r="O134" s="3"/>
      <c r="P134" s="3"/>
      <c r="Q134" s="3"/>
      <c r="R134" s="3"/>
    </row>
    <row r="135" spans="7:18" x14ac:dyDescent="0.25">
      <c r="G135" s="3"/>
      <c r="H135" s="3"/>
      <c r="I135" s="3"/>
      <c r="J135" s="3"/>
      <c r="K135" s="3"/>
      <c r="L135" s="3"/>
      <c r="M135" s="3"/>
      <c r="N135" s="3"/>
      <c r="O135" s="3"/>
      <c r="P135" s="3"/>
      <c r="Q135" s="3"/>
      <c r="R135" s="3"/>
    </row>
    <row r="136" spans="7:18" x14ac:dyDescent="0.25">
      <c r="G136" s="3"/>
      <c r="H136" s="3"/>
      <c r="I136" s="3"/>
      <c r="J136" s="3"/>
      <c r="K136" s="3"/>
      <c r="L136" s="3"/>
      <c r="M136" s="3"/>
      <c r="N136" s="3"/>
      <c r="O136" s="3"/>
      <c r="P136" s="3"/>
      <c r="Q136" s="3"/>
      <c r="R136" s="3"/>
    </row>
    <row r="137" spans="7:18" x14ac:dyDescent="0.25">
      <c r="G137" s="3"/>
      <c r="H137" s="3"/>
      <c r="I137" s="3"/>
      <c r="J137" s="3"/>
      <c r="K137" s="3"/>
      <c r="L137" s="3"/>
      <c r="M137" s="3"/>
      <c r="N137" s="3"/>
      <c r="O137" s="3"/>
      <c r="P137" s="3"/>
      <c r="Q137" s="3"/>
      <c r="R137" s="3"/>
    </row>
    <row r="138" spans="7:18" x14ac:dyDescent="0.25">
      <c r="G138" s="3"/>
      <c r="H138" s="3"/>
      <c r="I138" s="3"/>
      <c r="J138" s="3"/>
      <c r="K138" s="3"/>
      <c r="L138" s="3"/>
      <c r="M138" s="3"/>
      <c r="N138" s="3"/>
      <c r="O138" s="3"/>
      <c r="P138" s="3"/>
      <c r="Q138" s="3"/>
      <c r="R138" s="3"/>
    </row>
    <row r="139" spans="7:18" x14ac:dyDescent="0.25">
      <c r="G139" s="3"/>
      <c r="H139" s="3"/>
      <c r="I139" s="3"/>
      <c r="J139" s="3"/>
      <c r="K139" s="3"/>
      <c r="L139" s="3"/>
      <c r="M139" s="3"/>
      <c r="N139" s="3"/>
      <c r="O139" s="3"/>
      <c r="P139" s="3"/>
      <c r="Q139" s="3"/>
      <c r="R139" s="3"/>
    </row>
    <row r="140" spans="7:18" x14ac:dyDescent="0.25">
      <c r="G140" s="3"/>
      <c r="H140" s="3"/>
      <c r="I140" s="3"/>
      <c r="J140" s="3"/>
      <c r="K140" s="3"/>
      <c r="L140" s="3"/>
      <c r="M140" s="3"/>
      <c r="N140" s="3"/>
      <c r="O140" s="3"/>
      <c r="P140" s="3"/>
      <c r="Q140" s="3"/>
      <c r="R140" s="3"/>
    </row>
    <row r="141" spans="7:18" x14ac:dyDescent="0.25">
      <c r="G141" s="3"/>
      <c r="H141" s="3"/>
      <c r="I141" s="3"/>
      <c r="J141" s="3"/>
      <c r="K141" s="3"/>
      <c r="L141" s="3"/>
      <c r="M141" s="3"/>
      <c r="N141" s="3"/>
      <c r="O141" s="3"/>
      <c r="P141" s="3"/>
      <c r="Q141" s="3"/>
      <c r="R141" s="3"/>
    </row>
    <row r="142" spans="7:18" x14ac:dyDescent="0.25">
      <c r="G142" s="3"/>
      <c r="H142" s="3"/>
      <c r="I142" s="3"/>
      <c r="J142" s="3"/>
      <c r="K142" s="3"/>
      <c r="L142" s="3"/>
      <c r="M142" s="3"/>
      <c r="N142" s="3"/>
      <c r="O142" s="3"/>
      <c r="P142" s="3"/>
      <c r="Q142" s="3"/>
      <c r="R142" s="3"/>
    </row>
    <row r="143" spans="7:18" x14ac:dyDescent="0.25">
      <c r="G143" s="3"/>
      <c r="H143" s="3"/>
      <c r="I143" s="3"/>
      <c r="J143" s="3"/>
      <c r="K143" s="3"/>
      <c r="L143" s="3"/>
      <c r="M143" s="3"/>
      <c r="N143" s="3"/>
      <c r="O143" s="3"/>
      <c r="P143" s="3"/>
      <c r="Q143" s="3"/>
      <c r="R143" s="3"/>
    </row>
    <row r="144" spans="7:18" x14ac:dyDescent="0.25">
      <c r="G144" s="3"/>
      <c r="H144" s="3"/>
      <c r="I144" s="3"/>
      <c r="J144" s="3"/>
      <c r="K144" s="3"/>
      <c r="L144" s="3"/>
      <c r="M144" s="3"/>
      <c r="N144" s="3"/>
      <c r="O144" s="3"/>
      <c r="P144" s="3"/>
      <c r="Q144" s="3"/>
      <c r="R144" s="3"/>
    </row>
    <row r="145" spans="7:18" x14ac:dyDescent="0.25">
      <c r="G145" s="3"/>
      <c r="H145" s="3"/>
      <c r="I145" s="3"/>
      <c r="J145" s="3"/>
      <c r="K145" s="3"/>
      <c r="L145" s="3"/>
      <c r="M145" s="3"/>
      <c r="N145" s="3"/>
      <c r="O145" s="3"/>
      <c r="P145" s="3"/>
      <c r="Q145" s="3"/>
      <c r="R145" s="3"/>
    </row>
    <row r="146" spans="7:18" x14ac:dyDescent="0.25">
      <c r="G146" s="3"/>
      <c r="H146" s="3"/>
      <c r="I146" s="3"/>
      <c r="J146" s="3"/>
      <c r="K146" s="3"/>
      <c r="L146" s="3"/>
      <c r="M146" s="3"/>
      <c r="N146" s="3"/>
      <c r="O146" s="3"/>
      <c r="P146" s="3"/>
      <c r="Q146" s="3"/>
      <c r="R146" s="3"/>
    </row>
    <row r="147" spans="7:18" x14ac:dyDescent="0.25">
      <c r="G147" s="3"/>
      <c r="H147" s="3"/>
      <c r="I147" s="3"/>
      <c r="J147" s="3"/>
      <c r="K147" s="3"/>
      <c r="L147" s="3"/>
      <c r="M147" s="3"/>
      <c r="N147" s="3"/>
      <c r="O147" s="3"/>
      <c r="P147" s="3"/>
      <c r="Q147" s="3"/>
      <c r="R147" s="3"/>
    </row>
    <row r="148" spans="7:18" x14ac:dyDescent="0.25">
      <c r="G148" s="3"/>
      <c r="H148" s="3"/>
      <c r="I148" s="3"/>
      <c r="J148" s="3"/>
      <c r="K148" s="3"/>
      <c r="L148" s="3"/>
      <c r="M148" s="3"/>
      <c r="N148" s="3"/>
      <c r="O148" s="3"/>
      <c r="P148" s="3"/>
      <c r="Q148" s="3"/>
      <c r="R148" s="3"/>
    </row>
    <row r="149" spans="7:18" x14ac:dyDescent="0.25">
      <c r="G149" s="3"/>
      <c r="H149" s="3"/>
      <c r="I149" s="3"/>
      <c r="J149" s="3"/>
      <c r="K149" s="3"/>
      <c r="L149" s="3"/>
      <c r="M149" s="3"/>
      <c r="N149" s="3"/>
      <c r="O149" s="3"/>
      <c r="P149" s="3"/>
      <c r="Q149" s="3"/>
      <c r="R149" s="3"/>
    </row>
    <row r="150" spans="7:18" x14ac:dyDescent="0.25">
      <c r="G150" s="3"/>
      <c r="H150" s="3"/>
      <c r="I150" s="3"/>
      <c r="J150" s="3"/>
      <c r="K150" s="3"/>
      <c r="L150" s="3"/>
      <c r="M150" s="3"/>
      <c r="N150" s="3"/>
      <c r="O150" s="3"/>
      <c r="P150" s="3"/>
      <c r="Q150" s="3"/>
      <c r="R150" s="3"/>
    </row>
    <row r="151" spans="7:18" x14ac:dyDescent="0.25">
      <c r="G151" s="3"/>
      <c r="H151" s="3"/>
      <c r="I151" s="3"/>
      <c r="J151" s="3"/>
      <c r="K151" s="3"/>
      <c r="L151" s="3"/>
      <c r="M151" s="3"/>
      <c r="N151" s="3"/>
      <c r="O151" s="3"/>
      <c r="P151" s="3"/>
      <c r="Q151" s="3"/>
      <c r="R151" s="3"/>
    </row>
    <row r="152" spans="7:18" x14ac:dyDescent="0.25">
      <c r="G152" s="3"/>
      <c r="H152" s="3"/>
      <c r="I152" s="3"/>
      <c r="J152" s="3"/>
      <c r="K152" s="3"/>
      <c r="L152" s="3"/>
      <c r="M152" s="3"/>
      <c r="N152" s="3"/>
      <c r="O152" s="3"/>
      <c r="P152" s="3"/>
      <c r="Q152" s="3"/>
      <c r="R152" s="3"/>
    </row>
    <row r="153" spans="7:18" x14ac:dyDescent="0.25">
      <c r="G153" s="3"/>
      <c r="H153" s="3"/>
      <c r="I153" s="3"/>
      <c r="J153" s="3"/>
      <c r="K153" s="3"/>
      <c r="L153" s="3"/>
      <c r="M153" s="3"/>
      <c r="N153" s="3"/>
      <c r="O153" s="3"/>
      <c r="P153" s="3"/>
      <c r="Q153" s="3"/>
      <c r="R153" s="3"/>
    </row>
    <row r="154" spans="7:18" x14ac:dyDescent="0.25">
      <c r="G154" s="3"/>
      <c r="H154" s="3"/>
      <c r="I154" s="3"/>
      <c r="J154" s="3"/>
      <c r="K154" s="3"/>
      <c r="L154" s="3"/>
      <c r="M154" s="3"/>
      <c r="N154" s="3"/>
      <c r="O154" s="3"/>
      <c r="P154" s="3"/>
      <c r="Q154" s="3"/>
      <c r="R154" s="3"/>
    </row>
    <row r="155" spans="7:18" x14ac:dyDescent="0.25">
      <c r="G155" s="3"/>
      <c r="H155" s="3"/>
      <c r="I155" s="3"/>
      <c r="J155" s="3"/>
      <c r="K155" s="3"/>
      <c r="L155" s="3"/>
      <c r="M155" s="3"/>
      <c r="N155" s="3"/>
      <c r="O155" s="3"/>
      <c r="P155" s="3"/>
      <c r="Q155" s="3"/>
      <c r="R155" s="3"/>
    </row>
    <row r="156" spans="7:18" x14ac:dyDescent="0.25">
      <c r="G156" s="3"/>
      <c r="H156" s="3"/>
      <c r="I156" s="3"/>
      <c r="J156" s="3"/>
      <c r="K156" s="3"/>
      <c r="L156" s="3"/>
      <c r="M156" s="3"/>
      <c r="N156" s="3"/>
      <c r="O156" s="3"/>
      <c r="P156" s="3"/>
      <c r="Q156" s="3"/>
      <c r="R156" s="3"/>
    </row>
    <row r="157" spans="7:18" x14ac:dyDescent="0.25">
      <c r="G157" s="3"/>
      <c r="H157" s="3"/>
      <c r="I157" s="3"/>
      <c r="J157" s="3"/>
      <c r="K157" s="3"/>
      <c r="L157" s="3"/>
      <c r="M157" s="3"/>
      <c r="N157" s="3"/>
      <c r="O157" s="3"/>
      <c r="P157" s="3"/>
      <c r="Q157" s="3"/>
      <c r="R157" s="3"/>
    </row>
    <row r="158" spans="7:18" x14ac:dyDescent="0.25">
      <c r="G158" s="3"/>
      <c r="H158" s="3"/>
      <c r="I158" s="3"/>
      <c r="J158" s="3"/>
      <c r="K158" s="3"/>
      <c r="L158" s="3"/>
      <c r="M158" s="3"/>
      <c r="N158" s="3"/>
      <c r="O158" s="3"/>
      <c r="P158" s="3"/>
      <c r="Q158" s="3"/>
      <c r="R158" s="3"/>
    </row>
    <row r="159" spans="7:18" x14ac:dyDescent="0.25">
      <c r="G159" s="3"/>
      <c r="H159" s="3"/>
      <c r="I159" s="3"/>
      <c r="J159" s="3"/>
      <c r="K159" s="3"/>
      <c r="L159" s="3"/>
      <c r="M159" s="3"/>
      <c r="N159" s="3"/>
      <c r="O159" s="3"/>
      <c r="P159" s="3"/>
      <c r="Q159" s="3"/>
      <c r="R159" s="3"/>
    </row>
    <row r="160" spans="7:18" x14ac:dyDescent="0.25">
      <c r="G160" s="3"/>
      <c r="H160" s="3"/>
      <c r="I160" s="3"/>
      <c r="J160" s="3"/>
      <c r="K160" s="3"/>
      <c r="L160" s="3"/>
      <c r="M160" s="3"/>
      <c r="N160" s="3"/>
      <c r="O160" s="3"/>
      <c r="P160" s="3"/>
      <c r="Q160" s="3"/>
      <c r="R160" s="3"/>
    </row>
    <row r="161" spans="7:18" x14ac:dyDescent="0.25">
      <c r="G161" s="3"/>
      <c r="H161" s="3"/>
      <c r="I161" s="3"/>
      <c r="J161" s="3"/>
      <c r="K161" s="3"/>
      <c r="L161" s="3"/>
      <c r="M161" s="3"/>
      <c r="N161" s="3"/>
      <c r="O161" s="3"/>
      <c r="P161" s="3"/>
      <c r="Q161" s="3"/>
      <c r="R161" s="3"/>
    </row>
    <row r="162" spans="7:18" x14ac:dyDescent="0.25">
      <c r="G162" s="3"/>
      <c r="H162" s="3"/>
      <c r="I162" s="3"/>
      <c r="J162" s="3"/>
      <c r="K162" s="3"/>
      <c r="L162" s="3"/>
      <c r="M162" s="3"/>
      <c r="N162" s="3"/>
      <c r="O162" s="3"/>
      <c r="P162" s="3"/>
      <c r="Q162" s="3"/>
      <c r="R162" s="3"/>
    </row>
    <row r="163" spans="7:18" x14ac:dyDescent="0.25">
      <c r="G163" s="3"/>
      <c r="H163" s="3"/>
      <c r="I163" s="3"/>
      <c r="J163" s="3"/>
      <c r="K163" s="3"/>
      <c r="L163" s="3"/>
      <c r="M163" s="3"/>
      <c r="N163" s="3"/>
      <c r="O163" s="3"/>
      <c r="P163" s="3"/>
      <c r="Q163" s="3"/>
      <c r="R163" s="3"/>
    </row>
    <row r="164" spans="7:18" x14ac:dyDescent="0.25">
      <c r="G164" s="3"/>
      <c r="H164" s="3"/>
      <c r="I164" s="3"/>
      <c r="J164" s="3"/>
      <c r="K164" s="3"/>
      <c r="L164" s="3"/>
      <c r="M164" s="3"/>
      <c r="N164" s="3"/>
      <c r="O164" s="3"/>
      <c r="P164" s="3"/>
      <c r="Q164" s="3"/>
      <c r="R164" s="3"/>
    </row>
    <row r="165" spans="7:18" x14ac:dyDescent="0.25">
      <c r="G165" s="3"/>
      <c r="H165" s="3"/>
      <c r="I165" s="3"/>
      <c r="J165" s="3"/>
      <c r="K165" s="3"/>
      <c r="L165" s="3"/>
      <c r="M165" s="3"/>
      <c r="N165" s="3"/>
      <c r="O165" s="3"/>
      <c r="P165" s="3"/>
      <c r="Q165" s="3"/>
      <c r="R165" s="3"/>
    </row>
    <row r="166" spans="7:18" x14ac:dyDescent="0.25">
      <c r="G166" s="3"/>
      <c r="H166" s="3"/>
      <c r="I166" s="3"/>
      <c r="J166" s="3"/>
      <c r="K166" s="3"/>
      <c r="L166" s="3"/>
      <c r="M166" s="3"/>
      <c r="N166" s="3"/>
      <c r="O166" s="3"/>
      <c r="P166" s="3"/>
      <c r="Q166" s="3"/>
      <c r="R166" s="3"/>
    </row>
    <row r="167" spans="7:18" x14ac:dyDescent="0.25">
      <c r="G167" s="3"/>
      <c r="H167" s="3"/>
      <c r="I167" s="3"/>
      <c r="J167" s="3"/>
      <c r="K167" s="3"/>
      <c r="L167" s="3"/>
      <c r="M167" s="3"/>
      <c r="N167" s="3"/>
      <c r="O167" s="3"/>
      <c r="P167" s="3"/>
      <c r="Q167" s="3"/>
      <c r="R167" s="3"/>
    </row>
    <row r="168" spans="7:18" x14ac:dyDescent="0.25">
      <c r="G168" s="3"/>
      <c r="H168" s="3"/>
      <c r="I168" s="3"/>
      <c r="J168" s="3"/>
      <c r="K168" s="3"/>
      <c r="L168" s="3"/>
      <c r="M168" s="3"/>
      <c r="N168" s="3"/>
      <c r="O168" s="3"/>
      <c r="P168" s="3"/>
      <c r="Q168" s="3"/>
      <c r="R168" s="3"/>
    </row>
    <row r="169" spans="7:18" x14ac:dyDescent="0.25">
      <c r="G169" s="3"/>
      <c r="H169" s="3"/>
      <c r="I169" s="3"/>
      <c r="J169" s="3"/>
      <c r="K169" s="3"/>
      <c r="L169" s="3"/>
      <c r="M169" s="3"/>
      <c r="N169" s="3"/>
      <c r="O169" s="3"/>
      <c r="P169" s="3"/>
      <c r="Q169" s="3"/>
      <c r="R169" s="3"/>
    </row>
    <row r="170" spans="7:18" x14ac:dyDescent="0.25">
      <c r="G170" s="3"/>
      <c r="H170" s="3"/>
      <c r="I170" s="3"/>
      <c r="J170" s="3"/>
      <c r="K170" s="3"/>
      <c r="L170" s="3"/>
      <c r="M170" s="3"/>
      <c r="N170" s="3"/>
      <c r="O170" s="3"/>
      <c r="P170" s="3"/>
      <c r="Q170" s="3"/>
      <c r="R170" s="3"/>
    </row>
    <row r="171" spans="7:18" x14ac:dyDescent="0.25">
      <c r="G171" s="3"/>
      <c r="H171" s="3"/>
      <c r="I171" s="3"/>
      <c r="J171" s="3"/>
      <c r="K171" s="3"/>
      <c r="L171" s="3"/>
      <c r="M171" s="3"/>
      <c r="N171" s="3"/>
      <c r="O171" s="3"/>
      <c r="P171" s="3"/>
      <c r="Q171" s="3"/>
      <c r="R171" s="3"/>
    </row>
    <row r="172" spans="7:18" x14ac:dyDescent="0.25">
      <c r="G172" s="3"/>
      <c r="H172" s="3"/>
      <c r="I172" s="3"/>
      <c r="J172" s="3"/>
      <c r="K172" s="3"/>
      <c r="L172" s="3"/>
      <c r="M172" s="3"/>
      <c r="N172" s="3"/>
      <c r="O172" s="3"/>
      <c r="P172" s="3"/>
      <c r="Q172" s="3"/>
      <c r="R172" s="3"/>
    </row>
    <row r="173" spans="7:18" x14ac:dyDescent="0.25">
      <c r="G173" s="3"/>
      <c r="H173" s="3"/>
      <c r="I173" s="3"/>
      <c r="J173" s="3"/>
      <c r="K173" s="3"/>
      <c r="L173" s="3"/>
      <c r="M173" s="3"/>
      <c r="N173" s="3"/>
      <c r="O173" s="3"/>
      <c r="P173" s="3"/>
      <c r="Q173" s="3"/>
      <c r="R173" s="3"/>
    </row>
    <row r="174" spans="7:18" x14ac:dyDescent="0.25">
      <c r="G174" s="3"/>
      <c r="H174" s="3"/>
      <c r="I174" s="3"/>
      <c r="J174" s="3"/>
      <c r="K174" s="3"/>
      <c r="L174" s="3"/>
      <c r="M174" s="3"/>
      <c r="N174" s="3"/>
      <c r="O174" s="3"/>
      <c r="P174" s="3"/>
      <c r="Q174" s="3"/>
      <c r="R174" s="3"/>
    </row>
    <row r="175" spans="7:18" x14ac:dyDescent="0.25">
      <c r="G175" s="3"/>
      <c r="H175" s="3"/>
      <c r="I175" s="3"/>
      <c r="J175" s="3"/>
      <c r="K175" s="3"/>
      <c r="L175" s="3"/>
      <c r="M175" s="3"/>
      <c r="N175" s="3"/>
      <c r="O175" s="3"/>
      <c r="P175" s="3"/>
      <c r="Q175" s="3"/>
      <c r="R175" s="3"/>
    </row>
    <row r="176" spans="7:18" x14ac:dyDescent="0.25">
      <c r="G176" s="3"/>
      <c r="H176" s="3"/>
      <c r="I176" s="3"/>
      <c r="J176" s="3"/>
      <c r="K176" s="3"/>
      <c r="L176" s="3"/>
      <c r="M176" s="3"/>
      <c r="N176" s="3"/>
      <c r="O176" s="3"/>
      <c r="P176" s="3"/>
      <c r="Q176" s="3"/>
      <c r="R176" s="3"/>
    </row>
    <row r="177" spans="7:18" x14ac:dyDescent="0.25">
      <c r="G177" s="3"/>
      <c r="H177" s="3"/>
      <c r="I177" s="3"/>
      <c r="J177" s="3"/>
      <c r="K177" s="3"/>
      <c r="L177" s="3"/>
      <c r="M177" s="3"/>
      <c r="N177" s="3"/>
      <c r="O177" s="3"/>
      <c r="P177" s="3"/>
      <c r="Q177" s="3"/>
      <c r="R177" s="3"/>
    </row>
    <row r="178" spans="7:18" x14ac:dyDescent="0.25">
      <c r="G178" s="3"/>
      <c r="H178" s="3"/>
      <c r="I178" s="3"/>
      <c r="J178" s="3"/>
      <c r="K178" s="3"/>
      <c r="L178" s="3"/>
      <c r="M178" s="3"/>
      <c r="N178" s="3"/>
      <c r="O178" s="3"/>
      <c r="P178" s="3"/>
      <c r="Q178" s="3"/>
      <c r="R178" s="3"/>
    </row>
    <row r="179" spans="7:18" x14ac:dyDescent="0.25">
      <c r="G179" s="3"/>
      <c r="H179" s="3"/>
      <c r="I179" s="3"/>
      <c r="J179" s="3"/>
      <c r="K179" s="3"/>
      <c r="L179" s="3"/>
      <c r="M179" s="3"/>
      <c r="N179" s="3"/>
      <c r="O179" s="3"/>
      <c r="P179" s="3"/>
      <c r="Q179" s="3"/>
      <c r="R179" s="3"/>
    </row>
    <row r="180" spans="7:18" x14ac:dyDescent="0.25">
      <c r="G180" s="3"/>
      <c r="H180" s="3"/>
      <c r="I180" s="3"/>
      <c r="J180" s="3"/>
      <c r="K180" s="3"/>
      <c r="L180" s="3"/>
      <c r="M180" s="3"/>
      <c r="N180" s="3"/>
      <c r="O180" s="3"/>
      <c r="P180" s="3"/>
      <c r="Q180" s="3"/>
      <c r="R180" s="3"/>
    </row>
    <row r="181" spans="7:18" x14ac:dyDescent="0.25">
      <c r="G181" s="3"/>
      <c r="H181" s="3"/>
      <c r="I181" s="3"/>
      <c r="J181" s="3"/>
      <c r="K181" s="3"/>
      <c r="L181" s="3"/>
      <c r="M181" s="3"/>
      <c r="N181" s="3"/>
      <c r="O181" s="3"/>
      <c r="P181" s="3"/>
      <c r="Q181" s="3"/>
      <c r="R181" s="3"/>
    </row>
    <row r="182" spans="7:18" x14ac:dyDescent="0.25">
      <c r="G182" s="3"/>
      <c r="H182" s="3"/>
      <c r="I182" s="3"/>
      <c r="J182" s="3"/>
      <c r="K182" s="3"/>
      <c r="L182" s="3"/>
      <c r="M182" s="3"/>
      <c r="N182" s="3"/>
      <c r="O182" s="3"/>
      <c r="P182" s="3"/>
      <c r="Q182" s="3"/>
      <c r="R182" s="3"/>
    </row>
    <row r="183" spans="7:18" x14ac:dyDescent="0.25">
      <c r="G183" s="3"/>
      <c r="H183" s="3"/>
      <c r="I183" s="3"/>
      <c r="J183" s="3"/>
      <c r="K183" s="3"/>
      <c r="L183" s="3"/>
      <c r="M183" s="3"/>
      <c r="N183" s="3"/>
      <c r="O183" s="3"/>
      <c r="P183" s="3"/>
      <c r="Q183" s="3"/>
      <c r="R183" s="3"/>
    </row>
    <row r="184" spans="7:18" x14ac:dyDescent="0.25">
      <c r="G184" s="3"/>
      <c r="H184" s="3"/>
      <c r="I184" s="3"/>
      <c r="J184" s="3"/>
      <c r="K184" s="3"/>
      <c r="L184" s="3"/>
      <c r="M184" s="3"/>
      <c r="N184" s="3"/>
      <c r="O184" s="3"/>
      <c r="P184" s="3"/>
      <c r="Q184" s="3"/>
      <c r="R184" s="3"/>
    </row>
    <row r="185" spans="7:18" x14ac:dyDescent="0.25">
      <c r="G185" s="3"/>
      <c r="H185" s="3"/>
      <c r="I185" s="3"/>
      <c r="J185" s="3"/>
      <c r="K185" s="3"/>
      <c r="L185" s="3"/>
      <c r="M185" s="3"/>
      <c r="N185" s="3"/>
      <c r="O185" s="3"/>
      <c r="P185" s="3"/>
      <c r="Q185" s="3"/>
      <c r="R185" s="3"/>
    </row>
    <row r="186" spans="7:18" x14ac:dyDescent="0.25">
      <c r="G186" s="3"/>
      <c r="H186" s="3"/>
      <c r="I186" s="3"/>
      <c r="J186" s="3"/>
      <c r="K186" s="3"/>
      <c r="L186" s="3"/>
      <c r="M186" s="3"/>
      <c r="N186" s="3"/>
      <c r="O186" s="3"/>
      <c r="P186" s="3"/>
      <c r="Q186" s="3"/>
      <c r="R186" s="3"/>
    </row>
    <row r="187" spans="7:18" x14ac:dyDescent="0.25">
      <c r="G187" s="3"/>
      <c r="H187" s="3"/>
      <c r="I187" s="3"/>
      <c r="J187" s="3"/>
      <c r="K187" s="3"/>
      <c r="L187" s="3"/>
      <c r="M187" s="3"/>
      <c r="N187" s="3"/>
      <c r="O187" s="3"/>
      <c r="P187" s="3"/>
      <c r="Q187" s="3"/>
      <c r="R187" s="3"/>
    </row>
    <row r="188" spans="7:18" x14ac:dyDescent="0.25">
      <c r="G188" s="3"/>
      <c r="H188" s="3"/>
      <c r="I188" s="3"/>
      <c r="J188" s="3"/>
      <c r="K188" s="3"/>
      <c r="L188" s="3"/>
      <c r="M188" s="3"/>
      <c r="N188" s="3"/>
      <c r="O188" s="3"/>
      <c r="P188" s="3"/>
      <c r="Q188" s="3"/>
      <c r="R188" s="3"/>
    </row>
    <row r="189" spans="7:18" x14ac:dyDescent="0.25">
      <c r="G189" s="3"/>
      <c r="H189" s="3"/>
      <c r="I189" s="3"/>
      <c r="J189" s="3"/>
      <c r="K189" s="3"/>
      <c r="L189" s="3"/>
      <c r="M189" s="3"/>
      <c r="N189" s="3"/>
      <c r="O189" s="3"/>
      <c r="P189" s="3"/>
      <c r="Q189" s="3"/>
      <c r="R189" s="3"/>
    </row>
    <row r="190" spans="7:18" x14ac:dyDescent="0.25">
      <c r="G190" s="3"/>
      <c r="H190" s="3"/>
      <c r="I190" s="3"/>
      <c r="J190" s="3"/>
      <c r="K190" s="3"/>
      <c r="L190" s="3"/>
      <c r="M190" s="3"/>
      <c r="N190" s="3"/>
      <c r="O190" s="3"/>
      <c r="P190" s="3"/>
      <c r="Q190" s="3"/>
      <c r="R190" s="3"/>
    </row>
    <row r="191" spans="7:18" x14ac:dyDescent="0.25">
      <c r="G191" s="3"/>
      <c r="H191" s="3"/>
      <c r="I191" s="3"/>
      <c r="J191" s="3"/>
      <c r="K191" s="3"/>
      <c r="L191" s="3"/>
      <c r="M191" s="3"/>
      <c r="N191" s="3"/>
      <c r="O191" s="3"/>
      <c r="P191" s="3"/>
      <c r="Q191" s="3"/>
      <c r="R191" s="3"/>
    </row>
    <row r="192" spans="7:18" x14ac:dyDescent="0.25">
      <c r="G192" s="3"/>
      <c r="H192" s="3"/>
      <c r="I192" s="3"/>
      <c r="J192" s="3"/>
      <c r="K192" s="3"/>
      <c r="L192" s="3"/>
      <c r="M192" s="3"/>
      <c r="N192" s="3"/>
      <c r="O192" s="3"/>
      <c r="P192" s="3"/>
      <c r="Q192" s="3"/>
      <c r="R192" s="3"/>
    </row>
    <row r="193" spans="7:18" x14ac:dyDescent="0.25">
      <c r="G193" s="3"/>
      <c r="H193" s="3"/>
      <c r="I193" s="3"/>
      <c r="J193" s="3"/>
      <c r="K193" s="3"/>
      <c r="L193" s="3"/>
      <c r="M193" s="3"/>
      <c r="N193" s="3"/>
      <c r="O193" s="3"/>
      <c r="P193" s="3"/>
      <c r="Q193" s="3"/>
      <c r="R193" s="3"/>
    </row>
    <row r="194" spans="7:18" x14ac:dyDescent="0.25">
      <c r="G194" s="3"/>
      <c r="H194" s="3"/>
      <c r="I194" s="3"/>
      <c r="J194" s="3"/>
      <c r="K194" s="3"/>
      <c r="L194" s="3"/>
      <c r="M194" s="3"/>
      <c r="N194" s="3"/>
      <c r="O194" s="3"/>
      <c r="P194" s="3"/>
      <c r="Q194" s="3"/>
      <c r="R194" s="3"/>
    </row>
    <row r="195" spans="7:18" x14ac:dyDescent="0.25">
      <c r="G195" s="3"/>
      <c r="H195" s="3"/>
      <c r="I195" s="3"/>
      <c r="J195" s="3"/>
      <c r="K195" s="3"/>
      <c r="L195" s="3"/>
      <c r="M195" s="3"/>
      <c r="N195" s="3"/>
      <c r="O195" s="3"/>
      <c r="P195" s="3"/>
      <c r="Q195" s="3"/>
      <c r="R195" s="3"/>
    </row>
    <row r="196" spans="7:18" x14ac:dyDescent="0.25">
      <c r="G196" s="3"/>
      <c r="H196" s="3"/>
      <c r="I196" s="3"/>
      <c r="J196" s="3"/>
      <c r="K196" s="3"/>
      <c r="L196" s="3"/>
      <c r="M196" s="3"/>
      <c r="N196" s="3"/>
      <c r="O196" s="3"/>
      <c r="P196" s="3"/>
      <c r="Q196" s="3"/>
      <c r="R196" s="3"/>
    </row>
    <row r="197" spans="7:18" x14ac:dyDescent="0.25">
      <c r="G197" s="3"/>
      <c r="H197" s="3"/>
      <c r="I197" s="3"/>
      <c r="J197" s="3"/>
      <c r="K197" s="3"/>
      <c r="L197" s="3"/>
      <c r="M197" s="3"/>
      <c r="N197" s="3"/>
      <c r="O197" s="3"/>
      <c r="P197" s="3"/>
      <c r="Q197" s="3"/>
      <c r="R197" s="3"/>
    </row>
    <row r="198" spans="7:18" x14ac:dyDescent="0.25">
      <c r="G198" s="3"/>
      <c r="H198" s="3"/>
      <c r="I198" s="3"/>
      <c r="J198" s="3"/>
      <c r="K198" s="3"/>
      <c r="L198" s="3"/>
      <c r="M198" s="3"/>
      <c r="N198" s="3"/>
      <c r="O198" s="3"/>
      <c r="P198" s="3"/>
      <c r="Q198" s="3"/>
      <c r="R198" s="3"/>
    </row>
    <row r="199" spans="7:18" x14ac:dyDescent="0.25">
      <c r="G199" s="3"/>
      <c r="H199" s="3"/>
      <c r="I199" s="3"/>
      <c r="J199" s="3"/>
      <c r="K199" s="3"/>
      <c r="L199" s="3"/>
      <c r="M199" s="3"/>
      <c r="N199" s="3"/>
      <c r="O199" s="3"/>
      <c r="P199" s="3"/>
      <c r="Q199" s="3"/>
      <c r="R199" s="3"/>
    </row>
    <row r="200" spans="7:18" x14ac:dyDescent="0.25">
      <c r="G200" s="3"/>
      <c r="H200" s="3"/>
      <c r="I200" s="3"/>
      <c r="J200" s="3"/>
      <c r="K200" s="3"/>
      <c r="L200" s="3"/>
      <c r="M200" s="3"/>
      <c r="N200" s="3"/>
      <c r="O200" s="3"/>
      <c r="P200" s="3"/>
      <c r="Q200" s="3"/>
      <c r="R200" s="3"/>
    </row>
    <row r="201" spans="7:18" x14ac:dyDescent="0.25">
      <c r="G201" s="3"/>
      <c r="H201" s="3"/>
      <c r="I201" s="3"/>
      <c r="J201" s="3"/>
      <c r="K201" s="3"/>
      <c r="L201" s="3"/>
      <c r="M201" s="3"/>
      <c r="N201" s="3"/>
      <c r="O201" s="3"/>
      <c r="P201" s="3"/>
      <c r="Q201" s="3"/>
      <c r="R201" s="3"/>
    </row>
    <row r="202" spans="7:18" x14ac:dyDescent="0.25">
      <c r="G202" s="3"/>
      <c r="H202" s="3"/>
      <c r="I202" s="3"/>
      <c r="J202" s="3"/>
      <c r="K202" s="3"/>
      <c r="L202" s="3"/>
      <c r="M202" s="3"/>
      <c r="N202" s="3"/>
      <c r="O202" s="3"/>
      <c r="P202" s="3"/>
      <c r="Q202" s="3"/>
      <c r="R202" s="3"/>
    </row>
    <row r="203" spans="7:18" x14ac:dyDescent="0.25">
      <c r="G203" s="3"/>
      <c r="H203" s="3"/>
      <c r="I203" s="3"/>
      <c r="J203" s="3"/>
      <c r="K203" s="3"/>
      <c r="L203" s="3"/>
      <c r="M203" s="3"/>
      <c r="N203" s="3"/>
      <c r="O203" s="3"/>
      <c r="P203" s="3"/>
      <c r="Q203" s="3"/>
      <c r="R203" s="3"/>
    </row>
    <row r="204" spans="7:18" x14ac:dyDescent="0.25">
      <c r="G204" s="3"/>
      <c r="H204" s="3"/>
      <c r="I204" s="3"/>
      <c r="J204" s="3"/>
      <c r="K204" s="3"/>
      <c r="L204" s="3"/>
      <c r="M204" s="3"/>
      <c r="N204" s="3"/>
      <c r="O204" s="3"/>
      <c r="P204" s="3"/>
      <c r="Q204" s="3"/>
      <c r="R204" s="3"/>
    </row>
    <row r="205" spans="7:18" x14ac:dyDescent="0.25">
      <c r="G205" s="3"/>
      <c r="H205" s="3"/>
      <c r="I205" s="3"/>
      <c r="J205" s="3"/>
      <c r="K205" s="3"/>
      <c r="L205" s="3"/>
      <c r="M205" s="3"/>
      <c r="N205" s="3"/>
      <c r="O205" s="3"/>
      <c r="P205" s="3"/>
      <c r="Q205" s="3"/>
      <c r="R205" s="3"/>
    </row>
    <row r="206" spans="7:18" x14ac:dyDescent="0.25">
      <c r="G206" s="3"/>
      <c r="H206" s="3"/>
      <c r="I206" s="3"/>
      <c r="J206" s="3"/>
      <c r="K206" s="3"/>
      <c r="L206" s="3"/>
      <c r="M206" s="3"/>
      <c r="N206" s="3"/>
      <c r="O206" s="3"/>
      <c r="P206" s="3"/>
      <c r="Q206" s="3"/>
      <c r="R206" s="3"/>
    </row>
    <row r="207" spans="7:18" x14ac:dyDescent="0.25">
      <c r="G207" s="3"/>
      <c r="H207" s="3"/>
      <c r="I207" s="3"/>
      <c r="J207" s="3"/>
      <c r="K207" s="3"/>
      <c r="L207" s="3"/>
      <c r="M207" s="3"/>
      <c r="N207" s="3"/>
      <c r="O207" s="3"/>
      <c r="P207" s="3"/>
      <c r="Q207" s="3"/>
      <c r="R207" s="3"/>
    </row>
    <row r="208" spans="7:18" x14ac:dyDescent="0.25">
      <c r="G208" s="3"/>
      <c r="H208" s="3"/>
      <c r="I208" s="3"/>
      <c r="J208" s="3"/>
      <c r="K208" s="3"/>
      <c r="L208" s="3"/>
      <c r="M208" s="3"/>
      <c r="N208" s="3"/>
      <c r="O208" s="3"/>
      <c r="P208" s="3"/>
      <c r="Q208" s="3"/>
      <c r="R208" s="3"/>
    </row>
    <row r="209" spans="7:18" x14ac:dyDescent="0.25">
      <c r="G209" s="3"/>
      <c r="H209" s="3"/>
      <c r="I209" s="3"/>
      <c r="J209" s="3"/>
      <c r="K209" s="3"/>
      <c r="L209" s="3"/>
      <c r="M209" s="3"/>
      <c r="N209" s="3"/>
      <c r="O209" s="3"/>
      <c r="P209" s="3"/>
      <c r="Q209" s="3"/>
      <c r="R209" s="3"/>
    </row>
    <row r="210" spans="7:18" x14ac:dyDescent="0.25">
      <c r="G210" s="3"/>
      <c r="H210" s="3"/>
      <c r="I210" s="3"/>
      <c r="J210" s="3"/>
      <c r="K210" s="3"/>
    </row>
    <row r="211" spans="7:18" x14ac:dyDescent="0.25">
      <c r="G211" s="3"/>
      <c r="H211" s="3"/>
      <c r="I211" s="3"/>
      <c r="J211" s="3"/>
      <c r="K211" s="3"/>
    </row>
    <row r="212" spans="7:18" x14ac:dyDescent="0.25">
      <c r="G212" s="3"/>
      <c r="H212" s="3"/>
      <c r="I212" s="3"/>
      <c r="J212" s="3"/>
      <c r="K212" s="3"/>
    </row>
    <row r="213" spans="7:18" x14ac:dyDescent="0.25">
      <c r="G213" s="3"/>
      <c r="H213" s="3"/>
      <c r="I213" s="3"/>
      <c r="J213" s="3"/>
      <c r="K213" s="3"/>
    </row>
    <row r="214" spans="7:18" x14ac:dyDescent="0.25">
      <c r="G214" s="3"/>
      <c r="H214" s="3"/>
      <c r="I214" s="3"/>
      <c r="J214" s="3"/>
      <c r="K214" s="3"/>
    </row>
    <row r="215" spans="7:18" x14ac:dyDescent="0.25">
      <c r="G215" s="3"/>
      <c r="H215" s="3"/>
      <c r="I215" s="3"/>
      <c r="J215" s="3"/>
      <c r="K215" s="3"/>
    </row>
    <row r="216" spans="7:18" x14ac:dyDescent="0.25">
      <c r="G216" s="3"/>
      <c r="H216" s="3"/>
      <c r="I216" s="3"/>
      <c r="J216" s="3"/>
      <c r="K216" s="3"/>
    </row>
    <row r="217" spans="7:18" x14ac:dyDescent="0.25">
      <c r="G217" s="3"/>
      <c r="H217" s="3"/>
      <c r="I217" s="3"/>
      <c r="J217" s="3"/>
      <c r="K217" s="3"/>
    </row>
    <row r="218" spans="7:18" x14ac:dyDescent="0.25">
      <c r="G218" s="3"/>
      <c r="H218" s="3"/>
      <c r="I218" s="3"/>
      <c r="J218" s="3"/>
      <c r="K218" s="3"/>
    </row>
    <row r="219" spans="7:18" x14ac:dyDescent="0.25">
      <c r="G219" s="3"/>
      <c r="H219" s="3"/>
      <c r="I219" s="3"/>
      <c r="J219" s="3"/>
      <c r="K219" s="3"/>
    </row>
    <row r="220" spans="7:18" x14ac:dyDescent="0.25">
      <c r="G220" s="3"/>
      <c r="H220" s="3"/>
      <c r="I220" s="3"/>
      <c r="J220" s="3"/>
      <c r="K220" s="3"/>
    </row>
    <row r="221" spans="7:18" x14ac:dyDescent="0.25">
      <c r="G221" s="3"/>
      <c r="H221" s="3"/>
      <c r="I221" s="3"/>
      <c r="J221" s="3"/>
      <c r="K221" s="3"/>
    </row>
    <row r="222" spans="7:18" x14ac:dyDescent="0.25">
      <c r="G222" s="3"/>
      <c r="H222" s="3"/>
      <c r="I222" s="3"/>
      <c r="J222" s="3"/>
      <c r="K222" s="3"/>
    </row>
    <row r="223" spans="7:18" x14ac:dyDescent="0.25">
      <c r="G223" s="3"/>
      <c r="H223" s="3"/>
      <c r="I223" s="3"/>
      <c r="J223" s="3"/>
      <c r="K223" s="3"/>
    </row>
    <row r="224" spans="7:18" x14ac:dyDescent="0.25">
      <c r="G224" s="3"/>
      <c r="H224" s="3"/>
      <c r="I224" s="3"/>
      <c r="J224" s="3"/>
      <c r="K224" s="3"/>
    </row>
    <row r="225" spans="7:11" x14ac:dyDescent="0.25">
      <c r="G225" s="3"/>
      <c r="H225" s="3"/>
      <c r="I225" s="3"/>
      <c r="J225" s="3"/>
      <c r="K225" s="3"/>
    </row>
    <row r="226" spans="7:11" x14ac:dyDescent="0.25">
      <c r="G226" s="3"/>
      <c r="H226" s="3"/>
      <c r="I226" s="3"/>
      <c r="J226" s="3"/>
      <c r="K226" s="3"/>
    </row>
    <row r="227" spans="7:11" x14ac:dyDescent="0.25">
      <c r="G227" s="3"/>
      <c r="H227" s="3"/>
      <c r="I227" s="3"/>
      <c r="J227" s="3"/>
      <c r="K227" s="3"/>
    </row>
    <row r="228" spans="7:11" x14ac:dyDescent="0.25">
      <c r="G228" s="3"/>
      <c r="H228" s="3"/>
      <c r="I228" s="3"/>
      <c r="J228" s="3"/>
      <c r="K228" s="3"/>
    </row>
    <row r="229" spans="7:11" x14ac:dyDescent="0.25">
      <c r="G229" s="3"/>
      <c r="H229" s="3"/>
      <c r="I229" s="3"/>
      <c r="J229" s="3"/>
      <c r="K229" s="3"/>
    </row>
    <row r="230" spans="7:11" x14ac:dyDescent="0.25">
      <c r="G230" s="3"/>
      <c r="H230" s="3"/>
      <c r="I230" s="3"/>
      <c r="J230" s="3"/>
      <c r="K230" s="3"/>
    </row>
    <row r="231" spans="7:11" x14ac:dyDescent="0.25">
      <c r="G231" s="3"/>
      <c r="H231" s="3"/>
      <c r="I231" s="3"/>
      <c r="J231" s="3"/>
      <c r="K231" s="3"/>
    </row>
    <row r="232" spans="7:11" x14ac:dyDescent="0.25">
      <c r="G232" s="3"/>
      <c r="H232" s="3"/>
      <c r="I232" s="3"/>
      <c r="J232" s="3"/>
      <c r="K232" s="3"/>
    </row>
    <row r="233" spans="7:11" x14ac:dyDescent="0.25">
      <c r="G233" s="3"/>
      <c r="H233" s="3"/>
      <c r="I233" s="3"/>
      <c r="J233" s="3"/>
      <c r="K233" s="3"/>
    </row>
    <row r="234" spans="7:11" x14ac:dyDescent="0.25">
      <c r="G234" s="3"/>
      <c r="H234" s="3"/>
      <c r="I234" s="3"/>
      <c r="J234" s="3"/>
      <c r="K234" s="3"/>
    </row>
    <row r="235" spans="7:11" x14ac:dyDescent="0.25">
      <c r="G235" s="3"/>
      <c r="H235" s="3"/>
      <c r="I235" s="3"/>
      <c r="J235" s="3"/>
      <c r="K235" s="3"/>
    </row>
    <row r="236" spans="7:11" x14ac:dyDescent="0.25">
      <c r="G236" s="3"/>
      <c r="H236" s="3"/>
      <c r="I236" s="3"/>
      <c r="J236" s="3"/>
      <c r="K236" s="3"/>
    </row>
    <row r="237" spans="7:11" x14ac:dyDescent="0.25">
      <c r="G237" s="3"/>
      <c r="H237" s="3"/>
      <c r="I237" s="3"/>
      <c r="J237" s="3"/>
      <c r="K237" s="3"/>
    </row>
    <row r="238" spans="7:11" x14ac:dyDescent="0.25">
      <c r="G238" s="3"/>
      <c r="H238" s="3"/>
      <c r="I238" s="3"/>
      <c r="J238" s="3"/>
      <c r="K238" s="3"/>
    </row>
    <row r="239" spans="7:11" x14ac:dyDescent="0.25">
      <c r="G239" s="3"/>
      <c r="H239" s="3"/>
      <c r="I239" s="3"/>
      <c r="J239" s="3"/>
      <c r="K239" s="3"/>
    </row>
    <row r="240" spans="7:11" x14ac:dyDescent="0.25">
      <c r="G240" s="3"/>
      <c r="H240" s="3"/>
      <c r="I240" s="3"/>
      <c r="J240" s="3"/>
      <c r="K240" s="3"/>
    </row>
    <row r="241" spans="7:11" x14ac:dyDescent="0.25">
      <c r="G241" s="3"/>
      <c r="H241" s="3"/>
      <c r="I241" s="3"/>
      <c r="J241" s="3"/>
      <c r="K241" s="3"/>
    </row>
    <row r="242" spans="7:11" x14ac:dyDescent="0.25">
      <c r="G242" s="3"/>
      <c r="H242" s="3"/>
      <c r="I242" s="3"/>
      <c r="J242" s="3"/>
      <c r="K242" s="3"/>
    </row>
    <row r="243" spans="7:11" x14ac:dyDescent="0.25">
      <c r="G243" s="3"/>
      <c r="H243" s="3"/>
      <c r="I243" s="3"/>
      <c r="J243" s="3"/>
      <c r="K243" s="3"/>
    </row>
    <row r="244" spans="7:11" x14ac:dyDescent="0.25">
      <c r="G244" s="3"/>
      <c r="H244" s="3"/>
      <c r="I244" s="3"/>
      <c r="J244" s="3"/>
      <c r="K244" s="3"/>
    </row>
    <row r="245" spans="7:11" x14ac:dyDescent="0.25">
      <c r="G245" s="3"/>
      <c r="H245" s="3"/>
      <c r="I245" s="3"/>
      <c r="J245" s="3"/>
      <c r="K245" s="3"/>
    </row>
    <row r="246" spans="7:11" x14ac:dyDescent="0.25">
      <c r="G246" s="3"/>
      <c r="H246" s="3"/>
      <c r="I246" s="3"/>
      <c r="J246" s="3"/>
      <c r="K246" s="3"/>
    </row>
    <row r="247" spans="7:11" x14ac:dyDescent="0.25">
      <c r="G247" s="3"/>
      <c r="H247" s="3"/>
      <c r="I247" s="3"/>
      <c r="J247" s="3"/>
      <c r="K247" s="3"/>
    </row>
    <row r="248" spans="7:11" x14ac:dyDescent="0.25">
      <c r="G248" s="3"/>
      <c r="H248" s="3"/>
      <c r="I248" s="3"/>
      <c r="J248" s="3"/>
      <c r="K248" s="3"/>
    </row>
    <row r="249" spans="7:11" x14ac:dyDescent="0.25">
      <c r="G249" s="3"/>
      <c r="H249" s="3"/>
      <c r="I249" s="3"/>
      <c r="J249" s="3"/>
      <c r="K249" s="3"/>
    </row>
    <row r="250" spans="7:11" x14ac:dyDescent="0.25">
      <c r="G250" s="3"/>
      <c r="H250" s="3"/>
      <c r="I250" s="3"/>
      <c r="J250" s="3"/>
      <c r="K250" s="3"/>
    </row>
    <row r="251" spans="7:11" x14ac:dyDescent="0.25">
      <c r="G251" s="3"/>
      <c r="H251" s="3"/>
      <c r="I251" s="3"/>
      <c r="J251" s="3"/>
      <c r="K251" s="3"/>
    </row>
    <row r="252" spans="7:11" x14ac:dyDescent="0.25">
      <c r="G252" s="3"/>
      <c r="H252" s="3"/>
      <c r="I252" s="3"/>
      <c r="J252" s="3"/>
      <c r="K252" s="3"/>
    </row>
    <row r="253" spans="7:11" x14ac:dyDescent="0.25">
      <c r="G253" s="3"/>
      <c r="H253" s="3"/>
      <c r="I253" s="3"/>
      <c r="J253" s="3"/>
      <c r="K253" s="3"/>
    </row>
    <row r="254" spans="7:11" x14ac:dyDescent="0.25">
      <c r="G254" s="3"/>
      <c r="H254" s="3"/>
      <c r="I254" s="3"/>
      <c r="J254" s="3"/>
      <c r="K254" s="3"/>
    </row>
    <row r="255" spans="7:11" x14ac:dyDescent="0.25">
      <c r="G255" s="3"/>
      <c r="H255" s="3"/>
      <c r="I255" s="3"/>
      <c r="J255" s="3"/>
      <c r="K255" s="3"/>
    </row>
    <row r="256" spans="7:11" x14ac:dyDescent="0.25">
      <c r="G256" s="3"/>
      <c r="H256" s="3"/>
      <c r="I256" s="3"/>
      <c r="J256" s="3"/>
      <c r="K256" s="3"/>
    </row>
    <row r="257" spans="7:11" x14ac:dyDescent="0.25">
      <c r="G257" s="3"/>
      <c r="H257" s="3"/>
      <c r="I257" s="3"/>
      <c r="J257" s="3"/>
      <c r="K257" s="3"/>
    </row>
    <row r="258" spans="7:11" x14ac:dyDescent="0.25">
      <c r="G258" s="3"/>
      <c r="H258" s="3"/>
      <c r="I258" s="3"/>
      <c r="J258" s="3"/>
      <c r="K258" s="3"/>
    </row>
    <row r="259" spans="7:11" x14ac:dyDescent="0.25">
      <c r="G259" s="3"/>
      <c r="H259" s="3"/>
      <c r="I259" s="3"/>
      <c r="J259" s="3"/>
      <c r="K259" s="3"/>
    </row>
    <row r="260" spans="7:11" x14ac:dyDescent="0.25">
      <c r="G260" s="3"/>
      <c r="H260" s="3"/>
      <c r="I260" s="3"/>
      <c r="J260" s="3"/>
      <c r="K260" s="3"/>
    </row>
    <row r="261" spans="7:11" x14ac:dyDescent="0.25">
      <c r="G261" s="3"/>
      <c r="H261" s="3"/>
      <c r="I261" s="3"/>
      <c r="J261" s="3"/>
      <c r="K261" s="3"/>
    </row>
    <row r="262" spans="7:11" x14ac:dyDescent="0.25">
      <c r="G262" s="3"/>
      <c r="H262" s="3"/>
      <c r="I262" s="3"/>
      <c r="J262" s="3"/>
      <c r="K262" s="3"/>
    </row>
    <row r="263" spans="7:11" x14ac:dyDescent="0.25">
      <c r="G263" s="3"/>
      <c r="H263" s="3"/>
      <c r="I263" s="3"/>
      <c r="J263" s="3"/>
      <c r="K263" s="3"/>
    </row>
    <row r="264" spans="7:11" x14ac:dyDescent="0.25">
      <c r="G264" s="3"/>
      <c r="H264" s="3"/>
      <c r="I264" s="3"/>
      <c r="J264" s="3"/>
      <c r="K264" s="3"/>
    </row>
    <row r="265" spans="7:11" x14ac:dyDescent="0.25">
      <c r="G265" s="3"/>
      <c r="H265" s="3"/>
      <c r="I265" s="3"/>
      <c r="J265" s="3"/>
      <c r="K265" s="3"/>
    </row>
    <row r="266" spans="7:11" x14ac:dyDescent="0.25">
      <c r="G266" s="3"/>
      <c r="H266" s="3"/>
      <c r="I266" s="3"/>
      <c r="J266" s="3"/>
      <c r="K266" s="3"/>
    </row>
    <row r="267" spans="7:11" x14ac:dyDescent="0.25">
      <c r="G267" s="3"/>
      <c r="H267" s="3"/>
      <c r="I267" s="3"/>
      <c r="J267" s="3"/>
      <c r="K267" s="3"/>
    </row>
    <row r="268" spans="7:11" x14ac:dyDescent="0.25">
      <c r="G268" s="3"/>
      <c r="H268" s="3"/>
      <c r="I268" s="3"/>
      <c r="J268" s="3"/>
      <c r="K268" s="3"/>
    </row>
    <row r="269" spans="7:11" x14ac:dyDescent="0.25">
      <c r="G269" s="3"/>
      <c r="H269" s="3"/>
      <c r="I269" s="3"/>
      <c r="J269" s="3"/>
      <c r="K269" s="3"/>
    </row>
    <row r="270" spans="7:11" x14ac:dyDescent="0.25">
      <c r="G270" s="3"/>
      <c r="H270" s="3"/>
      <c r="I270" s="3"/>
      <c r="J270" s="3"/>
      <c r="K270" s="3"/>
    </row>
    <row r="271" spans="7:11" x14ac:dyDescent="0.25">
      <c r="G271" s="3"/>
      <c r="H271" s="3"/>
      <c r="I271" s="3"/>
      <c r="J271" s="3"/>
      <c r="K271" s="3"/>
    </row>
    <row r="272" spans="7:11" x14ac:dyDescent="0.25">
      <c r="G272" s="3"/>
      <c r="H272" s="3"/>
      <c r="I272" s="3"/>
      <c r="J272" s="3"/>
      <c r="K272" s="3"/>
    </row>
    <row r="273" spans="7:11" x14ac:dyDescent="0.25">
      <c r="G273" s="3"/>
      <c r="H273" s="3"/>
      <c r="I273" s="3"/>
      <c r="J273" s="3"/>
      <c r="K273" s="3"/>
    </row>
    <row r="274" spans="7:11" x14ac:dyDescent="0.25">
      <c r="G274" s="3"/>
      <c r="H274" s="3"/>
      <c r="I274" s="3"/>
      <c r="J274" s="3"/>
      <c r="K274" s="3"/>
    </row>
    <row r="275" spans="7:11" x14ac:dyDescent="0.25">
      <c r="G275" s="3"/>
      <c r="H275" s="3"/>
      <c r="I275" s="3"/>
      <c r="J275" s="3"/>
      <c r="K275" s="3"/>
    </row>
    <row r="276" spans="7:11" x14ac:dyDescent="0.25">
      <c r="G276" s="3"/>
      <c r="H276" s="3"/>
      <c r="I276" s="3"/>
      <c r="J276" s="3"/>
      <c r="K276" s="3"/>
    </row>
    <row r="277" spans="7:11" x14ac:dyDescent="0.25">
      <c r="G277" s="3"/>
      <c r="H277" s="3"/>
      <c r="I277" s="3"/>
      <c r="J277" s="3"/>
      <c r="K277" s="3"/>
    </row>
    <row r="278" spans="7:11" x14ac:dyDescent="0.25">
      <c r="G278" s="3"/>
      <c r="H278" s="3"/>
      <c r="I278" s="3"/>
      <c r="J278" s="3"/>
      <c r="K278" s="3"/>
    </row>
    <row r="279" spans="7:11" x14ac:dyDescent="0.25">
      <c r="G279" s="3"/>
      <c r="H279" s="3"/>
      <c r="I279" s="3"/>
      <c r="J279" s="3"/>
      <c r="K279" s="3"/>
    </row>
    <row r="280" spans="7:11" x14ac:dyDescent="0.25">
      <c r="G280" s="3"/>
      <c r="H280" s="3"/>
      <c r="I280" s="3"/>
      <c r="J280" s="3"/>
      <c r="K280" s="3"/>
    </row>
    <row r="281" spans="7:11" x14ac:dyDescent="0.25">
      <c r="G281" s="3"/>
      <c r="H281" s="3"/>
      <c r="I281" s="3"/>
      <c r="J281" s="3"/>
      <c r="K281" s="3"/>
    </row>
    <row r="282" spans="7:11" x14ac:dyDescent="0.25">
      <c r="G282" s="3"/>
      <c r="H282" s="3"/>
      <c r="I282" s="3"/>
      <c r="J282" s="3"/>
      <c r="K282" s="3"/>
    </row>
    <row r="283" spans="7:11" x14ac:dyDescent="0.25">
      <c r="G283" s="3"/>
      <c r="H283" s="3"/>
      <c r="I283" s="3"/>
      <c r="J283" s="3"/>
      <c r="K283" s="3"/>
    </row>
    <row r="284" spans="7:11" x14ac:dyDescent="0.25">
      <c r="G284" s="3"/>
      <c r="H284" s="3"/>
      <c r="I284" s="3"/>
      <c r="J284" s="3"/>
      <c r="K284" s="3"/>
    </row>
    <row r="285" spans="7:11" x14ac:dyDescent="0.25">
      <c r="G285" s="3"/>
      <c r="H285" s="3"/>
      <c r="I285" s="3"/>
      <c r="J285" s="3"/>
      <c r="K285" s="3"/>
    </row>
    <row r="286" spans="7:11" x14ac:dyDescent="0.25">
      <c r="G286" s="3"/>
      <c r="H286" s="3"/>
      <c r="I286" s="3"/>
      <c r="J286" s="3"/>
      <c r="K286" s="3"/>
    </row>
    <row r="287" spans="7:11" x14ac:dyDescent="0.25">
      <c r="G287" s="3"/>
      <c r="H287" s="3"/>
      <c r="I287" s="3"/>
      <c r="J287" s="3"/>
      <c r="K287" s="3"/>
    </row>
    <row r="288" spans="7:11" x14ac:dyDescent="0.25">
      <c r="G288" s="3"/>
      <c r="H288" s="3"/>
      <c r="I288" s="3"/>
      <c r="J288" s="3"/>
      <c r="K288" s="3"/>
    </row>
    <row r="289" spans="7:11" x14ac:dyDescent="0.25">
      <c r="G289" s="3"/>
      <c r="H289" s="3"/>
      <c r="I289" s="3"/>
      <c r="J289" s="3"/>
      <c r="K289" s="3"/>
    </row>
    <row r="290" spans="7:11" x14ac:dyDescent="0.25">
      <c r="G290" s="3"/>
      <c r="H290" s="3"/>
      <c r="I290" s="3"/>
      <c r="J290" s="3"/>
      <c r="K290" s="3"/>
    </row>
    <row r="291" spans="7:11" x14ac:dyDescent="0.25">
      <c r="G291" s="3"/>
      <c r="H291" s="3"/>
      <c r="I291" s="3"/>
      <c r="J291" s="3"/>
      <c r="K291" s="3"/>
    </row>
    <row r="292" spans="7:11" x14ac:dyDescent="0.25">
      <c r="G292" s="3"/>
      <c r="H292" s="3"/>
      <c r="I292" s="3"/>
      <c r="J292" s="3"/>
      <c r="K292" s="3"/>
    </row>
    <row r="293" spans="7:11" x14ac:dyDescent="0.25">
      <c r="G293" s="3"/>
      <c r="H293" s="3"/>
      <c r="I293" s="3"/>
      <c r="J293" s="3"/>
      <c r="K293" s="3"/>
    </row>
    <row r="294" spans="7:11" x14ac:dyDescent="0.25">
      <c r="G294" s="3"/>
      <c r="H294" s="3"/>
      <c r="I294" s="3"/>
      <c r="J294" s="3"/>
      <c r="K294" s="3"/>
    </row>
    <row r="295" spans="7:11" x14ac:dyDescent="0.25">
      <c r="G295" s="3"/>
      <c r="H295" s="3"/>
      <c r="I295" s="3"/>
      <c r="J295" s="3"/>
      <c r="K295" s="3"/>
    </row>
    <row r="296" spans="7:11" x14ac:dyDescent="0.25">
      <c r="G296" s="3"/>
      <c r="H296" s="3"/>
      <c r="I296" s="3"/>
      <c r="J296" s="3"/>
      <c r="K296" s="3"/>
    </row>
    <row r="297" spans="7:11" x14ac:dyDescent="0.25">
      <c r="G297" s="3"/>
      <c r="H297" s="3"/>
      <c r="I297" s="3"/>
      <c r="J297" s="3"/>
      <c r="K297" s="3"/>
    </row>
    <row r="298" spans="7:11" x14ac:dyDescent="0.25">
      <c r="G298" s="3"/>
      <c r="H298" s="3"/>
      <c r="I298" s="3"/>
      <c r="J298" s="3"/>
      <c r="K298" s="3"/>
    </row>
    <row r="299" spans="7:11" x14ac:dyDescent="0.25">
      <c r="G299" s="3"/>
      <c r="H299" s="3"/>
      <c r="I299" s="3"/>
      <c r="J299" s="3"/>
      <c r="K299" s="3"/>
    </row>
    <row r="300" spans="7:11" x14ac:dyDescent="0.25">
      <c r="G300" s="3"/>
      <c r="H300" s="3"/>
      <c r="I300" s="3"/>
      <c r="J300" s="3"/>
      <c r="K300" s="3"/>
    </row>
    <row r="301" spans="7:11" x14ac:dyDescent="0.25">
      <c r="G301" s="3"/>
      <c r="H301" s="3"/>
      <c r="I301" s="3"/>
      <c r="J301" s="3"/>
      <c r="K301" s="3"/>
    </row>
    <row r="302" spans="7:11" x14ac:dyDescent="0.25">
      <c r="G302" s="3"/>
      <c r="H302" s="3"/>
      <c r="I302" s="3"/>
      <c r="J302" s="3"/>
      <c r="K302" s="3"/>
    </row>
    <row r="303" spans="7:11" x14ac:dyDescent="0.25">
      <c r="G303" s="3"/>
      <c r="H303" s="3"/>
      <c r="I303" s="3"/>
      <c r="J303" s="3"/>
      <c r="K303" s="3"/>
    </row>
    <row r="304" spans="7:11" x14ac:dyDescent="0.25">
      <c r="G304" s="3"/>
      <c r="H304" s="3"/>
      <c r="I304" s="3"/>
      <c r="J304" s="3"/>
      <c r="K304" s="3"/>
    </row>
    <row r="305" spans="7:11" x14ac:dyDescent="0.25">
      <c r="G305" s="3"/>
      <c r="H305" s="3"/>
      <c r="I305" s="3"/>
      <c r="J305" s="3"/>
      <c r="K305" s="3"/>
    </row>
    <row r="306" spans="7:11" x14ac:dyDescent="0.25">
      <c r="G306" s="3"/>
      <c r="H306" s="3"/>
      <c r="I306" s="3"/>
      <c r="J306" s="3"/>
      <c r="K306" s="3"/>
    </row>
    <row r="307" spans="7:11" x14ac:dyDescent="0.25">
      <c r="G307" s="3"/>
      <c r="H307" s="3"/>
      <c r="I307" s="3"/>
      <c r="J307" s="3"/>
      <c r="K307" s="3"/>
    </row>
    <row r="308" spans="7:11" x14ac:dyDescent="0.25">
      <c r="G308" s="3"/>
      <c r="H308" s="3"/>
      <c r="I308" s="3"/>
      <c r="J308" s="3"/>
      <c r="K308" s="3"/>
    </row>
    <row r="309" spans="7:11" x14ac:dyDescent="0.25">
      <c r="G309" s="3"/>
      <c r="H309" s="3"/>
      <c r="I309" s="3"/>
      <c r="J309" s="3"/>
      <c r="K309" s="3"/>
    </row>
    <row r="310" spans="7:11" x14ac:dyDescent="0.25">
      <c r="G310" s="3"/>
      <c r="H310" s="3"/>
      <c r="I310" s="3"/>
      <c r="J310" s="3"/>
      <c r="K310" s="3"/>
    </row>
    <row r="311" spans="7:11" x14ac:dyDescent="0.25">
      <c r="G311" s="3"/>
      <c r="H311" s="3"/>
      <c r="I311" s="3"/>
      <c r="J311" s="3"/>
      <c r="K311" s="3"/>
    </row>
    <row r="312" spans="7:11" x14ac:dyDescent="0.25">
      <c r="G312" s="3"/>
      <c r="H312" s="3"/>
      <c r="I312" s="3"/>
      <c r="J312" s="3"/>
      <c r="K312" s="3"/>
    </row>
    <row r="313" spans="7:11" x14ac:dyDescent="0.25">
      <c r="G313" s="3"/>
      <c r="H313" s="3"/>
      <c r="I313" s="3"/>
      <c r="J313" s="3"/>
      <c r="K313" s="3"/>
    </row>
    <row r="314" spans="7:11" x14ac:dyDescent="0.25">
      <c r="G314" s="3"/>
      <c r="H314" s="3"/>
      <c r="I314" s="3"/>
      <c r="J314" s="3"/>
      <c r="K314" s="3"/>
    </row>
    <row r="315" spans="7:11" x14ac:dyDescent="0.25">
      <c r="G315" s="3"/>
      <c r="H315" s="3"/>
      <c r="I315" s="3"/>
      <c r="J315" s="3"/>
      <c r="K315" s="3"/>
    </row>
    <row r="316" spans="7:11" x14ac:dyDescent="0.25">
      <c r="G316" s="3"/>
      <c r="H316" s="3"/>
      <c r="I316" s="3"/>
      <c r="J316" s="3"/>
      <c r="K316" s="3"/>
    </row>
    <row r="317" spans="7:11" x14ac:dyDescent="0.25">
      <c r="G317" s="3"/>
      <c r="H317" s="3"/>
      <c r="I317" s="3"/>
      <c r="J317" s="3"/>
      <c r="K317" s="3"/>
    </row>
    <row r="318" spans="7:11" x14ac:dyDescent="0.25">
      <c r="G318" s="3"/>
      <c r="H318" s="3"/>
      <c r="I318" s="3"/>
      <c r="J318" s="3"/>
      <c r="K318" s="3"/>
    </row>
    <row r="319" spans="7:11" x14ac:dyDescent="0.25">
      <c r="G319" s="3"/>
      <c r="H319" s="3"/>
      <c r="I319" s="3"/>
      <c r="J319" s="3"/>
      <c r="K319" s="3"/>
    </row>
    <row r="320" spans="7:11" x14ac:dyDescent="0.25">
      <c r="G320" s="3"/>
      <c r="H320" s="3"/>
      <c r="I320" s="3"/>
      <c r="J320" s="3"/>
      <c r="K320" s="3"/>
    </row>
    <row r="321" spans="7:11" x14ac:dyDescent="0.25">
      <c r="G321" s="3"/>
      <c r="H321" s="3"/>
      <c r="I321" s="3"/>
      <c r="J321" s="3"/>
      <c r="K321" s="3"/>
    </row>
    <row r="322" spans="7:11" x14ac:dyDescent="0.25">
      <c r="G322" s="3"/>
      <c r="H322" s="3"/>
      <c r="I322" s="3"/>
      <c r="J322" s="3"/>
      <c r="K322" s="3"/>
    </row>
    <row r="323" spans="7:11" x14ac:dyDescent="0.25">
      <c r="G323" s="3"/>
      <c r="H323" s="3"/>
      <c r="I323" s="3"/>
      <c r="J323" s="3"/>
      <c r="K323" s="3"/>
    </row>
    <row r="324" spans="7:11" x14ac:dyDescent="0.25">
      <c r="G324" s="3"/>
      <c r="H324" s="3"/>
      <c r="I324" s="3"/>
      <c r="J324" s="3"/>
      <c r="K324" s="3"/>
    </row>
    <row r="325" spans="7:11" x14ac:dyDescent="0.25">
      <c r="G325" s="3"/>
      <c r="H325" s="3"/>
      <c r="I325" s="3"/>
      <c r="J325" s="3"/>
      <c r="K325" s="3"/>
    </row>
    <row r="326" spans="7:11" x14ac:dyDescent="0.25">
      <c r="G326" s="3"/>
      <c r="H326" s="3"/>
      <c r="I326" s="3"/>
      <c r="J326" s="3"/>
      <c r="K326" s="3"/>
    </row>
    <row r="327" spans="7:11" x14ac:dyDescent="0.25">
      <c r="G327" s="3"/>
      <c r="H327" s="3"/>
      <c r="I327" s="3"/>
      <c r="J327" s="3"/>
      <c r="K327" s="3"/>
    </row>
    <row r="328" spans="7:11" x14ac:dyDescent="0.25">
      <c r="G328" s="3"/>
      <c r="H328" s="3"/>
      <c r="I328" s="3"/>
      <c r="J328" s="3"/>
      <c r="K328" s="3"/>
    </row>
    <row r="329" spans="7:11" x14ac:dyDescent="0.25">
      <c r="G329" s="3"/>
      <c r="H329" s="3"/>
      <c r="I329" s="3"/>
      <c r="J329" s="3"/>
      <c r="K329" s="3"/>
    </row>
    <row r="330" spans="7:11" x14ac:dyDescent="0.25">
      <c r="G330" s="3"/>
      <c r="H330" s="3"/>
      <c r="I330" s="3"/>
      <c r="J330" s="3"/>
      <c r="K330" s="3"/>
    </row>
    <row r="331" spans="7:11" x14ac:dyDescent="0.25">
      <c r="G331" s="3"/>
      <c r="H331" s="3"/>
      <c r="I331" s="3"/>
      <c r="J331" s="3"/>
      <c r="K331" s="3"/>
    </row>
    <row r="332" spans="7:11" x14ac:dyDescent="0.25">
      <c r="G332" s="3"/>
      <c r="H332" s="3"/>
      <c r="I332" s="3"/>
      <c r="J332" s="3"/>
      <c r="K332" s="3"/>
    </row>
    <row r="333" spans="7:11" x14ac:dyDescent="0.25">
      <c r="G333" s="3"/>
      <c r="H333" s="3"/>
      <c r="I333" s="3"/>
      <c r="J333" s="3"/>
      <c r="K333" s="3"/>
    </row>
    <row r="334" spans="7:11" x14ac:dyDescent="0.25">
      <c r="G334" s="3"/>
      <c r="H334" s="3"/>
      <c r="I334" s="3"/>
      <c r="J334" s="3"/>
      <c r="K334" s="3"/>
    </row>
    <row r="335" spans="7:11" x14ac:dyDescent="0.25">
      <c r="G335" s="3"/>
      <c r="H335" s="3"/>
      <c r="I335" s="3"/>
      <c r="J335" s="3"/>
      <c r="K335" s="3"/>
    </row>
    <row r="336" spans="7:11" x14ac:dyDescent="0.25">
      <c r="G336" s="3"/>
      <c r="H336" s="3"/>
      <c r="I336" s="3"/>
      <c r="J336" s="3"/>
      <c r="K336" s="3"/>
    </row>
    <row r="337" spans="7:11" x14ac:dyDescent="0.25">
      <c r="G337" s="3"/>
      <c r="H337" s="3"/>
      <c r="I337" s="3"/>
      <c r="J337" s="3"/>
      <c r="K337" s="3"/>
    </row>
    <row r="338" spans="7:11" x14ac:dyDescent="0.25">
      <c r="G338" s="3"/>
      <c r="H338" s="3"/>
      <c r="I338" s="3"/>
      <c r="J338" s="3"/>
      <c r="K338" s="3"/>
    </row>
    <row r="339" spans="7:11" x14ac:dyDescent="0.25">
      <c r="G339" s="3"/>
      <c r="H339" s="3"/>
      <c r="I339" s="3"/>
      <c r="J339" s="3"/>
      <c r="K339" s="3"/>
    </row>
    <row r="340" spans="7:11" x14ac:dyDescent="0.25">
      <c r="G340" s="3"/>
      <c r="H340" s="3"/>
      <c r="I340" s="3"/>
      <c r="J340" s="3"/>
      <c r="K340" s="3"/>
    </row>
    <row r="341" spans="7:11" x14ac:dyDescent="0.25">
      <c r="G341" s="3"/>
      <c r="H341" s="3"/>
      <c r="I341" s="3"/>
      <c r="J341" s="3"/>
      <c r="K341" s="3"/>
    </row>
    <row r="342" spans="7:11" x14ac:dyDescent="0.25">
      <c r="G342" s="3"/>
      <c r="H342" s="3"/>
      <c r="I342" s="3"/>
      <c r="J342" s="3"/>
      <c r="K342" s="3"/>
    </row>
    <row r="343" spans="7:11" x14ac:dyDescent="0.25">
      <c r="G343" s="3"/>
      <c r="H343" s="3"/>
      <c r="I343" s="3"/>
      <c r="J343" s="3"/>
      <c r="K343" s="3"/>
    </row>
    <row r="344" spans="7:11" x14ac:dyDescent="0.25">
      <c r="G344" s="3"/>
      <c r="H344" s="3"/>
      <c r="I344" s="3"/>
      <c r="J344" s="3"/>
      <c r="K344" s="3"/>
    </row>
    <row r="345" spans="7:11" x14ac:dyDescent="0.25">
      <c r="G345" s="3"/>
      <c r="H345" s="3"/>
      <c r="I345" s="3"/>
      <c r="J345" s="3"/>
      <c r="K345" s="3"/>
    </row>
    <row r="346" spans="7:11" x14ac:dyDescent="0.25">
      <c r="G346" s="3"/>
      <c r="H346" s="3"/>
      <c r="I346" s="3"/>
      <c r="J346" s="3"/>
      <c r="K346" s="3"/>
    </row>
    <row r="347" spans="7:11" x14ac:dyDescent="0.25">
      <c r="G347" s="3"/>
      <c r="H347" s="3"/>
      <c r="I347" s="3"/>
      <c r="J347" s="3"/>
      <c r="K347" s="3"/>
    </row>
    <row r="348" spans="7:11" x14ac:dyDescent="0.25">
      <c r="G348" s="3"/>
      <c r="H348" s="3"/>
      <c r="I348" s="3"/>
      <c r="J348" s="3"/>
      <c r="K348" s="3"/>
    </row>
    <row r="349" spans="7:11" x14ac:dyDescent="0.25">
      <c r="G349" s="3"/>
      <c r="H349" s="3"/>
      <c r="I349" s="3"/>
      <c r="J349" s="3"/>
      <c r="K349" s="3"/>
    </row>
    <row r="350" spans="7:11" x14ac:dyDescent="0.25">
      <c r="G350" s="3"/>
      <c r="H350" s="3"/>
      <c r="I350" s="3"/>
      <c r="J350" s="3"/>
      <c r="K350" s="3"/>
    </row>
    <row r="351" spans="7:11" x14ac:dyDescent="0.25">
      <c r="G351" s="3"/>
      <c r="H351" s="3"/>
      <c r="I351" s="3"/>
      <c r="J351" s="3"/>
      <c r="K351" s="3"/>
    </row>
    <row r="352" spans="7:11" x14ac:dyDescent="0.25">
      <c r="G352" s="3"/>
      <c r="H352" s="3"/>
      <c r="I352" s="3"/>
      <c r="J352" s="3"/>
      <c r="K352" s="3"/>
    </row>
    <row r="353" spans="7:11" x14ac:dyDescent="0.25">
      <c r="G353" s="3"/>
      <c r="H353" s="3"/>
      <c r="I353" s="3"/>
      <c r="J353" s="3"/>
      <c r="K353" s="3"/>
    </row>
    <row r="354" spans="7:11" x14ac:dyDescent="0.25">
      <c r="G354" s="3"/>
      <c r="H354" s="3"/>
      <c r="I354" s="3"/>
      <c r="J354" s="3"/>
      <c r="K354" s="3"/>
    </row>
    <row r="355" spans="7:11" x14ac:dyDescent="0.25">
      <c r="G355" s="3"/>
      <c r="H355" s="3"/>
      <c r="I355" s="3"/>
      <c r="J355" s="3"/>
      <c r="K355" s="3"/>
    </row>
    <row r="356" spans="7:11" x14ac:dyDescent="0.25">
      <c r="G356" s="3"/>
      <c r="H356" s="3"/>
      <c r="I356" s="3"/>
      <c r="J356" s="3"/>
      <c r="K356" s="3"/>
    </row>
    <row r="357" spans="7:11" x14ac:dyDescent="0.25">
      <c r="G357" s="3"/>
      <c r="H357" s="3"/>
      <c r="I357" s="3"/>
      <c r="J357" s="3"/>
      <c r="K357" s="3"/>
    </row>
    <row r="358" spans="7:11" x14ac:dyDescent="0.25">
      <c r="G358" s="3"/>
      <c r="H358" s="3"/>
      <c r="I358" s="3"/>
      <c r="J358" s="3"/>
      <c r="K358" s="3"/>
    </row>
    <row r="359" spans="7:11" x14ac:dyDescent="0.25">
      <c r="G359" s="3"/>
      <c r="H359" s="3"/>
      <c r="I359" s="3"/>
      <c r="J359" s="3"/>
      <c r="K359" s="3"/>
    </row>
    <row r="360" spans="7:11" x14ac:dyDescent="0.25">
      <c r="G360" s="3"/>
      <c r="H360" s="3"/>
      <c r="I360" s="3"/>
      <c r="J360" s="3"/>
      <c r="K360" s="3"/>
    </row>
    <row r="361" spans="7:11" x14ac:dyDescent="0.25">
      <c r="G361" s="3"/>
      <c r="H361" s="3"/>
      <c r="I361" s="3"/>
      <c r="J361" s="3"/>
      <c r="K361" s="3"/>
    </row>
    <row r="362" spans="7:11" x14ac:dyDescent="0.25">
      <c r="G362" s="3"/>
      <c r="H362" s="3"/>
      <c r="I362" s="3"/>
      <c r="J362" s="3"/>
      <c r="K362" s="3"/>
    </row>
    <row r="363" spans="7:11" x14ac:dyDescent="0.25">
      <c r="G363" s="3"/>
      <c r="H363" s="3"/>
      <c r="I363" s="3"/>
      <c r="J363" s="3"/>
      <c r="K363" s="3"/>
    </row>
    <row r="364" spans="7:11" x14ac:dyDescent="0.25">
      <c r="G364" s="3"/>
      <c r="H364" s="3"/>
      <c r="I364" s="3"/>
      <c r="J364" s="3"/>
      <c r="K364" s="3"/>
    </row>
    <row r="365" spans="7:11" x14ac:dyDescent="0.25">
      <c r="G365" s="3"/>
      <c r="H365" s="3"/>
      <c r="I365" s="3"/>
      <c r="J365" s="3"/>
      <c r="K365" s="3"/>
    </row>
    <row r="366" spans="7:11" x14ac:dyDescent="0.25">
      <c r="G366" s="3"/>
      <c r="H366" s="3"/>
      <c r="I366" s="3"/>
      <c r="J366" s="3"/>
      <c r="K366" s="3"/>
    </row>
    <row r="367" spans="7:11" x14ac:dyDescent="0.25">
      <c r="G367" s="3"/>
      <c r="H367" s="3"/>
      <c r="I367" s="3"/>
      <c r="J367" s="3"/>
      <c r="K367" s="3"/>
    </row>
    <row r="368" spans="7:11" x14ac:dyDescent="0.25">
      <c r="G368" s="3"/>
      <c r="H368" s="3"/>
      <c r="I368" s="3"/>
      <c r="J368" s="3"/>
      <c r="K368" s="3"/>
    </row>
  </sheetData>
  <mergeCells count="4">
    <mergeCell ref="F53:F56"/>
    <mergeCell ref="F60:F63"/>
    <mergeCell ref="F65:F68"/>
    <mergeCell ref="F70:F73"/>
  </mergeCells>
  <conditionalFormatting sqref="H70:L73">
    <cfRule type="colorScale" priority="1">
      <colorScale>
        <cfvo type="min"/>
        <cfvo type="num" val="1"/>
        <cfvo type="max"/>
        <color rgb="FFF8696B"/>
        <color theme="0" tint="-4.9989318521683403E-2"/>
        <color rgb="FF63BE7B"/>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D015-E194-4D33-B9F0-B8DDBC7DCCBA}">
  <sheetPr>
    <tabColor rgb="FF7030A0"/>
  </sheetPr>
  <dimension ref="A1:CB455"/>
  <sheetViews>
    <sheetView showGridLines="0" zoomScaleNormal="100" workbookViewId="0">
      <selection activeCell="P22" sqref="P22"/>
    </sheetView>
  </sheetViews>
  <sheetFormatPr defaultRowHeight="15" x14ac:dyDescent="0.25"/>
  <cols>
    <col min="1" max="5" width="2.28515625" customWidth="1"/>
    <col min="6" max="6" width="29.85546875" customWidth="1"/>
    <col min="7" max="7" width="12" style="76" bestFit="1" customWidth="1"/>
    <col min="8" max="12" width="2" style="76" customWidth="1"/>
    <col min="13" max="13" width="27" style="76" customWidth="1"/>
    <col min="14" max="14" width="10.42578125" style="76" customWidth="1"/>
    <col min="15" max="16384" width="9.140625" style="76"/>
  </cols>
  <sheetData>
    <row r="1" spans="1:80" customFormat="1" ht="24" thickBot="1" x14ac:dyDescent="0.4">
      <c r="A1" s="75" t="s">
        <v>172</v>
      </c>
    </row>
    <row r="2" spans="1:80" customFormat="1" ht="15.75" thickBot="1" x14ac:dyDescent="0.3">
      <c r="B2" s="72" t="s">
        <v>149</v>
      </c>
      <c r="C2" s="73"/>
      <c r="D2" s="73"/>
      <c r="E2" s="73"/>
      <c r="F2" s="73"/>
      <c r="G2" s="74"/>
      <c r="I2" s="72" t="s">
        <v>186</v>
      </c>
      <c r="J2" s="73"/>
      <c r="K2" s="73"/>
      <c r="L2" s="73"/>
      <c r="M2" s="73"/>
      <c r="N2" s="73"/>
      <c r="O2" s="73"/>
      <c r="P2" s="73"/>
      <c r="Q2" s="73"/>
      <c r="R2" s="74"/>
      <c r="U2" s="78"/>
    </row>
    <row r="3" spans="1:80" customFormat="1" x14ac:dyDescent="0.25">
      <c r="B3" s="79"/>
      <c r="C3" t="s">
        <v>114</v>
      </c>
      <c r="G3" s="80">
        <f>Final.EBIT+Final.Amortization.Expense+Final.Depreciation.Expense</f>
        <v>6831.1632520798876</v>
      </c>
      <c r="I3" s="79"/>
      <c r="J3" t="s">
        <v>187</v>
      </c>
      <c r="K3" s="76"/>
      <c r="L3" s="76"/>
      <c r="N3" s="90" t="s">
        <v>199</v>
      </c>
      <c r="O3" s="90" t="s">
        <v>200</v>
      </c>
      <c r="P3" s="90" t="s">
        <v>201</v>
      </c>
      <c r="Q3" s="90" t="s">
        <v>202</v>
      </c>
      <c r="R3" s="92" t="s">
        <v>203</v>
      </c>
      <c r="T3" s="76"/>
    </row>
    <row r="4" spans="1:80" customFormat="1" x14ac:dyDescent="0.25">
      <c r="B4" s="79"/>
      <c r="C4" t="s">
        <v>148</v>
      </c>
      <c r="G4" s="81">
        <v>9.5</v>
      </c>
      <c r="I4" s="79"/>
      <c r="K4" s="76" t="s">
        <v>188</v>
      </c>
      <c r="N4" s="93">
        <f>DCF.Cash</f>
        <v>3808.1520277477548</v>
      </c>
      <c r="O4" s="94">
        <f>+N4/$N$8</f>
        <v>4.8447180763227231E-2</v>
      </c>
      <c r="P4" s="95">
        <f>N4/EBITDA.LBO</f>
        <v>0.55746757722241302</v>
      </c>
      <c r="Q4" s="76"/>
      <c r="R4" s="88"/>
      <c r="S4" s="78"/>
      <c r="T4" s="78"/>
      <c r="U4" s="78"/>
      <c r="W4" s="78"/>
      <c r="X4" s="78"/>
    </row>
    <row r="5" spans="1:80" x14ac:dyDescent="0.25">
      <c r="B5" s="79"/>
      <c r="D5" t="s">
        <v>150</v>
      </c>
      <c r="G5" s="82">
        <f>+G3*G4</f>
        <v>64896.050894758933</v>
      </c>
      <c r="I5" s="96"/>
      <c r="K5" s="76" t="s">
        <v>189</v>
      </c>
      <c r="N5" s="97">
        <v>20000</v>
      </c>
      <c r="O5" s="94">
        <f t="shared" ref="O5:O7" si="0">+N5/$N$8</f>
        <v>0.25443932075306464</v>
      </c>
      <c r="P5" s="95">
        <f>N5/EBITDA.LBO</f>
        <v>2.9277590451246485</v>
      </c>
      <c r="Q5" s="98">
        <v>0.03</v>
      </c>
      <c r="R5" s="88">
        <f>Q5*N5</f>
        <v>600</v>
      </c>
      <c r="S5" s="78"/>
      <c r="T5" s="78"/>
      <c r="U5" s="78"/>
      <c r="V5" s="78"/>
      <c r="W5" s="78"/>
      <c r="X5" s="78"/>
    </row>
    <row r="6" spans="1:80" x14ac:dyDescent="0.25">
      <c r="B6" s="79"/>
      <c r="C6" t="s">
        <v>173</v>
      </c>
      <c r="G6" s="82"/>
      <c r="I6" s="96"/>
      <c r="K6" s="76" t="s">
        <v>190</v>
      </c>
      <c r="N6" s="97">
        <v>20000</v>
      </c>
      <c r="O6" s="94">
        <f t="shared" si="0"/>
        <v>0.25443932075306464</v>
      </c>
      <c r="P6" s="95">
        <f>N6/EBITDA.LBO</f>
        <v>2.9277590451246485</v>
      </c>
      <c r="Q6" s="98">
        <v>0.04</v>
      </c>
      <c r="R6" s="88">
        <f>Q6*N6</f>
        <v>800</v>
      </c>
      <c r="S6" s="78"/>
      <c r="T6" s="78"/>
      <c r="U6" s="78"/>
      <c r="V6" s="78"/>
      <c r="W6" s="78"/>
      <c r="X6" s="78"/>
    </row>
    <row r="7" spans="1:80" x14ac:dyDescent="0.25">
      <c r="B7" s="79"/>
      <c r="D7" t="s">
        <v>174</v>
      </c>
      <c r="G7" s="82"/>
      <c r="I7" s="96"/>
      <c r="K7" s="76" t="s">
        <v>191</v>
      </c>
      <c r="N7" s="97">
        <f>40000-5493+0.050895+289</f>
        <v>34796.050895</v>
      </c>
      <c r="O7" s="94">
        <f t="shared" si="0"/>
        <v>0.44267417773064338</v>
      </c>
      <c r="P7" s="95">
        <f>N7/EBITDA.LBO</f>
        <v>5.0937226371226938</v>
      </c>
      <c r="Q7" s="97"/>
      <c r="R7" s="88"/>
      <c r="S7" s="78"/>
      <c r="T7" s="78"/>
      <c r="U7" s="78"/>
      <c r="V7" s="78"/>
      <c r="W7" s="78"/>
      <c r="X7" s="78"/>
    </row>
    <row r="8" spans="1:80" x14ac:dyDescent="0.25">
      <c r="B8" s="79"/>
      <c r="E8" t="s">
        <v>60</v>
      </c>
      <c r="G8" s="82">
        <f>-DCF.Debt</f>
        <v>-5500</v>
      </c>
      <c r="I8" s="96"/>
      <c r="J8" s="76" t="s">
        <v>192</v>
      </c>
      <c r="N8" s="77">
        <f>SUM(N4:N7)</f>
        <v>78604.202922747761</v>
      </c>
      <c r="O8" s="97"/>
      <c r="P8" s="97"/>
      <c r="Q8" s="97"/>
      <c r="R8" s="99">
        <f>SUM(R4:R7)</f>
        <v>1400</v>
      </c>
      <c r="S8" s="78"/>
      <c r="T8" s="78"/>
      <c r="U8" s="78"/>
      <c r="V8" s="78"/>
      <c r="W8" s="78"/>
      <c r="X8" s="78"/>
    </row>
    <row r="9" spans="1:80" x14ac:dyDescent="0.25">
      <c r="B9" s="79"/>
      <c r="E9" t="s">
        <v>75</v>
      </c>
      <c r="G9" s="82">
        <f>-DCF.Pref.Stock</f>
        <v>-1500</v>
      </c>
      <c r="I9" s="96"/>
      <c r="N9" s="97"/>
      <c r="O9" s="97"/>
      <c r="P9" s="97"/>
      <c r="Q9" s="97"/>
      <c r="R9" s="88"/>
      <c r="S9" s="78"/>
      <c r="T9" s="78"/>
      <c r="U9" s="78"/>
      <c r="W9" s="78"/>
      <c r="X9" s="78"/>
    </row>
    <row r="10" spans="1:80" x14ac:dyDescent="0.25">
      <c r="B10" s="79"/>
      <c r="D10" t="s">
        <v>175</v>
      </c>
      <c r="G10" s="82"/>
      <c r="I10" s="96"/>
      <c r="J10" s="76" t="s">
        <v>193</v>
      </c>
      <c r="N10" s="97"/>
      <c r="O10" s="97"/>
      <c r="P10" s="97"/>
      <c r="Q10" s="97"/>
      <c r="R10" s="88"/>
      <c r="S10" s="78"/>
      <c r="T10" s="78"/>
      <c r="U10" s="78"/>
      <c r="V10" s="78"/>
      <c r="W10" s="78"/>
      <c r="X10" s="78"/>
    </row>
    <row r="11" spans="1:80" x14ac:dyDescent="0.25">
      <c r="B11" s="79"/>
      <c r="E11" t="s">
        <v>32</v>
      </c>
      <c r="G11" s="82">
        <f>+DCF.Cash</f>
        <v>3808.1520277477548</v>
      </c>
      <c r="I11" s="96"/>
      <c r="K11" s="76" t="s">
        <v>181</v>
      </c>
      <c r="N11" s="97">
        <f>minimum.cash.balance</f>
        <v>5000</v>
      </c>
      <c r="O11" s="97"/>
      <c r="P11" s="97"/>
      <c r="Q11" s="97"/>
      <c r="R11" s="88"/>
      <c r="S11" s="78"/>
      <c r="T11" s="78"/>
      <c r="U11" s="78"/>
      <c r="V11" s="78"/>
      <c r="W11" s="78"/>
      <c r="X11" s="78"/>
    </row>
    <row r="12" spans="1:80" ht="15.75" thickBot="1" x14ac:dyDescent="0.3">
      <c r="B12" s="79"/>
      <c r="C12" t="s">
        <v>177</v>
      </c>
      <c r="G12" s="83">
        <f>SUM(G5:G11)</f>
        <v>61704.202922506687</v>
      </c>
      <c r="I12" s="96"/>
      <c r="K12" s="76" t="s">
        <v>184</v>
      </c>
      <c r="N12" s="97">
        <f>G12</f>
        <v>61704.202922506687</v>
      </c>
      <c r="O12" s="97"/>
      <c r="P12" s="97"/>
      <c r="Q12" s="97"/>
      <c r="R12" s="88"/>
      <c r="S12" s="78"/>
      <c r="T12" s="78"/>
      <c r="U12" s="78"/>
      <c r="V12" s="78"/>
      <c r="W12" s="78"/>
      <c r="X12" s="78"/>
    </row>
    <row r="13" spans="1:80" ht="16.5" thickTop="1" thickBot="1" x14ac:dyDescent="0.3">
      <c r="B13" s="84"/>
      <c r="C13" s="85"/>
      <c r="D13" s="85" t="s">
        <v>176</v>
      </c>
      <c r="E13" s="85"/>
      <c r="F13" s="85"/>
      <c r="G13" s="86">
        <f ca="1">G12/shares.outstanding</f>
        <v>108.17428604576054</v>
      </c>
      <c r="I13" s="96"/>
      <c r="K13" s="76" t="s">
        <v>194</v>
      </c>
      <c r="N13" s="97">
        <f>+DCF.Debt</f>
        <v>5500</v>
      </c>
      <c r="O13" s="97"/>
      <c r="P13" s="97"/>
      <c r="Q13" s="97"/>
      <c r="R13" s="88"/>
      <c r="S13" s="78"/>
      <c r="T13" s="78"/>
      <c r="U13" s="78"/>
      <c r="V13" s="78"/>
      <c r="W13" s="78"/>
      <c r="X13" s="78"/>
    </row>
    <row r="14" spans="1:80" ht="15.75" thickBot="1" x14ac:dyDescent="0.3">
      <c r="G14" s="78"/>
      <c r="H14" s="78"/>
      <c r="I14" s="100"/>
      <c r="J14" s="97"/>
      <c r="K14" s="97" t="s">
        <v>195</v>
      </c>
      <c r="L14" s="97"/>
      <c r="M14" s="97"/>
      <c r="N14" s="97">
        <f>+DCF.Pref.Stock</f>
        <v>1500</v>
      </c>
      <c r="O14" s="97"/>
      <c r="P14" s="97"/>
      <c r="Q14" s="97"/>
      <c r="R14" s="8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row>
    <row r="15" spans="1:80" ht="15.75" thickBot="1" x14ac:dyDescent="0.3">
      <c r="B15" s="72" t="s">
        <v>178</v>
      </c>
      <c r="C15" s="73"/>
      <c r="D15" s="73"/>
      <c r="E15" s="73"/>
      <c r="F15" s="73"/>
      <c r="G15" s="74"/>
      <c r="H15" s="78"/>
      <c r="I15" s="100"/>
      <c r="J15" s="97"/>
      <c r="K15" s="97" t="s">
        <v>196</v>
      </c>
      <c r="L15" s="97"/>
      <c r="M15" s="97"/>
      <c r="N15" s="97">
        <f>+goldman.sachs.fee</f>
        <v>3500</v>
      </c>
      <c r="O15" s="97"/>
      <c r="P15" s="97"/>
      <c r="Q15" s="97"/>
      <c r="R15" s="8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row>
    <row r="16" spans="1:80" x14ac:dyDescent="0.25">
      <c r="B16" s="79"/>
      <c r="C16" t="s">
        <v>179</v>
      </c>
      <c r="G16" s="87">
        <v>6</v>
      </c>
      <c r="H16" s="78"/>
      <c r="I16" s="100"/>
      <c r="J16" s="97"/>
      <c r="K16" s="97" t="s">
        <v>197</v>
      </c>
      <c r="L16" s="97"/>
      <c r="M16" s="97"/>
      <c r="N16" s="97">
        <f>+JPM.Fee</f>
        <v>1400</v>
      </c>
      <c r="O16" s="97"/>
      <c r="P16" s="97"/>
      <c r="Q16" s="97"/>
      <c r="R16" s="8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row>
    <row r="17" spans="2:80" x14ac:dyDescent="0.25">
      <c r="B17" s="79"/>
      <c r="C17" t="s">
        <v>180</v>
      </c>
      <c r="G17" s="88">
        <f>G16*G3</f>
        <v>40986.979512479324</v>
      </c>
      <c r="H17" s="78"/>
      <c r="I17" s="100"/>
      <c r="J17" s="97" t="s">
        <v>198</v>
      </c>
      <c r="K17" s="97"/>
      <c r="L17" s="97"/>
      <c r="M17" s="97"/>
      <c r="N17" s="77">
        <f>SUM(N11:N16)</f>
        <v>78604.202922506694</v>
      </c>
      <c r="O17" s="97"/>
      <c r="P17" s="97"/>
      <c r="Q17" s="97"/>
      <c r="R17" s="8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row>
    <row r="18" spans="2:80" x14ac:dyDescent="0.25">
      <c r="B18" s="79"/>
      <c r="C18" t="s">
        <v>181</v>
      </c>
      <c r="G18" s="88">
        <v>5000</v>
      </c>
      <c r="H18" s="78"/>
      <c r="I18" s="100"/>
      <c r="J18" s="97"/>
      <c r="K18" s="97" t="s">
        <v>82</v>
      </c>
      <c r="L18" s="97"/>
      <c r="M18" s="97"/>
      <c r="N18" s="97">
        <f>N8-N17</f>
        <v>2.4106702767312527E-7</v>
      </c>
      <c r="O18" s="97"/>
      <c r="P18" s="97"/>
      <c r="Q18" s="97"/>
      <c r="R18" s="8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A18" s="78"/>
      <c r="BB18" s="78"/>
      <c r="BC18" s="78"/>
      <c r="BD18" s="78"/>
      <c r="BE18" s="78"/>
      <c r="BF18" s="78"/>
      <c r="BG18" s="78"/>
      <c r="BH18" s="78"/>
      <c r="BI18" s="78"/>
      <c r="BJ18" s="78"/>
      <c r="BK18" s="78"/>
      <c r="BL18" s="78"/>
      <c r="BM18" s="78"/>
      <c r="BN18" s="78"/>
      <c r="BO18" s="78"/>
      <c r="BP18" s="78"/>
      <c r="BQ18" s="78"/>
      <c r="BR18" s="78"/>
      <c r="BS18" s="78"/>
      <c r="BT18" s="78"/>
      <c r="BU18" s="78"/>
      <c r="BV18" s="78"/>
      <c r="BW18" s="78"/>
      <c r="BX18" s="78"/>
      <c r="BY18" s="78"/>
      <c r="BZ18" s="78"/>
      <c r="CA18" s="78"/>
      <c r="CB18" s="78"/>
    </row>
    <row r="19" spans="2:80" ht="15.75" thickBot="1" x14ac:dyDescent="0.3">
      <c r="B19" s="84"/>
      <c r="C19" s="85" t="s">
        <v>182</v>
      </c>
      <c r="D19" s="85"/>
      <c r="E19" s="85"/>
      <c r="F19" s="85"/>
      <c r="G19" s="89">
        <v>3500</v>
      </c>
      <c r="H19" s="78"/>
      <c r="I19" s="101"/>
      <c r="J19" s="102"/>
      <c r="K19" s="102"/>
      <c r="L19" s="102"/>
      <c r="M19" s="102"/>
      <c r="N19" s="102"/>
      <c r="O19" s="102"/>
      <c r="P19" s="102"/>
      <c r="Q19" s="102"/>
      <c r="R19" s="89"/>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8"/>
      <c r="AX19" s="78"/>
      <c r="AY19" s="78"/>
      <c r="AZ19" s="78"/>
      <c r="BA19" s="78"/>
      <c r="BB19" s="78"/>
      <c r="BC19" s="78"/>
      <c r="BD19" s="78"/>
      <c r="BE19" s="78"/>
      <c r="BF19" s="78"/>
      <c r="BG19" s="78"/>
      <c r="BH19" s="78"/>
      <c r="BI19" s="78"/>
      <c r="BJ19" s="78"/>
      <c r="BK19" s="78"/>
      <c r="BL19" s="78"/>
      <c r="BM19" s="78"/>
      <c r="BN19" s="78"/>
      <c r="BO19" s="78"/>
      <c r="BP19" s="78"/>
      <c r="BQ19" s="78"/>
      <c r="BR19" s="78"/>
      <c r="BS19" s="78"/>
      <c r="BT19" s="78"/>
      <c r="BU19" s="78"/>
      <c r="BV19" s="78"/>
      <c r="BW19" s="78"/>
      <c r="BX19" s="78"/>
      <c r="BY19" s="78"/>
      <c r="BZ19" s="78"/>
      <c r="CA19" s="78"/>
      <c r="CB19" s="78"/>
    </row>
    <row r="20" spans="2:80" ht="15.75" thickBot="1" x14ac:dyDescent="0.3">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row>
    <row r="21" spans="2:80" ht="15.75" thickBot="1" x14ac:dyDescent="0.3">
      <c r="B21" s="72" t="s">
        <v>183</v>
      </c>
      <c r="C21" s="73"/>
      <c r="D21" s="73"/>
      <c r="E21" s="73"/>
      <c r="F21" s="73"/>
      <c r="G21" s="74"/>
      <c r="H21" s="78"/>
      <c r="I21" s="78"/>
      <c r="J21" s="78"/>
      <c r="K21" s="78"/>
      <c r="L21" s="78"/>
      <c r="M21" s="78"/>
      <c r="N21" s="78"/>
      <c r="O21" s="78"/>
      <c r="P21" s="78"/>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c r="BI21" s="78"/>
      <c r="BJ21" s="78"/>
      <c r="BK21" s="78"/>
      <c r="BL21" s="78"/>
      <c r="BM21" s="78"/>
      <c r="BN21" s="78"/>
      <c r="BO21" s="78"/>
      <c r="BP21" s="78"/>
      <c r="BQ21" s="78"/>
      <c r="BR21" s="78"/>
      <c r="BS21" s="78"/>
      <c r="BT21" s="78"/>
      <c r="BU21" s="78"/>
      <c r="BV21" s="78"/>
      <c r="BW21" s="78"/>
      <c r="BX21" s="78"/>
      <c r="BY21" s="78"/>
      <c r="BZ21" s="78"/>
      <c r="CA21" s="78"/>
      <c r="CB21" s="78"/>
    </row>
    <row r="22" spans="2:80" x14ac:dyDescent="0.25">
      <c r="B22" s="79"/>
      <c r="C22" t="s">
        <v>184</v>
      </c>
      <c r="G22" s="88">
        <f>+G12</f>
        <v>61704.202922506687</v>
      </c>
      <c r="H22" s="78"/>
      <c r="I22" s="78"/>
      <c r="J22" s="78"/>
      <c r="K22" s="78"/>
      <c r="L22" s="78"/>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78"/>
      <c r="BK22" s="78"/>
      <c r="BL22" s="78"/>
      <c r="BM22" s="78"/>
      <c r="BN22" s="78"/>
      <c r="BO22" s="78"/>
      <c r="BP22" s="78"/>
      <c r="BQ22" s="78"/>
      <c r="BR22" s="78"/>
      <c r="BS22" s="78"/>
      <c r="BT22" s="78"/>
      <c r="BU22" s="78"/>
      <c r="BV22" s="78"/>
      <c r="BW22" s="78"/>
      <c r="BX22" s="78"/>
      <c r="BY22" s="78"/>
      <c r="BZ22" s="78"/>
      <c r="CA22" s="78"/>
      <c r="CB22" s="78"/>
    </row>
    <row r="23" spans="2:80" x14ac:dyDescent="0.25">
      <c r="B23" s="79"/>
      <c r="D23" t="s">
        <v>185</v>
      </c>
      <c r="G23" s="88">
        <f>-(DCF.Equity-DCF.Pref.Stock)</f>
        <v>-9883.0069845449871</v>
      </c>
      <c r="H23" s="78"/>
      <c r="I23" s="78"/>
      <c r="J23" s="78"/>
      <c r="K23" s="78"/>
      <c r="L23" s="78"/>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78"/>
      <c r="BK23" s="78"/>
      <c r="BL23" s="78"/>
      <c r="BM23" s="78"/>
      <c r="BN23" s="78"/>
      <c r="BO23" s="78"/>
      <c r="BP23" s="78"/>
      <c r="BQ23" s="78"/>
      <c r="BR23" s="78"/>
      <c r="BS23" s="78"/>
      <c r="BT23" s="78"/>
      <c r="BU23" s="78"/>
      <c r="BV23" s="78"/>
      <c r="BW23" s="78"/>
      <c r="BX23" s="78"/>
      <c r="BY23" s="78"/>
      <c r="BZ23" s="78"/>
      <c r="CA23" s="78"/>
      <c r="CB23" s="78"/>
    </row>
    <row r="24" spans="2:80" ht="15.75" thickBot="1" x14ac:dyDescent="0.3">
      <c r="B24" s="84"/>
      <c r="C24" s="85" t="s">
        <v>48</v>
      </c>
      <c r="D24" s="85"/>
      <c r="E24" s="85"/>
      <c r="F24" s="85"/>
      <c r="G24" s="91">
        <f>SUM(G22,G23)</f>
        <v>51821.195937961704</v>
      </c>
      <c r="H24" s="78"/>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78"/>
      <c r="BK24" s="78"/>
      <c r="BL24" s="78"/>
      <c r="BM24" s="78"/>
      <c r="BN24" s="78"/>
      <c r="BO24" s="78"/>
      <c r="BP24" s="78"/>
      <c r="BQ24" s="78"/>
      <c r="BR24" s="78"/>
      <c r="BS24" s="78"/>
      <c r="BT24" s="78"/>
      <c r="BU24" s="78"/>
      <c r="BV24" s="78"/>
      <c r="BW24" s="78"/>
      <c r="BX24" s="78"/>
      <c r="BY24" s="78"/>
      <c r="BZ24" s="78"/>
      <c r="CA24" s="78"/>
      <c r="CB24" s="78"/>
    </row>
    <row r="25" spans="2:80" x14ac:dyDescent="0.25">
      <c r="G25" s="78"/>
      <c r="H25" s="78"/>
      <c r="I25" s="78"/>
      <c r="J25" s="78"/>
      <c r="K25"/>
      <c r="L25" s="78"/>
      <c r="M25" s="78"/>
      <c r="N25" s="78"/>
      <c r="O25" s="78"/>
      <c r="P25" s="78"/>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row>
    <row r="26" spans="2:80" x14ac:dyDescent="0.25">
      <c r="G26" s="78"/>
      <c r="H26" s="78"/>
      <c r="I26" s="78"/>
      <c r="J26" s="78"/>
      <c r="K26" s="78"/>
      <c r="L26" s="78"/>
      <c r="M26" s="78"/>
      <c r="N26" s="78"/>
      <c r="O26" s="78"/>
      <c r="P26" s="78"/>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row>
    <row r="27" spans="2:80" x14ac:dyDescent="0.25">
      <c r="G27" s="78"/>
      <c r="H27" s="78"/>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row>
    <row r="28" spans="2:80" x14ac:dyDescent="0.25">
      <c r="G28" s="78"/>
      <c r="H28" s="78"/>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row>
    <row r="29" spans="2:80" x14ac:dyDescent="0.25">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row>
    <row r="30" spans="2:80" x14ac:dyDescent="0.25">
      <c r="G30" s="78"/>
      <c r="H30" s="78"/>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row>
    <row r="31" spans="2:80" x14ac:dyDescent="0.25">
      <c r="G31" s="78"/>
      <c r="H31" s="78"/>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row>
    <row r="32" spans="2:80" x14ac:dyDescent="0.25">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row>
    <row r="33" spans="7:80" x14ac:dyDescent="0.25">
      <c r="G33" s="78"/>
      <c r="H33" s="78"/>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row>
    <row r="34" spans="7:80" x14ac:dyDescent="0.25">
      <c r="G34" s="78"/>
      <c r="H34" s="7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row>
    <row r="35" spans="7:80" x14ac:dyDescent="0.25">
      <c r="G35" s="78"/>
      <c r="H35" s="78"/>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row>
    <row r="36" spans="7:80" x14ac:dyDescent="0.25">
      <c r="G36" s="78"/>
      <c r="H36" s="78"/>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row>
    <row r="37" spans="7:80" x14ac:dyDescent="0.25">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row>
    <row r="38" spans="7:80" x14ac:dyDescent="0.25">
      <c r="G38" s="78"/>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row>
    <row r="39" spans="7:80" x14ac:dyDescent="0.25">
      <c r="G39" s="78"/>
      <c r="H39" s="78"/>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row>
    <row r="40" spans="7:80" x14ac:dyDescent="0.25">
      <c r="G40" s="78"/>
      <c r="H40" s="78"/>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row>
    <row r="41" spans="7:80" x14ac:dyDescent="0.25">
      <c r="G41" s="78"/>
      <c r="H41" s="78"/>
      <c r="I41" s="78"/>
      <c r="J41" s="78"/>
      <c r="K41" s="78"/>
      <c r="L41" s="78"/>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row>
    <row r="42" spans="7:80" x14ac:dyDescent="0.25">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row>
    <row r="43" spans="7:80" x14ac:dyDescent="0.25">
      <c r="G43" s="78"/>
      <c r="H43" s="78"/>
      <c r="I43" s="78"/>
      <c r="J43" s="78"/>
      <c r="K43" s="78"/>
      <c r="L43" s="78"/>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row>
    <row r="44" spans="7:80" x14ac:dyDescent="0.25">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row>
    <row r="45" spans="7:80" x14ac:dyDescent="0.25">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row>
    <row r="46" spans="7:80" x14ac:dyDescent="0.25">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row>
    <row r="47" spans="7:80" x14ac:dyDescent="0.25">
      <c r="G47" s="78"/>
      <c r="H47" s="78"/>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row>
    <row r="48" spans="7:80" x14ac:dyDescent="0.25">
      <c r="G48" s="78"/>
      <c r="H48" s="78"/>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row>
    <row r="49" spans="7:80" x14ac:dyDescent="0.25">
      <c r="G49" s="78"/>
      <c r="H49" s="78"/>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row>
    <row r="50" spans="7:80" x14ac:dyDescent="0.25">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row>
    <row r="51" spans="7:80" x14ac:dyDescent="0.25">
      <c r="G51" s="78"/>
      <c r="H51" s="78"/>
      <c r="I51" s="78"/>
      <c r="J51" s="78"/>
      <c r="K51" s="78"/>
      <c r="L51" s="78"/>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row>
    <row r="52" spans="7:80" x14ac:dyDescent="0.25">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row>
    <row r="53" spans="7:80" x14ac:dyDescent="0.25">
      <c r="G53" s="78"/>
      <c r="H53" s="78"/>
      <c r="I53" s="78"/>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row>
    <row r="54" spans="7:80" x14ac:dyDescent="0.25">
      <c r="G54" s="78"/>
      <c r="H54" s="78"/>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row>
    <row r="55" spans="7:80" x14ac:dyDescent="0.25">
      <c r="G55" s="78"/>
      <c r="H55" s="78"/>
      <c r="I55" s="78"/>
      <c r="J55" s="78"/>
      <c r="K55" s="78"/>
      <c r="L55" s="78"/>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row>
    <row r="56" spans="7:80" x14ac:dyDescent="0.25">
      <c r="G56" s="78"/>
      <c r="H56" s="78"/>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row>
    <row r="57" spans="7:80" x14ac:dyDescent="0.25">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row>
    <row r="58" spans="7:80" x14ac:dyDescent="0.25">
      <c r="G58" s="78"/>
      <c r="H58" s="78"/>
      <c r="I58" s="78"/>
      <c r="J58" s="78"/>
      <c r="K58" s="78"/>
      <c r="L58" s="78"/>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row>
    <row r="59" spans="7:80" x14ac:dyDescent="0.25">
      <c r="G59" s="78"/>
      <c r="H59" s="78"/>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row>
    <row r="60" spans="7:80" x14ac:dyDescent="0.25">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row>
    <row r="61" spans="7:80" x14ac:dyDescent="0.25">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row>
    <row r="62" spans="7:80" x14ac:dyDescent="0.25">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row>
    <row r="63" spans="7:80" x14ac:dyDescent="0.25">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row>
    <row r="64" spans="7:80" x14ac:dyDescent="0.25">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row>
    <row r="65" spans="7:80" x14ac:dyDescent="0.25">
      <c r="G65" s="78"/>
      <c r="H65" s="78"/>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row>
    <row r="66" spans="7:80" x14ac:dyDescent="0.25">
      <c r="G66" s="78"/>
      <c r="H66" s="78"/>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row>
    <row r="67" spans="7:80" x14ac:dyDescent="0.25">
      <c r="G67" s="78"/>
      <c r="H67" s="78"/>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row>
    <row r="68" spans="7:80" x14ac:dyDescent="0.25">
      <c r="G68" s="78"/>
      <c r="H68" s="78"/>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row>
    <row r="69" spans="7:80" x14ac:dyDescent="0.25">
      <c r="G69" s="78"/>
      <c r="H69" s="78"/>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row>
    <row r="70" spans="7:80" x14ac:dyDescent="0.25">
      <c r="G70" s="78"/>
      <c r="H70" s="78"/>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row>
    <row r="71" spans="7:80" x14ac:dyDescent="0.25">
      <c r="G71" s="78"/>
      <c r="H71" s="78"/>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row>
    <row r="72" spans="7:80" x14ac:dyDescent="0.25">
      <c r="G72" s="78"/>
      <c r="H72" s="78"/>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row>
    <row r="73" spans="7:80" x14ac:dyDescent="0.25">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row>
    <row r="74" spans="7:80" x14ac:dyDescent="0.25">
      <c r="G74" s="78"/>
      <c r="H74" s="78"/>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row>
    <row r="75" spans="7:80" x14ac:dyDescent="0.25">
      <c r="G75" s="78"/>
      <c r="H75" s="78"/>
      <c r="I75" s="78"/>
      <c r="J75" s="78"/>
      <c r="K75" s="78"/>
      <c r="L75" s="78"/>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row>
    <row r="76" spans="7:80" x14ac:dyDescent="0.25">
      <c r="G76" s="78"/>
      <c r="H76" s="78"/>
      <c r="I76" s="78"/>
      <c r="J76" s="78"/>
      <c r="K76" s="78"/>
      <c r="L76" s="78"/>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row>
    <row r="77" spans="7:80" x14ac:dyDescent="0.25">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row>
    <row r="78" spans="7:80" x14ac:dyDescent="0.25">
      <c r="G78" s="78"/>
      <c r="H78" s="78"/>
      <c r="I78" s="78"/>
      <c r="J78" s="78"/>
      <c r="K78" s="78"/>
      <c r="L78" s="78"/>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row>
    <row r="79" spans="7:80" x14ac:dyDescent="0.25">
      <c r="G79" s="78"/>
      <c r="H79" s="78"/>
      <c r="I79" s="78"/>
      <c r="J79" s="78"/>
      <c r="K79" s="78"/>
      <c r="L79" s="78"/>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row>
    <row r="80" spans="7:80" x14ac:dyDescent="0.25">
      <c r="G80" s="78"/>
      <c r="H80" s="78"/>
      <c r="I80" s="78"/>
      <c r="J80" s="78"/>
      <c r="K80" s="78"/>
      <c r="L80" s="78"/>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row>
    <row r="81" spans="7:80" x14ac:dyDescent="0.25">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row>
    <row r="82" spans="7:80" x14ac:dyDescent="0.25">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row>
    <row r="83" spans="7:80" x14ac:dyDescent="0.25">
      <c r="G83" s="78"/>
      <c r="H83" s="78"/>
      <c r="I83" s="78"/>
      <c r="J83" s="78"/>
      <c r="K83" s="78"/>
      <c r="L83" s="78"/>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row>
    <row r="84" spans="7:80" x14ac:dyDescent="0.25">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row>
    <row r="85" spans="7:80" x14ac:dyDescent="0.25">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row>
    <row r="86" spans="7:80" x14ac:dyDescent="0.25">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row>
    <row r="87" spans="7:80" x14ac:dyDescent="0.25">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row>
    <row r="88" spans="7:80" x14ac:dyDescent="0.25">
      <c r="G88" s="78"/>
      <c r="H88" s="78"/>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row>
    <row r="89" spans="7:80" x14ac:dyDescent="0.25">
      <c r="G89" s="78"/>
      <c r="H89" s="78"/>
      <c r="I89" s="78"/>
      <c r="J89" s="78"/>
      <c r="K89" s="78"/>
      <c r="L89" s="78"/>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row>
    <row r="90" spans="7:80" x14ac:dyDescent="0.25">
      <c r="G90" s="78"/>
      <c r="H90" s="78"/>
      <c r="I90" s="78"/>
      <c r="J90" s="78"/>
      <c r="K90" s="78"/>
      <c r="L90" s="78"/>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row>
    <row r="91" spans="7:80" x14ac:dyDescent="0.25">
      <c r="G91" s="78"/>
      <c r="H91" s="78"/>
      <c r="I91" s="78"/>
      <c r="J91" s="78"/>
      <c r="K91" s="78"/>
      <c r="L91" s="78"/>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row>
    <row r="92" spans="7:80" x14ac:dyDescent="0.25">
      <c r="G92" s="78"/>
      <c r="H92" s="78"/>
      <c r="I92" s="78"/>
      <c r="J92" s="78"/>
      <c r="K92" s="78"/>
      <c r="L92" s="78"/>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row>
    <row r="93" spans="7:80" x14ac:dyDescent="0.25">
      <c r="G93" s="78"/>
      <c r="H93" s="78"/>
      <c r="I93" s="78"/>
      <c r="J93" s="78"/>
      <c r="K93" s="78"/>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row>
    <row r="94" spans="7:80" x14ac:dyDescent="0.25">
      <c r="G94" s="78"/>
      <c r="H94" s="78"/>
      <c r="I94" s="78"/>
      <c r="J94" s="78"/>
      <c r="K94" s="78"/>
      <c r="L94" s="78"/>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row>
    <row r="95" spans="7:80" x14ac:dyDescent="0.25">
      <c r="G95" s="78"/>
      <c r="H95" s="78"/>
      <c r="I95" s="78"/>
      <c r="J95" s="78"/>
      <c r="K95" s="78"/>
      <c r="L95" s="78"/>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row>
    <row r="96" spans="7:80" x14ac:dyDescent="0.25">
      <c r="G96" s="78"/>
      <c r="H96" s="78"/>
      <c r="I96" s="78"/>
      <c r="J96" s="78"/>
      <c r="K96" s="78"/>
      <c r="L96" s="78"/>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row>
    <row r="97" spans="7:80" x14ac:dyDescent="0.25">
      <c r="G97" s="78"/>
      <c r="H97" s="78"/>
      <c r="I97" s="78"/>
      <c r="J97" s="78"/>
      <c r="K97" s="78"/>
      <c r="L97" s="78"/>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row>
    <row r="98" spans="7:80" x14ac:dyDescent="0.25">
      <c r="G98" s="78"/>
      <c r="H98" s="78"/>
      <c r="I98" s="78"/>
      <c r="J98" s="78"/>
      <c r="K98" s="78"/>
      <c r="L98" s="78"/>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row>
    <row r="99" spans="7:80" x14ac:dyDescent="0.25">
      <c r="G99" s="78"/>
      <c r="H99" s="78"/>
      <c r="I99" s="78"/>
      <c r="J99" s="78"/>
      <c r="K99" s="78"/>
      <c r="L99" s="78"/>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row>
    <row r="100" spans="7:80" x14ac:dyDescent="0.25">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row>
    <row r="101" spans="7:80" x14ac:dyDescent="0.25">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row>
    <row r="102" spans="7:80" x14ac:dyDescent="0.25">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row>
    <row r="103" spans="7:80" x14ac:dyDescent="0.25">
      <c r="G103" s="78"/>
      <c r="H103" s="78"/>
      <c r="I103" s="78"/>
      <c r="J103" s="78"/>
      <c r="K103" s="78"/>
      <c r="L103" s="78"/>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row>
    <row r="104" spans="7:80" x14ac:dyDescent="0.25">
      <c r="G104" s="78"/>
      <c r="H104" s="78"/>
      <c r="I104" s="78"/>
      <c r="J104" s="78"/>
      <c r="K104" s="78"/>
      <c r="L104" s="78"/>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row>
    <row r="105" spans="7:80" x14ac:dyDescent="0.25">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row>
    <row r="106" spans="7:80" x14ac:dyDescent="0.25">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row>
    <row r="107" spans="7:80" x14ac:dyDescent="0.25">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row>
    <row r="108" spans="7:80" x14ac:dyDescent="0.25">
      <c r="G108" s="78"/>
      <c r="H108" s="78"/>
      <c r="I108" s="78"/>
      <c r="J108" s="78"/>
      <c r="K108" s="78"/>
      <c r="L108" s="78"/>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row>
    <row r="109" spans="7:80" x14ac:dyDescent="0.25">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row>
    <row r="110" spans="7:80" x14ac:dyDescent="0.25">
      <c r="G110" s="78"/>
      <c r="H110" s="78"/>
      <c r="I110" s="78"/>
      <c r="J110" s="78"/>
      <c r="K110" s="78"/>
      <c r="L110" s="78"/>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row>
    <row r="111" spans="7:80" x14ac:dyDescent="0.25">
      <c r="G111" s="78"/>
      <c r="H111" s="78"/>
      <c r="I111" s="78"/>
      <c r="J111" s="78"/>
      <c r="K111" s="78"/>
      <c r="L111" s="78"/>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row>
    <row r="112" spans="7:80" x14ac:dyDescent="0.25">
      <c r="G112" s="78"/>
      <c r="H112" s="78"/>
      <c r="I112" s="78"/>
      <c r="J112" s="78"/>
      <c r="K112" s="78"/>
      <c r="L112" s="78"/>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row>
    <row r="113" spans="7:80" x14ac:dyDescent="0.25">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row>
    <row r="114" spans="7:80" x14ac:dyDescent="0.25">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row>
    <row r="115" spans="7:80" x14ac:dyDescent="0.25">
      <c r="G115" s="78"/>
      <c r="H115" s="78"/>
      <c r="I115" s="78"/>
      <c r="J115" s="78"/>
      <c r="K115" s="78"/>
      <c r="L115" s="78"/>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row>
    <row r="116" spans="7:80" x14ac:dyDescent="0.25">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row>
    <row r="117" spans="7:80" x14ac:dyDescent="0.25">
      <c r="G117" s="78"/>
      <c r="H117" s="78"/>
      <c r="I117" s="78"/>
      <c r="J117" s="78"/>
      <c r="K117" s="78"/>
      <c r="L117" s="78"/>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row>
    <row r="118" spans="7:80" x14ac:dyDescent="0.25">
      <c r="G118" s="78"/>
      <c r="H118" s="78"/>
      <c r="I118" s="78"/>
      <c r="J118" s="78"/>
      <c r="K118" s="78"/>
      <c r="L118" s="78"/>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row>
    <row r="119" spans="7:80" x14ac:dyDescent="0.25">
      <c r="G119" s="78"/>
      <c r="H119" s="78"/>
      <c r="I119" s="78"/>
      <c r="J119" s="78"/>
      <c r="K119" s="78"/>
      <c r="L119" s="78"/>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row>
    <row r="120" spans="7:80" x14ac:dyDescent="0.25">
      <c r="G120" s="78"/>
      <c r="H120" s="78"/>
      <c r="I120" s="78"/>
      <c r="J120" s="78"/>
      <c r="K120" s="78"/>
      <c r="L120" s="78"/>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row>
    <row r="121" spans="7:80" x14ac:dyDescent="0.25">
      <c r="G121" s="78"/>
      <c r="H121" s="78"/>
      <c r="I121" s="78"/>
      <c r="J121" s="78"/>
      <c r="K121" s="78"/>
      <c r="L121" s="78"/>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row>
    <row r="122" spans="7:80" x14ac:dyDescent="0.25">
      <c r="G122" s="78"/>
      <c r="H122" s="78"/>
      <c r="I122" s="78"/>
      <c r="J122" s="78"/>
      <c r="K122" s="78"/>
      <c r="L122" s="78"/>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row>
    <row r="123" spans="7:80" x14ac:dyDescent="0.25">
      <c r="G123" s="78"/>
      <c r="H123" s="78"/>
      <c r="I123" s="78"/>
      <c r="J123" s="78"/>
      <c r="K123" s="78"/>
      <c r="L123" s="78"/>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row>
    <row r="124" spans="7:80" x14ac:dyDescent="0.25">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row>
    <row r="125" spans="7:80" x14ac:dyDescent="0.25">
      <c r="G125" s="78"/>
      <c r="H125" s="78"/>
      <c r="I125" s="78"/>
      <c r="J125" s="78"/>
      <c r="K125" s="78"/>
      <c r="L125" s="78"/>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row>
    <row r="126" spans="7:80" x14ac:dyDescent="0.25">
      <c r="G126" s="78"/>
      <c r="H126" s="78"/>
      <c r="I126" s="78"/>
      <c r="J126" s="78"/>
      <c r="K126" s="78"/>
      <c r="L126" s="78"/>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row>
    <row r="127" spans="7:80" x14ac:dyDescent="0.25">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row>
    <row r="128" spans="7:80" x14ac:dyDescent="0.25">
      <c r="G128" s="78"/>
      <c r="H128" s="78"/>
      <c r="I128" s="78"/>
      <c r="J128" s="78"/>
      <c r="K128" s="78"/>
      <c r="L128" s="78"/>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row>
    <row r="129" spans="7:80" x14ac:dyDescent="0.25">
      <c r="G129" s="78"/>
      <c r="H129" s="78"/>
      <c r="I129" s="78"/>
      <c r="J129" s="78"/>
      <c r="K129" s="78"/>
      <c r="L129" s="78"/>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row>
    <row r="130" spans="7:80" x14ac:dyDescent="0.25">
      <c r="G130" s="78"/>
      <c r="H130" s="78"/>
      <c r="I130" s="78"/>
      <c r="J130" s="78"/>
      <c r="K130" s="78"/>
      <c r="L130" s="78"/>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row>
    <row r="131" spans="7:80" x14ac:dyDescent="0.25">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row>
    <row r="132" spans="7:80" x14ac:dyDescent="0.25">
      <c r="G132" s="78"/>
      <c r="H132" s="78"/>
      <c r="I132" s="78"/>
      <c r="J132" s="78"/>
      <c r="K132" s="78"/>
      <c r="L132" s="78"/>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row>
    <row r="133" spans="7:80" x14ac:dyDescent="0.25">
      <c r="G133" s="78"/>
      <c r="H133" s="78"/>
      <c r="I133" s="78"/>
      <c r="J133" s="78"/>
      <c r="K133" s="78"/>
      <c r="L133" s="78"/>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row>
    <row r="134" spans="7:80" x14ac:dyDescent="0.25">
      <c r="G134" s="78"/>
      <c r="H134" s="78"/>
      <c r="I134" s="78"/>
      <c r="J134" s="78"/>
      <c r="K134" s="78"/>
      <c r="L134" s="78"/>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row>
    <row r="135" spans="7:80" x14ac:dyDescent="0.25">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row>
    <row r="136" spans="7:80" x14ac:dyDescent="0.25">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row>
    <row r="137" spans="7:80" x14ac:dyDescent="0.25">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row>
    <row r="138" spans="7:80" x14ac:dyDescent="0.25">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row>
    <row r="139" spans="7:80" x14ac:dyDescent="0.25">
      <c r="G139" s="78"/>
      <c r="H139" s="78"/>
      <c r="I139" s="78"/>
      <c r="J139" s="78"/>
      <c r="K139" s="78"/>
      <c r="L139" s="78"/>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row>
    <row r="140" spans="7:80" x14ac:dyDescent="0.25">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row>
    <row r="141" spans="7:80" x14ac:dyDescent="0.25">
      <c r="G141" s="78"/>
      <c r="H141" s="78"/>
      <c r="I141" s="78"/>
      <c r="J141" s="78"/>
      <c r="K141" s="78"/>
      <c r="L141" s="78"/>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row>
    <row r="142" spans="7:80" x14ac:dyDescent="0.25">
      <c r="G142" s="78"/>
      <c r="H142" s="78"/>
      <c r="I142" s="78"/>
      <c r="J142" s="78"/>
      <c r="K142" s="78"/>
      <c r="L142" s="78"/>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row>
    <row r="143" spans="7:80" x14ac:dyDescent="0.25">
      <c r="G143" s="78"/>
      <c r="H143" s="78"/>
      <c r="I143" s="78"/>
      <c r="J143" s="78"/>
      <c r="K143" s="78"/>
      <c r="L143" s="78"/>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row>
    <row r="144" spans="7:80" x14ac:dyDescent="0.25">
      <c r="G144" s="78"/>
      <c r="H144" s="78"/>
      <c r="I144" s="78"/>
      <c r="J144" s="78"/>
      <c r="K144" s="78"/>
      <c r="L144" s="78"/>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row>
    <row r="145" spans="7:80" x14ac:dyDescent="0.25">
      <c r="G145" s="78"/>
      <c r="H145" s="78"/>
      <c r="I145" s="78"/>
      <c r="J145" s="78"/>
      <c r="K145" s="78"/>
      <c r="L145" s="78"/>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row>
    <row r="146" spans="7:80" x14ac:dyDescent="0.25">
      <c r="G146" s="78"/>
      <c r="H146" s="78"/>
      <c r="I146" s="78"/>
      <c r="J146" s="78"/>
      <c r="K146" s="78"/>
      <c r="L146" s="78"/>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row>
    <row r="147" spans="7:80" x14ac:dyDescent="0.25">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row>
    <row r="148" spans="7:80" x14ac:dyDescent="0.25">
      <c r="G148" s="78"/>
      <c r="H148" s="78"/>
      <c r="I148" s="78"/>
      <c r="J148" s="78"/>
      <c r="K148" s="78"/>
      <c r="L148" s="78"/>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row>
    <row r="149" spans="7:80" x14ac:dyDescent="0.25">
      <c r="G149" s="78"/>
      <c r="H149" s="78"/>
      <c r="I149" s="78"/>
      <c r="J149" s="78"/>
      <c r="K149" s="78"/>
      <c r="L149" s="78"/>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row>
    <row r="150" spans="7:80" x14ac:dyDescent="0.25">
      <c r="G150" s="78"/>
      <c r="H150" s="78"/>
      <c r="I150" s="78"/>
      <c r="J150" s="78"/>
      <c r="K150" s="78"/>
      <c r="L150" s="78"/>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row>
    <row r="151" spans="7:80" x14ac:dyDescent="0.25">
      <c r="G151" s="78"/>
      <c r="H151" s="78"/>
      <c r="I151" s="78"/>
      <c r="J151" s="78"/>
      <c r="K151" s="78"/>
      <c r="L151" s="78"/>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row>
    <row r="152" spans="7:80" x14ac:dyDescent="0.25">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row>
    <row r="153" spans="7:80" x14ac:dyDescent="0.25">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row>
    <row r="154" spans="7:80" x14ac:dyDescent="0.25">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row>
    <row r="155" spans="7:80" x14ac:dyDescent="0.25">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row>
    <row r="156" spans="7:80" x14ac:dyDescent="0.25">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row>
    <row r="157" spans="7:80" x14ac:dyDescent="0.25">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row>
    <row r="158" spans="7:80" x14ac:dyDescent="0.25">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row>
    <row r="159" spans="7:80" x14ac:dyDescent="0.25">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row>
    <row r="160" spans="7:80" x14ac:dyDescent="0.25">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row>
    <row r="161" spans="7:80" x14ac:dyDescent="0.25">
      <c r="G161" s="78"/>
      <c r="H161" s="78"/>
      <c r="I161" s="78"/>
      <c r="J161" s="78"/>
      <c r="K161" s="78"/>
      <c r="L161" s="78"/>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row>
    <row r="162" spans="7:80" x14ac:dyDescent="0.25">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row>
    <row r="163" spans="7:80" x14ac:dyDescent="0.25">
      <c r="G163" s="78"/>
      <c r="H163" s="78"/>
      <c r="I163" s="78"/>
      <c r="J163" s="78"/>
      <c r="K163" s="78"/>
      <c r="L163" s="78"/>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row>
    <row r="164" spans="7:80" x14ac:dyDescent="0.25">
      <c r="G164" s="78"/>
      <c r="H164" s="78"/>
      <c r="I164" s="78"/>
      <c r="J164" s="78"/>
      <c r="K164" s="78"/>
      <c r="L164" s="78"/>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row>
    <row r="165" spans="7:80" x14ac:dyDescent="0.25">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row>
    <row r="166" spans="7:80" x14ac:dyDescent="0.25">
      <c r="G166" s="78"/>
      <c r="H166" s="78"/>
      <c r="I166" s="78"/>
      <c r="J166" s="78"/>
      <c r="K166" s="78"/>
      <c r="L166" s="78"/>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row>
    <row r="167" spans="7:80" x14ac:dyDescent="0.25">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row>
    <row r="168" spans="7:80" x14ac:dyDescent="0.25">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row>
    <row r="169" spans="7:80" x14ac:dyDescent="0.25">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row>
    <row r="170" spans="7:80" x14ac:dyDescent="0.25">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row>
    <row r="171" spans="7:80" x14ac:dyDescent="0.25">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row>
    <row r="172" spans="7:80" x14ac:dyDescent="0.25">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row>
    <row r="173" spans="7:80" x14ac:dyDescent="0.25">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row>
    <row r="174" spans="7:80" x14ac:dyDescent="0.25">
      <c r="G174" s="78"/>
      <c r="H174" s="78"/>
      <c r="I174" s="78"/>
      <c r="J174" s="78"/>
      <c r="K174" s="78"/>
      <c r="L174" s="78"/>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row>
    <row r="175" spans="7:80" x14ac:dyDescent="0.25">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row>
    <row r="176" spans="7:80" x14ac:dyDescent="0.25">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row>
    <row r="177" spans="7:80" x14ac:dyDescent="0.25">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row>
    <row r="178" spans="7:80" x14ac:dyDescent="0.25">
      <c r="G178" s="78"/>
      <c r="H178" s="78"/>
      <c r="I178" s="78"/>
      <c r="J178" s="78"/>
      <c r="K178" s="78"/>
      <c r="L178" s="78"/>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row>
    <row r="179" spans="7:80" x14ac:dyDescent="0.25">
      <c r="G179" s="78"/>
      <c r="H179" s="78"/>
      <c r="I179" s="78"/>
      <c r="J179" s="78"/>
      <c r="K179" s="78"/>
      <c r="L179" s="78"/>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row>
    <row r="180" spans="7:80" x14ac:dyDescent="0.25">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row>
    <row r="181" spans="7:80" x14ac:dyDescent="0.25">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row>
    <row r="182" spans="7:80" x14ac:dyDescent="0.25">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row>
    <row r="183" spans="7:80" x14ac:dyDescent="0.25">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row>
    <row r="184" spans="7:80" x14ac:dyDescent="0.25">
      <c r="G184" s="78"/>
      <c r="H184" s="78"/>
      <c r="I184" s="78"/>
      <c r="J184" s="78"/>
      <c r="K184" s="78"/>
      <c r="L184" s="78"/>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row>
    <row r="185" spans="7:80" x14ac:dyDescent="0.25">
      <c r="G185" s="78"/>
      <c r="H185" s="78"/>
      <c r="I185" s="78"/>
      <c r="J185" s="78"/>
      <c r="K185" s="78"/>
      <c r="L185" s="78"/>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row>
    <row r="186" spans="7:80" x14ac:dyDescent="0.25">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row>
    <row r="187" spans="7:80" x14ac:dyDescent="0.25">
      <c r="G187" s="78"/>
      <c r="H187" s="78"/>
      <c r="I187" s="78"/>
      <c r="J187" s="78"/>
      <c r="K187" s="78"/>
      <c r="L187" s="78"/>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row>
    <row r="188" spans="7:80" x14ac:dyDescent="0.25">
      <c r="G188" s="78"/>
      <c r="H188" s="78"/>
      <c r="I188" s="78"/>
      <c r="J188" s="78"/>
      <c r="K188" s="78"/>
      <c r="L188" s="78"/>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row>
    <row r="189" spans="7:80" x14ac:dyDescent="0.25">
      <c r="G189" s="78"/>
      <c r="H189" s="78"/>
      <c r="I189" s="78"/>
      <c r="J189" s="78"/>
      <c r="K189" s="78"/>
      <c r="L189" s="78"/>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row>
    <row r="190" spans="7:80" x14ac:dyDescent="0.25">
      <c r="G190" s="78"/>
      <c r="H190" s="78"/>
      <c r="I190" s="78"/>
      <c r="J190" s="78"/>
      <c r="K190" s="78"/>
      <c r="L190" s="78"/>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row>
    <row r="191" spans="7:80" x14ac:dyDescent="0.25">
      <c r="G191" s="78"/>
      <c r="H191" s="78"/>
      <c r="I191" s="78"/>
      <c r="J191" s="78"/>
      <c r="K191" s="78"/>
      <c r="L191" s="78"/>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row>
    <row r="192" spans="7:80" x14ac:dyDescent="0.25">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row>
    <row r="193" spans="7:80" x14ac:dyDescent="0.25">
      <c r="G193" s="78"/>
      <c r="H193" s="78"/>
      <c r="I193" s="78"/>
      <c r="J193" s="78"/>
      <c r="K193" s="78"/>
      <c r="L193" s="78"/>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row>
    <row r="194" spans="7:80" x14ac:dyDescent="0.25">
      <c r="G194" s="78"/>
      <c r="H194" s="78"/>
      <c r="I194" s="78"/>
      <c r="J194" s="78"/>
      <c r="K194" s="78"/>
      <c r="L194" s="78"/>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row>
    <row r="195" spans="7:80" x14ac:dyDescent="0.25">
      <c r="G195" s="78"/>
      <c r="H195" s="78"/>
      <c r="I195" s="78"/>
      <c r="J195" s="78"/>
      <c r="K195" s="78"/>
      <c r="L195" s="78"/>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row>
    <row r="196" spans="7:80" x14ac:dyDescent="0.25">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row>
    <row r="197" spans="7:80" x14ac:dyDescent="0.25">
      <c r="G197" s="78"/>
      <c r="H197" s="78"/>
      <c r="I197" s="78"/>
      <c r="J197" s="78"/>
      <c r="K197" s="78"/>
      <c r="L197" s="78"/>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row>
    <row r="198" spans="7:80" x14ac:dyDescent="0.25">
      <c r="G198" s="78"/>
      <c r="H198" s="78"/>
      <c r="I198" s="78"/>
      <c r="J198" s="78"/>
      <c r="K198" s="78"/>
      <c r="L198" s="78"/>
      <c r="M198" s="78"/>
      <c r="N198" s="78"/>
      <c r="O198" s="78"/>
      <c r="P198" s="78"/>
      <c r="Q198" s="78"/>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row>
    <row r="199" spans="7:80" x14ac:dyDescent="0.25">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row>
    <row r="200" spans="7:80" x14ac:dyDescent="0.25">
      <c r="G200" s="78"/>
      <c r="H200" s="78"/>
      <c r="I200" s="78"/>
      <c r="J200" s="78"/>
      <c r="K200" s="78"/>
      <c r="L200" s="78"/>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row>
    <row r="201" spans="7:80" x14ac:dyDescent="0.25">
      <c r="G201" s="78"/>
      <c r="H201" s="78"/>
      <c r="I201" s="78"/>
      <c r="J201" s="78"/>
      <c r="K201" s="78"/>
      <c r="L201" s="78"/>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row>
    <row r="202" spans="7:80" x14ac:dyDescent="0.25">
      <c r="G202" s="78"/>
      <c r="H202" s="78"/>
      <c r="I202" s="78"/>
      <c r="J202" s="78"/>
      <c r="K202" s="78"/>
      <c r="L202" s="78"/>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row>
    <row r="203" spans="7:80" x14ac:dyDescent="0.25">
      <c r="G203" s="78"/>
      <c r="H203" s="78"/>
      <c r="I203" s="78"/>
      <c r="J203" s="78"/>
      <c r="K203" s="78"/>
      <c r="L203" s="78"/>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row>
    <row r="204" spans="7:80" x14ac:dyDescent="0.25">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row>
    <row r="205" spans="7:80" x14ac:dyDescent="0.25">
      <c r="G205" s="78"/>
      <c r="H205" s="78"/>
      <c r="I205" s="78"/>
      <c r="J205" s="78"/>
      <c r="K205" s="78"/>
      <c r="L205" s="78"/>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row>
    <row r="206" spans="7:80" x14ac:dyDescent="0.25">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row>
    <row r="207" spans="7:80" x14ac:dyDescent="0.25">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row>
    <row r="208" spans="7:80" x14ac:dyDescent="0.25">
      <c r="G208" s="78"/>
      <c r="H208" s="78"/>
      <c r="I208" s="78"/>
      <c r="J208" s="78"/>
      <c r="K208" s="78"/>
      <c r="L208" s="78"/>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row>
    <row r="209" spans="7:80" x14ac:dyDescent="0.25">
      <c r="G209" s="78"/>
      <c r="H209" s="78"/>
      <c r="I209" s="78"/>
      <c r="J209" s="78"/>
      <c r="K209" s="78"/>
      <c r="L209" s="78"/>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row>
    <row r="210" spans="7:80" x14ac:dyDescent="0.25">
      <c r="G210" s="78"/>
      <c r="H210" s="78"/>
      <c r="I210" s="78"/>
      <c r="J210" s="78"/>
      <c r="K210" s="78"/>
      <c r="L210" s="78"/>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row>
    <row r="211" spans="7:80" x14ac:dyDescent="0.25">
      <c r="G211" s="78"/>
      <c r="H211" s="78"/>
      <c r="I211" s="78"/>
      <c r="J211" s="78"/>
      <c r="K211" s="78"/>
      <c r="L211" s="78"/>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row>
    <row r="212" spans="7:80" x14ac:dyDescent="0.25">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row>
    <row r="213" spans="7:80" x14ac:dyDescent="0.25">
      <c r="G213" s="78"/>
      <c r="H213" s="78"/>
      <c r="I213" s="78"/>
      <c r="J213" s="78"/>
      <c r="K213" s="78"/>
      <c r="L213" s="78"/>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row>
    <row r="214" spans="7:80" x14ac:dyDescent="0.25">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row>
    <row r="215" spans="7:80" x14ac:dyDescent="0.25">
      <c r="G215" s="78"/>
      <c r="H215" s="78"/>
      <c r="I215" s="78"/>
      <c r="J215" s="78"/>
      <c r="K215" s="78"/>
      <c r="L215" s="78"/>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row>
    <row r="216" spans="7:80" x14ac:dyDescent="0.25">
      <c r="G216" s="78"/>
      <c r="H216" s="78"/>
      <c r="I216" s="78"/>
      <c r="J216" s="78"/>
      <c r="K216" s="78"/>
      <c r="L216" s="78"/>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row>
    <row r="217" spans="7:80" x14ac:dyDescent="0.25">
      <c r="G217" s="78"/>
      <c r="H217" s="78"/>
      <c r="I217" s="78"/>
      <c r="J217" s="78"/>
      <c r="K217" s="78"/>
      <c r="L217" s="78"/>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row>
    <row r="218" spans="7:80" x14ac:dyDescent="0.25">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row>
    <row r="219" spans="7:80" x14ac:dyDescent="0.25">
      <c r="G219" s="78"/>
      <c r="H219" s="78"/>
      <c r="I219" s="78"/>
      <c r="J219" s="78"/>
      <c r="K219" s="78"/>
      <c r="L219" s="78"/>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row>
    <row r="220" spans="7:80" x14ac:dyDescent="0.25">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row>
    <row r="221" spans="7:80" x14ac:dyDescent="0.25">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row>
    <row r="222" spans="7:80" x14ac:dyDescent="0.25">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row>
    <row r="223" spans="7:80" x14ac:dyDescent="0.25">
      <c r="G223" s="78"/>
      <c r="H223" s="78"/>
      <c r="I223" s="78"/>
      <c r="J223" s="78"/>
      <c r="K223" s="78"/>
      <c r="L223" s="78"/>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row>
    <row r="224" spans="7:80" x14ac:dyDescent="0.25">
      <c r="G224" s="78"/>
      <c r="H224" s="78"/>
      <c r="I224" s="78"/>
      <c r="J224" s="78"/>
      <c r="K224" s="78"/>
      <c r="L224" s="78"/>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row>
    <row r="225" spans="7:80" x14ac:dyDescent="0.25">
      <c r="G225" s="78"/>
      <c r="H225" s="78"/>
      <c r="I225" s="78"/>
      <c r="J225" s="78"/>
      <c r="K225" s="78"/>
      <c r="L225" s="78"/>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row>
    <row r="226" spans="7:80" x14ac:dyDescent="0.25">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row>
    <row r="227" spans="7:80" x14ac:dyDescent="0.25">
      <c r="G227" s="78"/>
      <c r="H227" s="78"/>
      <c r="I227" s="78"/>
      <c r="J227" s="78"/>
      <c r="K227" s="78"/>
      <c r="L227" s="78"/>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row>
    <row r="228" spans="7:80" x14ac:dyDescent="0.25">
      <c r="G228" s="78"/>
      <c r="H228" s="78"/>
      <c r="I228" s="78"/>
      <c r="J228" s="78"/>
      <c r="K228" s="78"/>
      <c r="L228" s="78"/>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row>
    <row r="229" spans="7:80" x14ac:dyDescent="0.25">
      <c r="G229" s="78"/>
      <c r="H229" s="78"/>
      <c r="I229" s="78"/>
      <c r="J229" s="78"/>
      <c r="K229" s="78"/>
      <c r="L229" s="78"/>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row>
    <row r="230" spans="7:80" x14ac:dyDescent="0.25">
      <c r="G230" s="78"/>
      <c r="H230" s="78"/>
      <c r="I230" s="78"/>
      <c r="J230" s="78"/>
      <c r="K230" s="78"/>
      <c r="L230" s="78"/>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row>
    <row r="231" spans="7:80" x14ac:dyDescent="0.25">
      <c r="G231" s="78"/>
      <c r="H231" s="78"/>
      <c r="I231" s="78"/>
      <c r="J231" s="78"/>
      <c r="K231" s="78"/>
      <c r="L231" s="78"/>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row>
    <row r="232" spans="7:80" x14ac:dyDescent="0.25">
      <c r="G232" s="78"/>
      <c r="H232" s="78"/>
      <c r="I232" s="78"/>
      <c r="J232" s="78"/>
      <c r="K232" s="78"/>
      <c r="L232" s="78"/>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row>
    <row r="233" spans="7:80" x14ac:dyDescent="0.25">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row>
    <row r="234" spans="7:80" x14ac:dyDescent="0.25">
      <c r="G234" s="78"/>
      <c r="H234" s="78"/>
      <c r="I234" s="78"/>
      <c r="J234" s="78"/>
      <c r="K234" s="78"/>
      <c r="L234" s="78"/>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row>
    <row r="235" spans="7:80" x14ac:dyDescent="0.25">
      <c r="G235" s="78"/>
      <c r="H235" s="78"/>
      <c r="I235" s="78"/>
      <c r="J235" s="78"/>
      <c r="K235" s="78"/>
      <c r="L235" s="78"/>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row>
    <row r="236" spans="7:80" x14ac:dyDescent="0.25">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row>
    <row r="237" spans="7:80" x14ac:dyDescent="0.25">
      <c r="G237" s="78"/>
      <c r="H237" s="78"/>
      <c r="I237" s="78"/>
      <c r="J237" s="78"/>
      <c r="K237" s="78"/>
      <c r="L237" s="78"/>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row>
    <row r="238" spans="7:80" x14ac:dyDescent="0.25">
      <c r="G238" s="78"/>
      <c r="H238" s="78"/>
      <c r="I238" s="78"/>
      <c r="J238" s="78"/>
      <c r="K238" s="78"/>
      <c r="L238" s="78"/>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row>
    <row r="239" spans="7:80" x14ac:dyDescent="0.25">
      <c r="G239" s="78"/>
      <c r="H239" s="78"/>
      <c r="I239" s="78"/>
      <c r="J239" s="78"/>
      <c r="K239" s="78"/>
      <c r="L239" s="78"/>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row>
    <row r="240" spans="7:80" x14ac:dyDescent="0.25">
      <c r="G240" s="78"/>
      <c r="H240" s="78"/>
      <c r="I240" s="78"/>
      <c r="J240" s="78"/>
      <c r="K240" s="78"/>
      <c r="L240" s="78"/>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row>
    <row r="241" spans="7:80" x14ac:dyDescent="0.25">
      <c r="G241" s="78"/>
      <c r="H241" s="78"/>
      <c r="I241" s="78"/>
      <c r="J241" s="78"/>
      <c r="K241" s="78"/>
      <c r="L241" s="78"/>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row>
    <row r="242" spans="7:80" x14ac:dyDescent="0.25">
      <c r="G242" s="78"/>
      <c r="H242" s="78"/>
      <c r="I242" s="78"/>
      <c r="J242" s="78"/>
      <c r="K242" s="78"/>
      <c r="L242" s="78"/>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row>
    <row r="243" spans="7:80" x14ac:dyDescent="0.25">
      <c r="G243" s="78"/>
      <c r="H243" s="78"/>
      <c r="I243" s="78"/>
      <c r="J243" s="78"/>
      <c r="K243" s="78"/>
      <c r="L243" s="78"/>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row>
    <row r="244" spans="7:80" x14ac:dyDescent="0.25">
      <c r="G244" s="78"/>
      <c r="H244" s="78"/>
      <c r="I244" s="78"/>
      <c r="J244" s="78"/>
      <c r="K244" s="78"/>
      <c r="L244" s="78"/>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row>
    <row r="245" spans="7:80" x14ac:dyDescent="0.25">
      <c r="G245" s="78"/>
      <c r="H245" s="78"/>
      <c r="I245" s="78"/>
      <c r="J245" s="78"/>
      <c r="K245" s="78"/>
      <c r="L245" s="78"/>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row>
    <row r="246" spans="7:80" x14ac:dyDescent="0.25">
      <c r="G246" s="78"/>
      <c r="H246" s="78"/>
      <c r="I246" s="78"/>
      <c r="J246" s="78"/>
      <c r="K246" s="78"/>
      <c r="L246" s="78"/>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row>
    <row r="247" spans="7:80" x14ac:dyDescent="0.25">
      <c r="G247" s="78"/>
      <c r="H247" s="78"/>
      <c r="I247" s="78"/>
      <c r="J247" s="78"/>
      <c r="K247" s="78"/>
      <c r="L247" s="78"/>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row>
    <row r="248" spans="7:80" x14ac:dyDescent="0.25">
      <c r="G248" s="78"/>
      <c r="H248" s="78"/>
      <c r="I248" s="78"/>
      <c r="J248" s="78"/>
      <c r="K248" s="78"/>
      <c r="L248" s="78"/>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row>
    <row r="249" spans="7:80" x14ac:dyDescent="0.25">
      <c r="G249" s="78"/>
      <c r="H249" s="78"/>
      <c r="I249" s="78"/>
      <c r="J249" s="78"/>
      <c r="K249" s="78"/>
      <c r="L249" s="78"/>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row>
    <row r="250" spans="7:80" x14ac:dyDescent="0.25">
      <c r="G250" s="78"/>
      <c r="H250" s="78"/>
      <c r="I250" s="78"/>
      <c r="J250" s="78"/>
      <c r="K250" s="78"/>
      <c r="L250" s="78"/>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row>
    <row r="251" spans="7:80" x14ac:dyDescent="0.25">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row>
    <row r="252" spans="7:80" x14ac:dyDescent="0.25">
      <c r="G252" s="78"/>
      <c r="H252" s="78"/>
      <c r="I252" s="78"/>
      <c r="J252" s="78"/>
      <c r="K252" s="78"/>
      <c r="L252" s="78"/>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row>
    <row r="253" spans="7:80" x14ac:dyDescent="0.25">
      <c r="G253" s="78"/>
      <c r="H253" s="78"/>
      <c r="I253" s="78"/>
      <c r="J253" s="78"/>
      <c r="K253" s="78"/>
      <c r="L253" s="78"/>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row>
    <row r="254" spans="7:80" x14ac:dyDescent="0.25">
      <c r="G254" s="78"/>
      <c r="H254" s="78"/>
      <c r="I254" s="78"/>
      <c r="J254" s="78"/>
      <c r="K254" s="78"/>
      <c r="L254" s="78"/>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row>
    <row r="255" spans="7:80" x14ac:dyDescent="0.25">
      <c r="G255" s="78"/>
      <c r="H255" s="78"/>
      <c r="I255" s="78"/>
      <c r="J255" s="78"/>
      <c r="K255" s="78"/>
      <c r="L255" s="78"/>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row>
    <row r="256" spans="7:80" x14ac:dyDescent="0.25">
      <c r="G256" s="78"/>
      <c r="H256" s="78"/>
      <c r="I256" s="78"/>
      <c r="J256" s="78"/>
      <c r="K256" s="78"/>
      <c r="L256" s="78"/>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row>
    <row r="257" spans="7:80" x14ac:dyDescent="0.25">
      <c r="G257" s="78"/>
      <c r="H257" s="78"/>
      <c r="I257" s="78"/>
      <c r="J257" s="78"/>
      <c r="K257" s="78"/>
      <c r="L257" s="78"/>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row>
    <row r="258" spans="7:80" x14ac:dyDescent="0.25">
      <c r="G258" s="78"/>
      <c r="H258" s="78"/>
      <c r="I258" s="78"/>
      <c r="J258" s="78"/>
      <c r="K258" s="78"/>
      <c r="L258" s="78"/>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row>
    <row r="259" spans="7:80" x14ac:dyDescent="0.25">
      <c r="G259" s="78"/>
      <c r="H259" s="78"/>
      <c r="I259" s="78"/>
      <c r="J259" s="78"/>
      <c r="K259" s="78"/>
      <c r="L259" s="78"/>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row>
    <row r="260" spans="7:80" x14ac:dyDescent="0.25">
      <c r="G260" s="78"/>
      <c r="H260" s="78"/>
      <c r="I260" s="78"/>
      <c r="J260" s="78"/>
      <c r="K260" s="78"/>
      <c r="L260" s="78"/>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row>
    <row r="261" spans="7:80" x14ac:dyDescent="0.25">
      <c r="G261" s="78"/>
      <c r="H261" s="78"/>
      <c r="I261" s="78"/>
      <c r="J261" s="78"/>
      <c r="K261" s="78"/>
      <c r="L261" s="78"/>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row>
    <row r="262" spans="7:80" x14ac:dyDescent="0.25">
      <c r="G262" s="78"/>
      <c r="H262" s="78"/>
      <c r="I262" s="78"/>
      <c r="J262" s="78"/>
      <c r="K262" s="78"/>
      <c r="L262" s="78"/>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row>
    <row r="263" spans="7:80" x14ac:dyDescent="0.25">
      <c r="G263" s="78"/>
      <c r="H263" s="78"/>
      <c r="I263" s="78"/>
      <c r="J263" s="78"/>
      <c r="K263" s="78"/>
      <c r="L263" s="78"/>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row>
    <row r="264" spans="7:80" x14ac:dyDescent="0.25">
      <c r="G264" s="78"/>
      <c r="H264" s="78"/>
      <c r="I264" s="78"/>
      <c r="J264" s="78"/>
      <c r="K264" s="78"/>
      <c r="L264" s="78"/>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row>
    <row r="265" spans="7:80" x14ac:dyDescent="0.25">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row>
    <row r="266" spans="7:80" x14ac:dyDescent="0.25">
      <c r="G266" s="78"/>
      <c r="H266" s="78"/>
      <c r="I266" s="78"/>
      <c r="J266" s="78"/>
      <c r="K266" s="78"/>
      <c r="L266" s="78"/>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row>
    <row r="267" spans="7:80" x14ac:dyDescent="0.25">
      <c r="G267" s="78"/>
      <c r="H267" s="78"/>
      <c r="I267" s="78"/>
      <c r="J267" s="78"/>
      <c r="K267" s="78"/>
      <c r="L267" s="78"/>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row>
    <row r="268" spans="7:80" x14ac:dyDescent="0.25">
      <c r="G268" s="78"/>
      <c r="H268" s="78"/>
      <c r="I268" s="78"/>
      <c r="J268" s="78"/>
      <c r="K268" s="78"/>
      <c r="L268" s="78"/>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row>
    <row r="269" spans="7:80" x14ac:dyDescent="0.25">
      <c r="G269" s="78"/>
      <c r="H269" s="78"/>
      <c r="I269" s="78"/>
      <c r="J269" s="78"/>
      <c r="K269" s="78"/>
      <c r="L269" s="78"/>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row>
    <row r="270" spans="7:80" x14ac:dyDescent="0.25">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row>
    <row r="271" spans="7:80" x14ac:dyDescent="0.25">
      <c r="G271" s="78"/>
      <c r="H271" s="78"/>
      <c r="I271" s="78"/>
      <c r="J271" s="78"/>
      <c r="K271" s="78"/>
      <c r="L271" s="78"/>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row>
    <row r="272" spans="7:80" x14ac:dyDescent="0.25">
      <c r="G272" s="78"/>
      <c r="H272" s="78"/>
      <c r="I272" s="78"/>
      <c r="J272" s="78"/>
      <c r="K272" s="78"/>
      <c r="L272" s="78"/>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row>
    <row r="273" spans="7:80" x14ac:dyDescent="0.25">
      <c r="G273" s="78"/>
      <c r="H273" s="78"/>
      <c r="I273" s="78"/>
      <c r="J273" s="78"/>
      <c r="K273" s="78"/>
      <c r="L273" s="78"/>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row>
    <row r="274" spans="7:80" x14ac:dyDescent="0.25">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row>
    <row r="275" spans="7:80" x14ac:dyDescent="0.25">
      <c r="G275" s="78"/>
      <c r="H275" s="78"/>
      <c r="I275" s="78"/>
      <c r="J275" s="78"/>
      <c r="K275" s="78"/>
      <c r="L275" s="78"/>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row>
    <row r="276" spans="7:80" x14ac:dyDescent="0.25">
      <c r="G276" s="78"/>
      <c r="H276" s="78"/>
      <c r="I276" s="78"/>
      <c r="J276" s="78"/>
      <c r="K276" s="78"/>
      <c r="L276" s="78"/>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row>
    <row r="277" spans="7:80" x14ac:dyDescent="0.25">
      <c r="G277" s="78"/>
      <c r="H277" s="78"/>
      <c r="I277" s="78"/>
      <c r="J277" s="78"/>
      <c r="K277" s="78"/>
      <c r="L277" s="78"/>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row>
    <row r="278" spans="7:80" x14ac:dyDescent="0.25">
      <c r="G278" s="78"/>
      <c r="H278" s="78"/>
      <c r="I278" s="78"/>
      <c r="J278" s="78"/>
      <c r="K278" s="78"/>
      <c r="L278" s="78"/>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row>
    <row r="279" spans="7:80" x14ac:dyDescent="0.25">
      <c r="G279" s="78"/>
      <c r="H279" s="78"/>
      <c r="I279" s="78"/>
      <c r="J279" s="78"/>
      <c r="K279" s="78"/>
      <c r="L279" s="78"/>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row>
    <row r="280" spans="7:80" x14ac:dyDescent="0.25">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row>
    <row r="281" spans="7:80" x14ac:dyDescent="0.25">
      <c r="G281" s="78"/>
      <c r="H281" s="78"/>
      <c r="I281" s="78"/>
      <c r="J281" s="78"/>
      <c r="K281" s="78"/>
      <c r="L281" s="78"/>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row>
    <row r="282" spans="7:80" x14ac:dyDescent="0.25">
      <c r="G282" s="78"/>
      <c r="H282" s="78"/>
      <c r="I282" s="78"/>
      <c r="J282" s="78"/>
      <c r="K282" s="78"/>
      <c r="L282" s="78"/>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row>
    <row r="283" spans="7:80" x14ac:dyDescent="0.25">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row>
    <row r="284" spans="7:80" x14ac:dyDescent="0.25">
      <c r="G284" s="78"/>
      <c r="H284" s="78"/>
      <c r="I284" s="78"/>
      <c r="J284" s="78"/>
      <c r="K284" s="78"/>
      <c r="L284" s="78"/>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row>
    <row r="285" spans="7:80" x14ac:dyDescent="0.25">
      <c r="G285" s="78"/>
      <c r="H285" s="78"/>
      <c r="I285" s="78"/>
      <c r="J285" s="78"/>
      <c r="K285" s="78"/>
      <c r="L285" s="78"/>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row>
    <row r="286" spans="7:80" x14ac:dyDescent="0.25">
      <c r="G286" s="78"/>
      <c r="H286" s="78"/>
      <c r="I286" s="78"/>
      <c r="J286" s="78"/>
      <c r="K286" s="78"/>
      <c r="L286" s="78"/>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row>
    <row r="287" spans="7:80" x14ac:dyDescent="0.25">
      <c r="G287" s="78"/>
      <c r="H287" s="78"/>
      <c r="I287" s="78"/>
      <c r="J287" s="78"/>
      <c r="K287" s="78"/>
      <c r="L287" s="78"/>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row>
    <row r="288" spans="7:80" x14ac:dyDescent="0.25">
      <c r="G288" s="78"/>
      <c r="H288" s="78"/>
      <c r="I288" s="78"/>
      <c r="J288" s="78"/>
      <c r="K288" s="78"/>
      <c r="L288" s="78"/>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row>
    <row r="289" spans="7:80" x14ac:dyDescent="0.25">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row>
    <row r="290" spans="7:80" x14ac:dyDescent="0.25">
      <c r="G290" s="78"/>
      <c r="H290" s="78"/>
      <c r="I290" s="78"/>
      <c r="J290" s="78"/>
      <c r="K290" s="78"/>
      <c r="L290" s="78"/>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row>
    <row r="291" spans="7:80" x14ac:dyDescent="0.25">
      <c r="G291" s="78"/>
      <c r="H291" s="78"/>
      <c r="I291" s="78"/>
      <c r="J291" s="78"/>
      <c r="K291" s="78"/>
      <c r="L291" s="78"/>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row>
    <row r="292" spans="7:80" x14ac:dyDescent="0.25">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row>
    <row r="293" spans="7:80" x14ac:dyDescent="0.25">
      <c r="G293" s="78"/>
      <c r="H293" s="78"/>
      <c r="I293" s="78"/>
      <c r="J293" s="78"/>
      <c r="K293" s="78"/>
      <c r="L293" s="78"/>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row>
    <row r="294" spans="7:80" x14ac:dyDescent="0.25">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row>
    <row r="295" spans="7:80" x14ac:dyDescent="0.25">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row>
    <row r="296" spans="7:80" x14ac:dyDescent="0.25">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row>
    <row r="297" spans="7:80" x14ac:dyDescent="0.25">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row>
    <row r="298" spans="7:80" x14ac:dyDescent="0.25">
      <c r="G298" s="78"/>
      <c r="H298" s="78"/>
      <c r="I298" s="78"/>
      <c r="J298" s="78"/>
      <c r="K298" s="78"/>
      <c r="L298" s="78"/>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row>
    <row r="299" spans="7:80" x14ac:dyDescent="0.25">
      <c r="G299" s="78"/>
      <c r="H299" s="78"/>
      <c r="I299" s="78"/>
      <c r="J299" s="78"/>
      <c r="K299" s="78"/>
      <c r="L299" s="78"/>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row>
    <row r="300" spans="7:80" x14ac:dyDescent="0.25">
      <c r="G300" s="78"/>
      <c r="H300" s="78"/>
      <c r="I300" s="78"/>
      <c r="J300" s="78"/>
      <c r="K300" s="78"/>
      <c r="L300" s="78"/>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row>
    <row r="301" spans="7:80" x14ac:dyDescent="0.25">
      <c r="G301" s="78"/>
      <c r="H301" s="78"/>
      <c r="I301" s="78"/>
      <c r="J301" s="78"/>
      <c r="K301" s="78"/>
      <c r="L301" s="78"/>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row>
    <row r="302" spans="7:80" x14ac:dyDescent="0.25">
      <c r="G302" s="78"/>
      <c r="H302" s="78"/>
      <c r="I302" s="78"/>
      <c r="J302" s="78"/>
      <c r="K302" s="78"/>
      <c r="L302" s="78"/>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row>
    <row r="303" spans="7:80" x14ac:dyDescent="0.25">
      <c r="G303" s="78"/>
      <c r="H303" s="78"/>
      <c r="I303" s="78"/>
      <c r="J303" s="78"/>
      <c r="K303" s="78"/>
      <c r="L303" s="78"/>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row>
    <row r="304" spans="7:80" x14ac:dyDescent="0.25">
      <c r="G304" s="78"/>
      <c r="H304" s="78"/>
      <c r="I304" s="78"/>
      <c r="J304" s="78"/>
      <c r="K304" s="78"/>
      <c r="L304" s="78"/>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row>
    <row r="305" spans="7:80" x14ac:dyDescent="0.25">
      <c r="G305" s="78"/>
      <c r="H305" s="78"/>
      <c r="I305" s="78"/>
      <c r="J305" s="78"/>
      <c r="K305" s="78"/>
      <c r="L305" s="78"/>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row>
    <row r="306" spans="7:80" x14ac:dyDescent="0.25">
      <c r="G306" s="78"/>
      <c r="H306" s="78"/>
      <c r="I306" s="78"/>
      <c r="J306" s="78"/>
      <c r="K306" s="78"/>
      <c r="L306" s="78"/>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row>
    <row r="307" spans="7:80" x14ac:dyDescent="0.25">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row>
    <row r="308" spans="7:80" x14ac:dyDescent="0.25">
      <c r="G308" s="78"/>
      <c r="H308" s="78"/>
      <c r="I308" s="78"/>
      <c r="J308" s="78"/>
      <c r="K308" s="78"/>
      <c r="L308" s="78"/>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row>
    <row r="309" spans="7:80" x14ac:dyDescent="0.25">
      <c r="G309" s="78"/>
      <c r="H309" s="78"/>
      <c r="I309" s="78"/>
      <c r="J309" s="78"/>
      <c r="K309" s="78"/>
      <c r="L309" s="78"/>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row>
    <row r="310" spans="7:80" x14ac:dyDescent="0.25">
      <c r="G310" s="78"/>
      <c r="H310" s="78"/>
      <c r="I310" s="78"/>
      <c r="J310" s="78"/>
      <c r="K310" s="78"/>
      <c r="L310" s="78"/>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row>
    <row r="311" spans="7:80" x14ac:dyDescent="0.25">
      <c r="G311" s="78"/>
      <c r="H311" s="78"/>
      <c r="I311" s="78"/>
      <c r="J311" s="78"/>
      <c r="K311" s="78"/>
      <c r="L311" s="78"/>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row>
    <row r="312" spans="7:80" x14ac:dyDescent="0.25">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row>
    <row r="313" spans="7:80" x14ac:dyDescent="0.25">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row>
    <row r="314" spans="7:80" x14ac:dyDescent="0.25">
      <c r="G314" s="78"/>
      <c r="H314" s="78"/>
      <c r="I314" s="78"/>
      <c r="J314" s="78"/>
      <c r="K314" s="78"/>
      <c r="L314" s="78"/>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row>
    <row r="315" spans="7:80" x14ac:dyDescent="0.25">
      <c r="G315" s="78"/>
      <c r="H315" s="78"/>
      <c r="I315" s="78"/>
      <c r="J315" s="78"/>
      <c r="K315" s="78"/>
      <c r="L315" s="78"/>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row>
    <row r="316" spans="7:80" x14ac:dyDescent="0.25">
      <c r="G316" s="78"/>
      <c r="H316" s="78"/>
      <c r="I316" s="78"/>
      <c r="J316" s="78"/>
      <c r="K316" s="78"/>
      <c r="L316" s="78"/>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row>
    <row r="317" spans="7:80" x14ac:dyDescent="0.25">
      <c r="G317" s="78"/>
      <c r="H317" s="78"/>
      <c r="I317" s="78"/>
      <c r="J317" s="78"/>
      <c r="K317" s="78"/>
      <c r="L317" s="78"/>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row>
    <row r="318" spans="7:80" x14ac:dyDescent="0.25">
      <c r="G318" s="78"/>
      <c r="H318" s="78"/>
      <c r="I318" s="78"/>
      <c r="J318" s="78"/>
      <c r="K318" s="78"/>
      <c r="L318" s="78"/>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row>
    <row r="319" spans="7:80" x14ac:dyDescent="0.25">
      <c r="G319" s="78"/>
      <c r="H319" s="78"/>
      <c r="I319" s="78"/>
      <c r="J319" s="78"/>
      <c r="K319" s="78"/>
      <c r="L319" s="78"/>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row>
    <row r="320" spans="7:80" x14ac:dyDescent="0.25">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row>
    <row r="321" spans="7:80" x14ac:dyDescent="0.25">
      <c r="G321" s="78"/>
      <c r="H321" s="78"/>
      <c r="I321" s="78"/>
      <c r="J321" s="78"/>
      <c r="K321" s="78"/>
      <c r="L321" s="78"/>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row>
    <row r="322" spans="7:80" x14ac:dyDescent="0.25">
      <c r="G322" s="78"/>
      <c r="H322" s="78"/>
      <c r="I322" s="78"/>
      <c r="J322" s="78"/>
      <c r="K322" s="78"/>
      <c r="L322" s="78"/>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row>
    <row r="323" spans="7:80" x14ac:dyDescent="0.25">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row>
    <row r="324" spans="7:80" x14ac:dyDescent="0.25">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row>
    <row r="325" spans="7:80" x14ac:dyDescent="0.25">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row>
    <row r="326" spans="7:80" x14ac:dyDescent="0.25">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row>
    <row r="327" spans="7:80" x14ac:dyDescent="0.25">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row>
    <row r="328" spans="7:80" x14ac:dyDescent="0.25">
      <c r="G328" s="78"/>
      <c r="H328" s="78"/>
      <c r="I328" s="78"/>
      <c r="J328" s="78"/>
      <c r="K328" s="78"/>
      <c r="L328" s="78"/>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row>
    <row r="329" spans="7:80" x14ac:dyDescent="0.25">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row>
    <row r="330" spans="7:80" x14ac:dyDescent="0.25">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row>
    <row r="331" spans="7:80" x14ac:dyDescent="0.25">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row>
    <row r="332" spans="7:80" x14ac:dyDescent="0.25">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row>
    <row r="333" spans="7:80" x14ac:dyDescent="0.25">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row>
    <row r="334" spans="7:80" x14ac:dyDescent="0.25">
      <c r="G334" s="78"/>
      <c r="H334" s="78"/>
      <c r="I334" s="78"/>
      <c r="J334" s="78"/>
      <c r="K334" s="78"/>
      <c r="L334" s="78"/>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row>
    <row r="335" spans="7:80" x14ac:dyDescent="0.25">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row>
    <row r="336" spans="7:80" x14ac:dyDescent="0.25">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row>
    <row r="337" spans="7:80" x14ac:dyDescent="0.25">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row>
    <row r="338" spans="7:80" x14ac:dyDescent="0.25">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row>
    <row r="339" spans="7:80" x14ac:dyDescent="0.25">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row>
    <row r="340" spans="7:80" x14ac:dyDescent="0.25">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row>
    <row r="341" spans="7:80" x14ac:dyDescent="0.25">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row>
    <row r="342" spans="7:80" x14ac:dyDescent="0.25">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row>
    <row r="343" spans="7:80" x14ac:dyDescent="0.25">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row>
    <row r="344" spans="7:80" x14ac:dyDescent="0.25">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row>
    <row r="345" spans="7:80" x14ac:dyDescent="0.25">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row>
    <row r="346" spans="7:80" x14ac:dyDescent="0.25">
      <c r="G346" s="78"/>
      <c r="H346" s="78"/>
      <c r="I346" s="78"/>
      <c r="J346" s="78"/>
      <c r="K346" s="78"/>
      <c r="L346" s="78"/>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row>
    <row r="347" spans="7:80" x14ac:dyDescent="0.25">
      <c r="G347" s="78"/>
      <c r="H347" s="78"/>
      <c r="I347" s="78"/>
      <c r="J347" s="78"/>
      <c r="K347" s="78"/>
      <c r="L347" s="78"/>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row>
    <row r="348" spans="7:80" x14ac:dyDescent="0.25">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row>
    <row r="349" spans="7:80" x14ac:dyDescent="0.25">
      <c r="G349" s="78"/>
      <c r="H349" s="78"/>
      <c r="I349" s="78"/>
      <c r="J349" s="78"/>
      <c r="K349" s="78"/>
      <c r="L349" s="78"/>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row>
    <row r="350" spans="7:80" x14ac:dyDescent="0.25">
      <c r="G350" s="78"/>
      <c r="H350" s="78"/>
      <c r="I350" s="78"/>
      <c r="J350" s="78"/>
      <c r="K350" s="78"/>
      <c r="L350" s="78"/>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row>
    <row r="351" spans="7:80" x14ac:dyDescent="0.25">
      <c r="G351" s="78"/>
      <c r="H351" s="78"/>
      <c r="I351" s="78"/>
      <c r="J351" s="78"/>
      <c r="K351" s="78"/>
      <c r="L351" s="78"/>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row>
    <row r="352" spans="7:80" x14ac:dyDescent="0.25">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row>
    <row r="353" spans="7:80" x14ac:dyDescent="0.25">
      <c r="G353" s="78"/>
      <c r="H353" s="78"/>
      <c r="I353" s="78"/>
      <c r="J353" s="78"/>
      <c r="K353" s="78"/>
      <c r="L353" s="78"/>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row>
    <row r="354" spans="7:80" x14ac:dyDescent="0.25">
      <c r="G354" s="78"/>
      <c r="H354" s="78"/>
      <c r="I354" s="78"/>
      <c r="J354" s="78"/>
      <c r="K354" s="78"/>
      <c r="L354" s="78"/>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row>
    <row r="355" spans="7:80" x14ac:dyDescent="0.25">
      <c r="G355" s="78"/>
      <c r="H355" s="78"/>
      <c r="I355" s="78"/>
      <c r="J355" s="78"/>
      <c r="K355" s="78"/>
      <c r="L355" s="78"/>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row>
    <row r="356" spans="7:80" x14ac:dyDescent="0.25">
      <c r="G356" s="78"/>
      <c r="H356" s="78"/>
      <c r="I356" s="78"/>
      <c r="J356" s="78"/>
      <c r="K356" s="78"/>
      <c r="L356" s="78"/>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row>
    <row r="357" spans="7:80" x14ac:dyDescent="0.25">
      <c r="G357" s="78"/>
      <c r="H357" s="78"/>
      <c r="I357" s="78"/>
      <c r="J357" s="78"/>
      <c r="K357" s="78"/>
      <c r="L357" s="78"/>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row>
    <row r="358" spans="7:80" x14ac:dyDescent="0.25">
      <c r="G358" s="78"/>
      <c r="H358" s="78"/>
      <c r="I358" s="78"/>
      <c r="J358" s="78"/>
      <c r="K358" s="78"/>
      <c r="L358" s="78"/>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row>
    <row r="359" spans="7:80" x14ac:dyDescent="0.25">
      <c r="G359" s="78"/>
      <c r="H359" s="78"/>
      <c r="I359" s="78"/>
      <c r="J359" s="78"/>
      <c r="K359" s="78"/>
      <c r="L359" s="78"/>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row>
    <row r="360" spans="7:80" x14ac:dyDescent="0.25">
      <c r="G360" s="78"/>
      <c r="H360" s="78"/>
      <c r="I360" s="78"/>
      <c r="J360" s="78"/>
      <c r="K360" s="78"/>
      <c r="L360" s="78"/>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row>
    <row r="361" spans="7:80" x14ac:dyDescent="0.25">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row>
    <row r="362" spans="7:80" x14ac:dyDescent="0.25">
      <c r="G362" s="78"/>
      <c r="H362" s="78"/>
      <c r="I362" s="78"/>
      <c r="J362" s="78"/>
      <c r="K362" s="78"/>
      <c r="L362" s="78"/>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row>
    <row r="363" spans="7:80" x14ac:dyDescent="0.25">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row>
    <row r="364" spans="7:80" x14ac:dyDescent="0.25">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row>
    <row r="365" spans="7:80" x14ac:dyDescent="0.25">
      <c r="G365" s="78"/>
      <c r="H365" s="78"/>
      <c r="I365" s="78"/>
      <c r="J365" s="78"/>
      <c r="K365" s="78"/>
      <c r="L365" s="78"/>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row>
    <row r="366" spans="7:80" x14ac:dyDescent="0.25">
      <c r="G366" s="78"/>
      <c r="H366" s="78"/>
      <c r="I366" s="78"/>
      <c r="J366" s="78"/>
      <c r="K366" s="78"/>
      <c r="L366" s="78"/>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row>
    <row r="367" spans="7:80" x14ac:dyDescent="0.25">
      <c r="G367" s="78"/>
      <c r="H367" s="78"/>
      <c r="I367" s="78"/>
      <c r="J367" s="78"/>
      <c r="K367" s="78"/>
      <c r="L367" s="78"/>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row>
    <row r="368" spans="7:80" x14ac:dyDescent="0.25">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row>
    <row r="369" spans="7:80" x14ac:dyDescent="0.25">
      <c r="G369" s="78"/>
      <c r="H369" s="78"/>
      <c r="I369" s="78"/>
      <c r="J369" s="78"/>
      <c r="K369" s="78"/>
      <c r="L369" s="78"/>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row>
    <row r="370" spans="7:80" x14ac:dyDescent="0.25">
      <c r="G370" s="78"/>
      <c r="H370" s="78"/>
      <c r="I370" s="78"/>
      <c r="J370" s="78"/>
      <c r="K370" s="78"/>
      <c r="L370" s="78"/>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row>
    <row r="371" spans="7:80" x14ac:dyDescent="0.25">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row>
    <row r="372" spans="7:80" x14ac:dyDescent="0.25">
      <c r="G372" s="78"/>
      <c r="H372" s="78"/>
      <c r="I372" s="78"/>
      <c r="J372" s="78"/>
      <c r="K372" s="78"/>
      <c r="L372" s="78"/>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row>
    <row r="373" spans="7:80" x14ac:dyDescent="0.25">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row>
    <row r="374" spans="7:80" x14ac:dyDescent="0.25">
      <c r="G374" s="78"/>
      <c r="H374" s="78"/>
      <c r="I374" s="78"/>
      <c r="J374" s="78"/>
      <c r="K374" s="78"/>
      <c r="L374" s="78"/>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row>
    <row r="375" spans="7:80" x14ac:dyDescent="0.25">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row>
    <row r="376" spans="7:80" x14ac:dyDescent="0.25">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row>
    <row r="377" spans="7:80" x14ac:dyDescent="0.25">
      <c r="G377" s="78"/>
      <c r="H377" s="78"/>
      <c r="I377" s="78"/>
      <c r="J377" s="78"/>
      <c r="K377" s="78"/>
      <c r="L377" s="78"/>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row>
    <row r="378" spans="7:80" x14ac:dyDescent="0.25">
      <c r="G378" s="78"/>
      <c r="H378" s="78"/>
      <c r="I378" s="78"/>
      <c r="J378" s="78"/>
      <c r="K378" s="78"/>
      <c r="L378" s="78"/>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row>
    <row r="379" spans="7:80" x14ac:dyDescent="0.25">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row>
    <row r="380" spans="7:80" x14ac:dyDescent="0.25">
      <c r="G380" s="78"/>
      <c r="H380" s="78"/>
      <c r="I380" s="78"/>
      <c r="J380" s="78"/>
      <c r="K380" s="78"/>
      <c r="L380" s="78"/>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row>
    <row r="381" spans="7:80" x14ac:dyDescent="0.25">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row>
    <row r="382" spans="7:80" x14ac:dyDescent="0.25">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row>
    <row r="383" spans="7:80" x14ac:dyDescent="0.25">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row>
    <row r="384" spans="7:80" x14ac:dyDescent="0.25">
      <c r="G384" s="78"/>
      <c r="H384" s="78"/>
      <c r="I384" s="78"/>
      <c r="J384" s="78"/>
      <c r="K384" s="78"/>
      <c r="L384" s="78"/>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row>
    <row r="385" spans="7:80" x14ac:dyDescent="0.25">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row>
    <row r="386" spans="7:80" x14ac:dyDescent="0.25">
      <c r="G386" s="78"/>
      <c r="H386" s="78"/>
      <c r="I386" s="78"/>
      <c r="J386" s="78"/>
      <c r="K386" s="78"/>
      <c r="L386" s="78"/>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row>
    <row r="387" spans="7:80" x14ac:dyDescent="0.25">
      <c r="G387" s="78"/>
      <c r="H387" s="78"/>
      <c r="I387" s="78"/>
      <c r="J387" s="78"/>
      <c r="K387" s="78"/>
      <c r="L387" s="78"/>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row>
    <row r="388" spans="7:80" x14ac:dyDescent="0.25">
      <c r="G388" s="78"/>
      <c r="H388" s="78"/>
      <c r="I388" s="78"/>
      <c r="J388" s="78"/>
      <c r="K388" s="78"/>
      <c r="L388" s="78"/>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row>
    <row r="389" spans="7:80" x14ac:dyDescent="0.25">
      <c r="G389" s="78"/>
      <c r="H389" s="78"/>
      <c r="I389" s="78"/>
      <c r="J389" s="78"/>
      <c r="K389" s="78"/>
      <c r="L389" s="78"/>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row>
    <row r="390" spans="7:80" x14ac:dyDescent="0.25">
      <c r="G390" s="78"/>
      <c r="H390" s="78"/>
      <c r="I390" s="78"/>
      <c r="J390" s="78"/>
      <c r="K390" s="78"/>
      <c r="L390" s="78"/>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row>
    <row r="391" spans="7:80" x14ac:dyDescent="0.25">
      <c r="G391" s="78"/>
      <c r="H391" s="78"/>
      <c r="I391" s="78"/>
      <c r="J391" s="78"/>
      <c r="K391" s="78"/>
      <c r="L391" s="78"/>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row>
    <row r="392" spans="7:80" x14ac:dyDescent="0.25">
      <c r="G392" s="78"/>
      <c r="H392" s="78"/>
      <c r="I392" s="78"/>
      <c r="J392" s="78"/>
      <c r="K392" s="78"/>
      <c r="L392" s="78"/>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row>
    <row r="393" spans="7:80" x14ac:dyDescent="0.25">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row>
    <row r="394" spans="7:80" x14ac:dyDescent="0.25">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row>
    <row r="395" spans="7:80" x14ac:dyDescent="0.25">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row>
    <row r="396" spans="7:80" x14ac:dyDescent="0.25">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row>
    <row r="397" spans="7:80" x14ac:dyDescent="0.25">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row>
    <row r="398" spans="7:80" x14ac:dyDescent="0.25">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row>
    <row r="399" spans="7:80" x14ac:dyDescent="0.25">
      <c r="G399" s="78"/>
      <c r="H399" s="78"/>
      <c r="I399" s="78"/>
      <c r="J399" s="78"/>
      <c r="K399" s="78"/>
      <c r="L399" s="78"/>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row>
    <row r="400" spans="7:80" x14ac:dyDescent="0.25">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row>
    <row r="401" spans="7:80" x14ac:dyDescent="0.25">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row>
    <row r="402" spans="7:80" x14ac:dyDescent="0.25">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row>
    <row r="403" spans="7:80" x14ac:dyDescent="0.25">
      <c r="G403" s="78"/>
      <c r="H403" s="78"/>
      <c r="I403" s="78"/>
      <c r="J403" s="78"/>
      <c r="K403" s="78"/>
      <c r="L403" s="78"/>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row>
    <row r="404" spans="7:80" x14ac:dyDescent="0.25">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row>
    <row r="405" spans="7:80" x14ac:dyDescent="0.25">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row>
    <row r="406" spans="7:80" x14ac:dyDescent="0.25">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row>
    <row r="407" spans="7:80" x14ac:dyDescent="0.25">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row>
    <row r="408" spans="7:80" x14ac:dyDescent="0.25">
      <c r="G408" s="78"/>
      <c r="H408" s="78"/>
      <c r="I408" s="78"/>
      <c r="J408" s="78"/>
      <c r="K408" s="78"/>
      <c r="L408" s="78"/>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row>
    <row r="409" spans="7:80" x14ac:dyDescent="0.25">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row>
    <row r="410" spans="7:80" x14ac:dyDescent="0.25">
      <c r="G410" s="78"/>
      <c r="H410" s="78"/>
      <c r="I410" s="78"/>
      <c r="J410" s="78"/>
      <c r="K410" s="78"/>
      <c r="L410" s="78"/>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row>
    <row r="411" spans="7:80" x14ac:dyDescent="0.25">
      <c r="G411" s="78"/>
      <c r="H411" s="78"/>
      <c r="I411" s="78"/>
      <c r="J411" s="78"/>
      <c r="K411" s="78"/>
      <c r="L411" s="78"/>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row>
    <row r="412" spans="7:80" x14ac:dyDescent="0.25">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row>
    <row r="413" spans="7:80" x14ac:dyDescent="0.25">
      <c r="G413" s="78"/>
      <c r="H413" s="78"/>
      <c r="I413" s="78"/>
      <c r="J413" s="78"/>
      <c r="K413" s="78"/>
      <c r="L413" s="78"/>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row>
    <row r="414" spans="7:80" x14ac:dyDescent="0.25">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row>
    <row r="415" spans="7:80" x14ac:dyDescent="0.25">
      <c r="G415" s="78"/>
      <c r="H415" s="78"/>
      <c r="I415" s="78"/>
      <c r="J415" s="78"/>
      <c r="K415" s="78"/>
      <c r="L415" s="78"/>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row>
    <row r="416" spans="7:80" x14ac:dyDescent="0.25">
      <c r="G416" s="78"/>
      <c r="H416" s="78"/>
      <c r="I416" s="78"/>
      <c r="J416" s="78"/>
      <c r="K416" s="78"/>
      <c r="L416" s="78"/>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row>
    <row r="417" spans="7:80" x14ac:dyDescent="0.25">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row>
    <row r="418" spans="7:80" x14ac:dyDescent="0.25">
      <c r="G418" s="78"/>
      <c r="H418" s="78"/>
      <c r="I418" s="78"/>
      <c r="J418" s="78"/>
      <c r="K418" s="78"/>
      <c r="L418" s="78"/>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row>
    <row r="419" spans="7:80" x14ac:dyDescent="0.25">
      <c r="G419" s="78"/>
      <c r="H419" s="78"/>
      <c r="I419" s="78"/>
      <c r="J419" s="78"/>
      <c r="K419" s="78"/>
      <c r="L419" s="78"/>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row>
    <row r="420" spans="7:80" x14ac:dyDescent="0.25">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row>
    <row r="421" spans="7:80" x14ac:dyDescent="0.25">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row>
    <row r="422" spans="7:80" x14ac:dyDescent="0.25">
      <c r="G422" s="78"/>
      <c r="H422" s="78"/>
      <c r="I422" s="78"/>
      <c r="J422" s="78"/>
      <c r="K422" s="78"/>
      <c r="L422" s="78"/>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row>
    <row r="423" spans="7:80" x14ac:dyDescent="0.25">
      <c r="G423" s="78"/>
      <c r="H423" s="78"/>
      <c r="I423" s="78"/>
      <c r="J423" s="78"/>
      <c r="K423" s="78"/>
      <c r="L423" s="78"/>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row>
    <row r="424" spans="7:80" x14ac:dyDescent="0.25">
      <c r="G424" s="78"/>
      <c r="H424" s="78"/>
      <c r="I424" s="78"/>
      <c r="J424" s="78"/>
      <c r="K424" s="78"/>
      <c r="L424" s="78"/>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row>
    <row r="425" spans="7:80" x14ac:dyDescent="0.25">
      <c r="G425" s="78"/>
      <c r="H425" s="78"/>
      <c r="I425" s="78"/>
      <c r="J425" s="78"/>
      <c r="K425" s="78"/>
      <c r="L425" s="78"/>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row>
    <row r="426" spans="7:80" x14ac:dyDescent="0.25">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row>
    <row r="427" spans="7:80" x14ac:dyDescent="0.25">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row>
    <row r="428" spans="7:80" x14ac:dyDescent="0.25">
      <c r="G428" s="78"/>
      <c r="H428" s="78"/>
      <c r="I428" s="78"/>
      <c r="J428" s="78"/>
      <c r="K428" s="78"/>
      <c r="L428" s="78"/>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row>
    <row r="429" spans="7:80" x14ac:dyDescent="0.25">
      <c r="G429" s="78"/>
      <c r="H429" s="78"/>
      <c r="I429" s="78"/>
      <c r="J429" s="78"/>
      <c r="K429" s="78"/>
      <c r="L429" s="78"/>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row>
    <row r="430" spans="7:80" x14ac:dyDescent="0.25">
      <c r="G430" s="78"/>
      <c r="H430" s="78"/>
      <c r="I430" s="78"/>
      <c r="J430" s="78"/>
      <c r="K430" s="78"/>
      <c r="L430" s="78"/>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row>
    <row r="431" spans="7:80" x14ac:dyDescent="0.25">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row>
    <row r="432" spans="7:80" x14ac:dyDescent="0.25">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row>
    <row r="433" spans="7:80" x14ac:dyDescent="0.25">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row>
    <row r="434" spans="7:80" x14ac:dyDescent="0.25">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row>
    <row r="435" spans="7:80" x14ac:dyDescent="0.25">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row>
    <row r="436" spans="7:80" x14ac:dyDescent="0.25">
      <c r="G436" s="78"/>
      <c r="H436" s="78"/>
      <c r="I436" s="78"/>
      <c r="J436" s="78"/>
      <c r="K436" s="78"/>
      <c r="L436" s="78"/>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row>
    <row r="437" spans="7:80" x14ac:dyDescent="0.25">
      <c r="G437" s="78"/>
      <c r="H437" s="78"/>
      <c r="I437" s="78"/>
      <c r="J437" s="78"/>
      <c r="K437" s="78"/>
      <c r="L437" s="78"/>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row>
    <row r="438" spans="7:80" x14ac:dyDescent="0.25">
      <c r="G438" s="78"/>
      <c r="H438" s="78"/>
      <c r="I438" s="78"/>
      <c r="J438" s="78"/>
      <c r="K438" s="78"/>
      <c r="L438" s="78"/>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row>
    <row r="439" spans="7:80" x14ac:dyDescent="0.25">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row>
    <row r="440" spans="7:80" x14ac:dyDescent="0.25">
      <c r="G440" s="78"/>
      <c r="H440" s="78"/>
      <c r="I440" s="78"/>
      <c r="J440" s="78"/>
      <c r="K440" s="78"/>
      <c r="L440" s="78"/>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row>
    <row r="441" spans="7:80" x14ac:dyDescent="0.25">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row>
    <row r="442" spans="7:80" x14ac:dyDescent="0.25">
      <c r="G442" s="78"/>
      <c r="H442" s="78"/>
      <c r="I442" s="78"/>
      <c r="J442" s="78"/>
      <c r="K442" s="78"/>
      <c r="L442" s="78"/>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row>
    <row r="443" spans="7:80" x14ac:dyDescent="0.25">
      <c r="G443" s="78"/>
      <c r="H443" s="78"/>
      <c r="I443" s="78"/>
      <c r="J443" s="78"/>
      <c r="K443" s="78"/>
      <c r="L443" s="78"/>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row>
    <row r="444" spans="7:80" x14ac:dyDescent="0.25">
      <c r="G444" s="78"/>
      <c r="H444" s="78"/>
      <c r="I444" s="78"/>
      <c r="J444" s="78"/>
      <c r="K444" s="78"/>
      <c r="L444" s="78"/>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row>
    <row r="445" spans="7:80" x14ac:dyDescent="0.25">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row>
    <row r="446" spans="7:80" x14ac:dyDescent="0.25">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row>
    <row r="447" spans="7:80" x14ac:dyDescent="0.25">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row>
    <row r="448" spans="7:80" x14ac:dyDescent="0.25">
      <c r="G448" s="78"/>
      <c r="H448" s="78"/>
      <c r="I448" s="78"/>
      <c r="J448" s="78"/>
      <c r="K448" s="78"/>
      <c r="L448" s="78"/>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row>
    <row r="449" spans="7:80" x14ac:dyDescent="0.25">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row>
    <row r="450" spans="7:80" x14ac:dyDescent="0.25">
      <c r="G450" s="78"/>
      <c r="H450" s="78"/>
      <c r="I450" s="78"/>
      <c r="J450" s="78"/>
      <c r="K450" s="78"/>
      <c r="L450" s="78"/>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row>
    <row r="451" spans="7:80" x14ac:dyDescent="0.25">
      <c r="G451" s="78"/>
      <c r="H451" s="78"/>
      <c r="I451" s="78"/>
      <c r="J451" s="78"/>
      <c r="K451" s="78"/>
      <c r="L451" s="78"/>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row>
    <row r="452" spans="7:80" x14ac:dyDescent="0.25">
      <c r="G452" s="78"/>
      <c r="H452" s="78"/>
      <c r="I452" s="78"/>
      <c r="J452" s="78"/>
      <c r="K452" s="78"/>
      <c r="L452" s="78"/>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row>
    <row r="453" spans="7:80" x14ac:dyDescent="0.25">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row>
    <row r="454" spans="7:80" x14ac:dyDescent="0.25">
      <c r="G454" s="78"/>
      <c r="H454" s="78"/>
      <c r="I454" s="78"/>
      <c r="J454" s="78"/>
      <c r="K454" s="78"/>
      <c r="L454" s="78"/>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row>
    <row r="455" spans="7:80" x14ac:dyDescent="0.25">
      <c r="G455" s="78"/>
      <c r="H455" s="78"/>
      <c r="I455" s="78"/>
      <c r="J455" s="78"/>
      <c r="K455" s="78"/>
      <c r="L455" s="78"/>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8D0F9-851E-443E-A476-66D321BA346C}">
  <sheetPr>
    <tabColor theme="9" tint="-0.249977111117893"/>
  </sheetPr>
  <dimension ref="A1:AC633"/>
  <sheetViews>
    <sheetView zoomScale="110" zoomScaleNormal="110" workbookViewId="0">
      <pane xSplit="6" ySplit="2" topLeftCell="G3" activePane="bottomRight" state="frozen"/>
      <selection pane="topRight" activeCell="G1" sqref="G1"/>
      <selection pane="bottomLeft" activeCell="A3" sqref="A3"/>
      <selection pane="bottomRight" activeCell="R119" sqref="R119"/>
    </sheetView>
  </sheetViews>
  <sheetFormatPr defaultRowHeight="15" x14ac:dyDescent="0.25"/>
  <cols>
    <col min="1" max="5" width="1.85546875" customWidth="1"/>
    <col min="6" max="6" width="14.7109375" customWidth="1"/>
    <col min="7" max="7" width="9.42578125" hidden="1" customWidth="1"/>
    <col min="8" max="9" width="9.42578125" bestFit="1" customWidth="1"/>
    <col min="10" max="10" width="9.42578125" style="104" customWidth="1"/>
    <col min="11" max="13" width="10.28515625" bestFit="1" customWidth="1"/>
    <col min="14" max="15" width="10.5703125" bestFit="1" customWidth="1"/>
    <col min="16" max="16" width="14.140625" customWidth="1"/>
  </cols>
  <sheetData>
    <row r="1" spans="1:19" ht="23.25" x14ac:dyDescent="0.35">
      <c r="A1" s="2" t="str">
        <f>company.name&amp;" Financial Statements"</f>
        <v>Legends Inc. Financial Statements</v>
      </c>
    </row>
    <row r="2" spans="1:19" x14ac:dyDescent="0.25">
      <c r="B2" t="s">
        <v>6</v>
      </c>
      <c r="G2" s="5" cm="1">
        <f t="array" ref="G2:I2">dates.hist</f>
        <v>2022</v>
      </c>
      <c r="H2" s="5">
        <v>2023</v>
      </c>
      <c r="I2" s="5">
        <v>2024</v>
      </c>
      <c r="J2" s="103" t="s">
        <v>204</v>
      </c>
      <c r="K2" s="24" cm="1">
        <f t="array" ref="K2:O2">dates.forecast</f>
        <v>2025</v>
      </c>
      <c r="L2" s="24">
        <v>2026</v>
      </c>
      <c r="M2" s="24">
        <v>2027</v>
      </c>
      <c r="N2" s="24">
        <v>2028</v>
      </c>
      <c r="O2" s="24">
        <v>2029</v>
      </c>
    </row>
    <row r="3" spans="1:19" x14ac:dyDescent="0.25">
      <c r="C3" t="s">
        <v>1</v>
      </c>
      <c r="J3" s="114"/>
      <c r="K3" s="216"/>
      <c r="L3" s="216"/>
      <c r="M3" s="216"/>
      <c r="N3" s="216"/>
      <c r="O3" s="216"/>
    </row>
    <row r="4" spans="1:19" x14ac:dyDescent="0.25">
      <c r="D4" t="str" cm="1">
        <f t="array" ref="D4:D6">+Parms!C3:C5</f>
        <v>Foot Solutions</v>
      </c>
      <c r="G4" s="3" cm="1">
        <f t="array" ref="G4:I6">P.H.Revenues</f>
        <v>8399</v>
      </c>
      <c r="H4" s="3">
        <v>8791</v>
      </c>
      <c r="I4" s="3">
        <v>8433</v>
      </c>
      <c r="J4" s="115"/>
      <c r="K4" s="113" cm="1">
        <f t="array" ref="K4:O6">P.F.Revenues</f>
        <v>8719.7219999999998</v>
      </c>
      <c r="L4" s="113">
        <v>9016.1925480000009</v>
      </c>
      <c r="M4" s="113">
        <v>9322.7430946320019</v>
      </c>
      <c r="N4" s="113">
        <v>9639.7163598494899</v>
      </c>
      <c r="O4" s="113">
        <v>9967.4667160843728</v>
      </c>
      <c r="P4" s="3"/>
      <c r="Q4" s="3"/>
      <c r="R4" s="3"/>
      <c r="S4" s="3"/>
    </row>
    <row r="5" spans="1:19" x14ac:dyDescent="0.25">
      <c r="D5" t="str">
        <v>Greeting Fulfillments</v>
      </c>
      <c r="G5" s="3">
        <v>8696</v>
      </c>
      <c r="H5" s="3">
        <v>8327</v>
      </c>
      <c r="I5" s="3">
        <v>8537</v>
      </c>
      <c r="J5" s="115"/>
      <c r="K5" s="113">
        <v>8852.8689999999988</v>
      </c>
      <c r="L5" s="113">
        <v>9180.4251529999983</v>
      </c>
      <c r="M5" s="113">
        <v>9520.1008836609981</v>
      </c>
      <c r="N5" s="113">
        <v>9872.3446163564549</v>
      </c>
      <c r="O5" s="113">
        <v>10237.621367161642</v>
      </c>
      <c r="P5" s="3"/>
      <c r="Q5" s="3"/>
      <c r="R5" s="3"/>
      <c r="S5" s="3"/>
    </row>
    <row r="6" spans="1:19" x14ac:dyDescent="0.25">
      <c r="D6" t="str">
        <v>Legendwear</v>
      </c>
      <c r="G6" s="3">
        <v>8366</v>
      </c>
      <c r="H6" s="3">
        <v>8657</v>
      </c>
      <c r="I6" s="3">
        <v>8501</v>
      </c>
      <c r="J6" s="115"/>
      <c r="K6" s="113">
        <v>8832.5389999999989</v>
      </c>
      <c r="L6" s="113">
        <v>9177.0080209999978</v>
      </c>
      <c r="M6" s="113">
        <v>9534.9113338189964</v>
      </c>
      <c r="N6" s="113">
        <v>9906.7728758379362</v>
      </c>
      <c r="O6" s="113">
        <v>10293.137017995616</v>
      </c>
      <c r="P6" s="3"/>
      <c r="Q6" s="3"/>
      <c r="R6" s="3"/>
      <c r="S6" s="3"/>
    </row>
    <row r="7" spans="1:19" x14ac:dyDescent="0.25">
      <c r="C7" t="s">
        <v>7</v>
      </c>
      <c r="G7" s="6">
        <f t="shared" ref="G7:O7" si="0">SUM(G4:G6)</f>
        <v>25461</v>
      </c>
      <c r="H7" s="6">
        <f t="shared" si="0"/>
        <v>25775</v>
      </c>
      <c r="I7" s="6">
        <f t="shared" si="0"/>
        <v>25471</v>
      </c>
      <c r="J7" s="116"/>
      <c r="K7" s="44">
        <f t="shared" si="0"/>
        <v>26405.129999999997</v>
      </c>
      <c r="L7" s="44">
        <f t="shared" si="0"/>
        <v>27373.625721999997</v>
      </c>
      <c r="M7" s="44">
        <f t="shared" si="0"/>
        <v>28377.755312111996</v>
      </c>
      <c r="N7" s="44">
        <f t="shared" si="0"/>
        <v>29418.833852043885</v>
      </c>
      <c r="O7" s="44">
        <f t="shared" si="0"/>
        <v>30498.225101241631</v>
      </c>
      <c r="P7" s="3"/>
      <c r="Q7" s="3"/>
      <c r="R7" s="3"/>
      <c r="S7" s="3"/>
    </row>
    <row r="8" spans="1:19" x14ac:dyDescent="0.25">
      <c r="G8" s="3"/>
      <c r="H8" s="3"/>
      <c r="I8" s="3"/>
      <c r="J8" s="115"/>
      <c r="K8" s="113"/>
      <c r="L8" s="113"/>
      <c r="M8" s="113"/>
      <c r="N8" s="113"/>
      <c r="O8" s="113"/>
      <c r="P8" s="3"/>
      <c r="Q8" s="3"/>
      <c r="R8" s="3"/>
      <c r="S8" s="3"/>
    </row>
    <row r="9" spans="1:19" x14ac:dyDescent="0.25">
      <c r="C9" t="s">
        <v>5</v>
      </c>
      <c r="G9" s="3"/>
      <c r="H9" s="3"/>
      <c r="I9" s="3"/>
      <c r="J9" s="115"/>
      <c r="K9" s="113"/>
      <c r="L9" s="113"/>
      <c r="M9" s="113"/>
      <c r="N9" s="113"/>
      <c r="O9" s="113"/>
      <c r="P9" s="3"/>
      <c r="Q9" s="3"/>
      <c r="R9" s="3"/>
      <c r="S9" s="3"/>
    </row>
    <row r="10" spans="1:19" x14ac:dyDescent="0.25">
      <c r="D10" t="str" cm="1">
        <f t="array" ref="D10:D12">+_xlfn.ANCHORARRAY(D4)</f>
        <v>Foot Solutions</v>
      </c>
      <c r="G10" s="3" cm="1">
        <f t="array" ref="G10:I12">P.H.COGS*P.H.Revenues</f>
        <v>4439.2777106699004</v>
      </c>
      <c r="H10" s="3">
        <v>4566.5317072266644</v>
      </c>
      <c r="I10" s="3">
        <v>4466.3327809159155</v>
      </c>
      <c r="J10" s="115"/>
      <c r="K10" s="113" cm="1">
        <f t="array" ref="K10:O12">P.F.Revenues*P.F.COGS</f>
        <v>4585.4962885355153</v>
      </c>
      <c r="L10" s="113">
        <v>4733.3729423630775</v>
      </c>
      <c r="M10" s="113">
        <v>4911.4940012220268</v>
      </c>
      <c r="N10" s="113">
        <v>5069.4995060898736</v>
      </c>
      <c r="O10" s="113">
        <v>5241.9313766686073</v>
      </c>
      <c r="P10" s="3"/>
      <c r="Q10" s="3"/>
      <c r="R10" s="3"/>
      <c r="S10" s="3"/>
    </row>
    <row r="11" spans="1:19" x14ac:dyDescent="0.25">
      <c r="D11" t="str">
        <v>Greeting Fulfillments</v>
      </c>
      <c r="G11" s="3">
        <v>4778.5573595487722</v>
      </c>
      <c r="H11" s="3">
        <v>4215.2318856313386</v>
      </c>
      <c r="I11" s="3">
        <v>4631.2694204912368</v>
      </c>
      <c r="J11" s="115"/>
      <c r="K11" s="113">
        <v>4716.272845546102</v>
      </c>
      <c r="L11" s="113">
        <v>4839.4483043246482</v>
      </c>
      <c r="M11" s="113">
        <v>5084.9456808641335</v>
      </c>
      <c r="N11" s="113">
        <v>5245.55637065874</v>
      </c>
      <c r="O11" s="113">
        <v>5434.8609070412658</v>
      </c>
      <c r="P11" s="3"/>
      <c r="Q11" s="3"/>
      <c r="R11" s="3"/>
      <c r="S11" s="3"/>
    </row>
    <row r="12" spans="1:19" x14ac:dyDescent="0.25">
      <c r="D12" t="str">
        <v>Legendwear</v>
      </c>
      <c r="G12" s="3">
        <v>4197.1927344860442</v>
      </c>
      <c r="H12" s="3">
        <v>4489.061030873766</v>
      </c>
      <c r="I12" s="3">
        <v>4548.3780543516923</v>
      </c>
      <c r="J12" s="115"/>
      <c r="K12" s="113">
        <v>4579.0349172430342</v>
      </c>
      <c r="L12" s="113">
        <v>4808.7988379517783</v>
      </c>
      <c r="M12" s="113">
        <v>5013.6895621798885</v>
      </c>
      <c r="N12" s="113">
        <v>5178.7901827031828</v>
      </c>
      <c r="O12" s="113">
        <v>5395.6007579701936</v>
      </c>
      <c r="P12" s="3"/>
      <c r="Q12" s="3"/>
      <c r="R12" s="3"/>
      <c r="S12" s="3"/>
    </row>
    <row r="13" spans="1:19" x14ac:dyDescent="0.25">
      <c r="C13" t="s">
        <v>8</v>
      </c>
      <c r="G13" s="6">
        <f t="shared" ref="G13:O13" si="1">SUM(G10:G12)</f>
        <v>13415.027804704718</v>
      </c>
      <c r="H13" s="6">
        <f t="shared" si="1"/>
        <v>13270.824623731769</v>
      </c>
      <c r="I13" s="6">
        <f t="shared" si="1"/>
        <v>13645.980255758845</v>
      </c>
      <c r="J13" s="116"/>
      <c r="K13" s="44">
        <f t="shared" si="1"/>
        <v>13880.804051324651</v>
      </c>
      <c r="L13" s="44">
        <f t="shared" si="1"/>
        <v>14381.620084639504</v>
      </c>
      <c r="M13" s="44">
        <f t="shared" si="1"/>
        <v>15010.129244266049</v>
      </c>
      <c r="N13" s="44">
        <f t="shared" si="1"/>
        <v>15493.846059451796</v>
      </c>
      <c r="O13" s="44">
        <f t="shared" si="1"/>
        <v>16072.393041680069</v>
      </c>
      <c r="P13" s="3"/>
      <c r="Q13" s="3"/>
      <c r="R13" s="3"/>
      <c r="S13" s="3"/>
    </row>
    <row r="14" spans="1:19" x14ac:dyDescent="0.25">
      <c r="G14" s="3"/>
      <c r="H14" s="3"/>
      <c r="I14" s="3"/>
      <c r="J14" s="115"/>
      <c r="K14" s="113"/>
      <c r="L14" s="113"/>
      <c r="M14" s="113"/>
      <c r="N14" s="113"/>
      <c r="O14" s="113"/>
      <c r="P14" s="3"/>
      <c r="Q14" s="3"/>
      <c r="R14" s="3"/>
      <c r="S14" s="3"/>
    </row>
    <row r="15" spans="1:19" x14ac:dyDescent="0.25">
      <c r="C15" t="s">
        <v>9</v>
      </c>
      <c r="G15" s="6" cm="1">
        <f t="array" ref="G15:I15">H.Revenues-H.COGS</f>
        <v>12045.972195295282</v>
      </c>
      <c r="H15" s="6">
        <v>12504.175376268231</v>
      </c>
      <c r="I15" s="6">
        <v>11825.019744241155</v>
      </c>
      <c r="J15" s="116"/>
      <c r="K15" s="44" cm="1">
        <f t="array" ref="K15:O15">F.Revenues-F.COGS</f>
        <v>12524.325948675347</v>
      </c>
      <c r="L15" s="44">
        <v>12992.005637360493</v>
      </c>
      <c r="M15" s="44">
        <v>13367.626067845948</v>
      </c>
      <c r="N15" s="44">
        <v>13924.987792592088</v>
      </c>
      <c r="O15" s="44">
        <v>14425.832059561562</v>
      </c>
      <c r="Q15" s="3"/>
      <c r="S15" s="3"/>
    </row>
    <row r="16" spans="1:19" x14ac:dyDescent="0.25">
      <c r="D16" s="7" t="s">
        <v>10</v>
      </c>
      <c r="G16" s="4" cm="1">
        <f t="array" ref="G16:I16">H.Gross.Margin/H.Revenues</f>
        <v>0.47311465359943766</v>
      </c>
      <c r="H16" s="4">
        <v>0.48512804563601286</v>
      </c>
      <c r="I16" s="4">
        <v>0.46425423989011644</v>
      </c>
      <c r="J16" s="117"/>
      <c r="K16" s="215" cm="1">
        <f t="array" ref="K16:O16">F.Gross.Margin/F.Revenues</f>
        <v>0.47431411807763674</v>
      </c>
      <c r="L16" s="215">
        <v>0.47461763996133355</v>
      </c>
      <c r="M16" s="215">
        <v>0.4710600229236761</v>
      </c>
      <c r="N16" s="215">
        <v>0.47333581822532522</v>
      </c>
      <c r="O16" s="215">
        <v>0.47300562612000213</v>
      </c>
      <c r="P16" s="3"/>
      <c r="Q16" s="3"/>
      <c r="R16" s="3"/>
      <c r="S16" s="3"/>
    </row>
    <row r="17" spans="3:19" x14ac:dyDescent="0.25">
      <c r="G17" s="3"/>
      <c r="H17" s="3"/>
      <c r="I17" s="3"/>
      <c r="J17" s="115"/>
      <c r="K17" s="113"/>
      <c r="L17" s="113"/>
      <c r="M17" s="113"/>
      <c r="N17" s="113"/>
      <c r="O17" s="113"/>
      <c r="P17" s="3"/>
      <c r="Q17" s="3"/>
      <c r="R17" s="3"/>
      <c r="S17" s="3"/>
    </row>
    <row r="18" spans="3:19" x14ac:dyDescent="0.25">
      <c r="C18" t="s">
        <v>11</v>
      </c>
      <c r="G18" s="3"/>
      <c r="H18" s="3"/>
      <c r="I18" s="3"/>
      <c r="J18" s="115"/>
      <c r="K18" s="113"/>
      <c r="L18" s="113"/>
      <c r="M18" s="113"/>
      <c r="N18" s="113"/>
      <c r="O18" s="113"/>
      <c r="P18" s="3"/>
      <c r="Q18" s="3"/>
      <c r="R18" s="3"/>
      <c r="S18" s="3"/>
    </row>
    <row r="19" spans="3:19" x14ac:dyDescent="0.25">
      <c r="D19" t="s">
        <v>12</v>
      </c>
      <c r="G19" s="3" cm="1">
        <f t="array" ref="G19:I23">H.Revenues*P.H.Fixed.Costs</f>
        <v>1150.8730896536172</v>
      </c>
      <c r="H19" s="3">
        <v>1070.1698033451194</v>
      </c>
      <c r="I19" s="3">
        <v>1056.6793384141376</v>
      </c>
      <c r="J19" s="115"/>
      <c r="K19" s="113" cm="1">
        <f t="array" ref="K19:O23">F.Revenues*P.F.Fixed.Costs</f>
        <v>1082.61033</v>
      </c>
      <c r="L19" s="113">
        <v>1131.4912564304309</v>
      </c>
      <c r="M19" s="113">
        <v>1171.2509311848462</v>
      </c>
      <c r="N19" s="113">
        <v>1212.1407504171407</v>
      </c>
      <c r="O19" s="113">
        <v>1258.6772983894657</v>
      </c>
      <c r="P19" s="3"/>
      <c r="Q19" s="3"/>
      <c r="R19" s="3"/>
      <c r="S19" s="3"/>
    </row>
    <row r="20" spans="3:19" x14ac:dyDescent="0.25">
      <c r="D20" t="s">
        <v>18</v>
      </c>
      <c r="G20" s="3">
        <v>1009.8940912050625</v>
      </c>
      <c r="H20" s="3">
        <v>1243.7084522056866</v>
      </c>
      <c r="I20" s="3">
        <v>1091.7609164402031</v>
      </c>
      <c r="J20" s="115"/>
      <c r="K20" s="113">
        <v>1135.4205899999997</v>
      </c>
      <c r="L20" s="113">
        <v>1223.7416780377491</v>
      </c>
      <c r="M20" s="113">
        <v>1235.075928203252</v>
      </c>
      <c r="N20" s="113">
        <v>1286.8564325419998</v>
      </c>
      <c r="O20" s="113">
        <v>1341.621197195833</v>
      </c>
      <c r="P20" s="3"/>
      <c r="Q20" s="3"/>
      <c r="R20" s="3"/>
      <c r="S20" s="3"/>
    </row>
    <row r="21" spans="3:19" x14ac:dyDescent="0.25">
      <c r="D21" t="s">
        <v>13</v>
      </c>
      <c r="G21" s="3">
        <v>782.50009925083941</v>
      </c>
      <c r="H21" s="3">
        <v>961.5826063448693</v>
      </c>
      <c r="I21" s="3">
        <v>1058.4885014142806</v>
      </c>
      <c r="J21" s="115"/>
      <c r="K21" s="113">
        <v>964.63827666329757</v>
      </c>
      <c r="L21" s="113">
        <v>1052.9323247686355</v>
      </c>
      <c r="M21" s="113">
        <v>1102.5141562706522</v>
      </c>
      <c r="N21" s="113">
        <v>1116.4329176337699</v>
      </c>
      <c r="O21" s="113">
        <v>1171.8044529895219</v>
      </c>
      <c r="P21" s="3"/>
      <c r="Q21" s="3"/>
      <c r="R21" s="3"/>
      <c r="S21" s="3"/>
    </row>
    <row r="22" spans="3:19" x14ac:dyDescent="0.25">
      <c r="D22" t="s">
        <v>14</v>
      </c>
      <c r="G22" s="3">
        <v>803.18113443462266</v>
      </c>
      <c r="H22" s="3">
        <v>968.60783294352882</v>
      </c>
      <c r="I22" s="3">
        <v>929.31079539976156</v>
      </c>
      <c r="J22" s="115"/>
      <c r="K22" s="113">
        <v>929.54817318147616</v>
      </c>
      <c r="L22" s="113">
        <v>997.01792861508227</v>
      </c>
      <c r="M22" s="113">
        <v>1022.6486533601287</v>
      </c>
      <c r="N22" s="113">
        <v>1055.7720676407398</v>
      </c>
      <c r="O22" s="113">
        <v>1101.4655744572508</v>
      </c>
      <c r="P22" s="3"/>
      <c r="Q22" s="3"/>
      <c r="R22" s="3"/>
      <c r="S22" s="3"/>
    </row>
    <row r="23" spans="3:19" x14ac:dyDescent="0.25">
      <c r="D23" t="s">
        <v>15</v>
      </c>
      <c r="G23" s="3">
        <v>959.69878163148621</v>
      </c>
      <c r="H23" s="3">
        <v>1195.3188271285853</v>
      </c>
      <c r="I23" s="3">
        <v>857.61694049288496</v>
      </c>
      <c r="J23" s="115"/>
      <c r="K23" s="113">
        <v>950.58467999999982</v>
      </c>
      <c r="L23" s="113">
        <v>985.45052599199983</v>
      </c>
      <c r="M23" s="113">
        <v>999.56224318866089</v>
      </c>
      <c r="N23" s="113">
        <v>1051.4628836722216</v>
      </c>
      <c r="O23" s="113">
        <v>1087.4100529922125</v>
      </c>
      <c r="P23" s="3"/>
      <c r="Q23" s="3"/>
      <c r="R23" s="3"/>
      <c r="S23" s="3"/>
    </row>
    <row r="24" spans="3:19" x14ac:dyDescent="0.25">
      <c r="D24" t="s">
        <v>16</v>
      </c>
      <c r="G24" s="3" cm="1">
        <f t="array" ref="G24:I24">P.H.Depreciation.Expense</f>
        <v>1000</v>
      </c>
      <c r="H24" s="3">
        <v>1000</v>
      </c>
      <c r="I24" s="3">
        <v>1000</v>
      </c>
      <c r="J24" s="115"/>
      <c r="K24" s="113" cm="1">
        <f t="array" ref="K24:O24">P.F.Depreciation.Expense</f>
        <v>1000</v>
      </c>
      <c r="L24" s="113">
        <v>1000</v>
      </c>
      <c r="M24" s="113">
        <v>1000</v>
      </c>
      <c r="N24" s="113">
        <v>1000</v>
      </c>
      <c r="O24" s="113">
        <v>1000</v>
      </c>
      <c r="P24" s="3"/>
      <c r="Q24" s="3"/>
      <c r="R24" s="3"/>
      <c r="S24" s="3"/>
    </row>
    <row r="25" spans="3:19" x14ac:dyDescent="0.25">
      <c r="D25" t="s">
        <v>17</v>
      </c>
      <c r="G25" s="3" cm="1">
        <f t="array" ref="G25:I25">P.H.Amortization.Expense</f>
        <v>250</v>
      </c>
      <c r="H25" s="3">
        <v>250</v>
      </c>
      <c r="I25" s="3">
        <v>250</v>
      </c>
      <c r="J25" s="115"/>
      <c r="K25" s="113" cm="1">
        <f t="array" ref="K25:O25">P.F.Amortization.Expense</f>
        <v>2841.0597968980851</v>
      </c>
      <c r="L25" s="113">
        <v>2841.0597968980851</v>
      </c>
      <c r="M25" s="113">
        <v>2841.0597968980851</v>
      </c>
      <c r="N25" s="113">
        <v>2841.0597968980851</v>
      </c>
      <c r="O25" s="113">
        <v>2841.0597968980851</v>
      </c>
      <c r="P25" s="3"/>
      <c r="Q25" s="3"/>
      <c r="R25" s="3"/>
      <c r="S25" s="3"/>
    </row>
    <row r="26" spans="3:19" x14ac:dyDescent="0.25">
      <c r="C26" t="s">
        <v>20</v>
      </c>
      <c r="G26" s="6">
        <f t="shared" ref="G26:O26" si="2">SUM(G19:G25)</f>
        <v>5956.1471961756279</v>
      </c>
      <c r="H26" s="6">
        <f t="shared" si="2"/>
        <v>6689.3875219677893</v>
      </c>
      <c r="I26" s="6">
        <f t="shared" si="2"/>
        <v>6243.8564921612679</v>
      </c>
      <c r="J26" s="116"/>
      <c r="K26" s="44">
        <f t="shared" si="2"/>
        <v>8903.8618467428587</v>
      </c>
      <c r="L26" s="44">
        <f t="shared" si="2"/>
        <v>9231.6935107419831</v>
      </c>
      <c r="M26" s="44">
        <f t="shared" si="2"/>
        <v>9372.1117091056258</v>
      </c>
      <c r="N26" s="44">
        <f t="shared" si="2"/>
        <v>9563.7248488039568</v>
      </c>
      <c r="O26" s="44">
        <f t="shared" si="2"/>
        <v>9802.0383729223686</v>
      </c>
      <c r="P26" s="3"/>
      <c r="Q26" s="3"/>
      <c r="R26" s="3"/>
      <c r="S26" s="3"/>
    </row>
    <row r="27" spans="3:19" x14ac:dyDescent="0.25">
      <c r="G27" s="3"/>
      <c r="H27" s="3"/>
      <c r="I27" s="3"/>
      <c r="J27" s="115"/>
      <c r="K27" s="113"/>
      <c r="L27" s="113"/>
      <c r="M27" s="113"/>
      <c r="N27" s="113"/>
      <c r="O27" s="113"/>
      <c r="P27" s="3"/>
      <c r="Q27" s="3"/>
      <c r="R27" s="3"/>
      <c r="S27" s="3"/>
    </row>
    <row r="28" spans="3:19" x14ac:dyDescent="0.25">
      <c r="C28" t="s">
        <v>22</v>
      </c>
      <c r="G28" s="6" cm="1">
        <f t="array" ref="G28:I28">H.Gross.Margin-H.Fixed.Costs</f>
        <v>6089.8249991196544</v>
      </c>
      <c r="H28" s="6">
        <v>5814.7878543004417</v>
      </c>
      <c r="I28" s="6">
        <v>5581.1632520798876</v>
      </c>
      <c r="J28" s="118"/>
      <c r="K28" s="113" cm="1">
        <f t="array" ref="K28:O28">F.Gross.Margin-F.Fixed.Costs</f>
        <v>3620.4641019324881</v>
      </c>
      <c r="L28" s="113">
        <v>3760.3121266185099</v>
      </c>
      <c r="M28" s="113">
        <v>3995.5143587403218</v>
      </c>
      <c r="N28" s="113">
        <v>4361.2629437881315</v>
      </c>
      <c r="O28" s="113">
        <v>4623.7936866391938</v>
      </c>
      <c r="P28" s="3"/>
      <c r="Q28" s="3"/>
      <c r="R28" s="3"/>
      <c r="S28" s="3"/>
    </row>
    <row r="29" spans="3:19" x14ac:dyDescent="0.25">
      <c r="D29" s="7" t="s">
        <v>10</v>
      </c>
      <c r="G29" s="4" cm="1">
        <f t="array" ref="G29:I29">H.Operating.Income/H.Revenues</f>
        <v>0.23918247512350868</v>
      </c>
      <c r="H29" s="4">
        <v>0.22559797688847494</v>
      </c>
      <c r="I29" s="4">
        <v>0.21911834054728466</v>
      </c>
      <c r="J29" s="117"/>
      <c r="K29" s="215" cm="1">
        <f t="array" ref="K29:O29">F.EBIT/F.Revenues</f>
        <v>0.13711214835649316</v>
      </c>
      <c r="L29" s="215">
        <v>0.13736989629387578</v>
      </c>
      <c r="M29" s="215">
        <v>0.14079740679964861</v>
      </c>
      <c r="N29" s="215">
        <v>0.14824730870442476</v>
      </c>
      <c r="O29" s="215">
        <v>0.15160861562566641</v>
      </c>
      <c r="P29" s="3"/>
      <c r="Q29" s="3"/>
      <c r="R29" s="3"/>
      <c r="S29" s="3"/>
    </row>
    <row r="30" spans="3:19" x14ac:dyDescent="0.25">
      <c r="G30" s="3"/>
      <c r="H30" s="3"/>
      <c r="I30" s="3"/>
      <c r="J30" s="115"/>
      <c r="K30" s="113"/>
      <c r="L30" s="113"/>
      <c r="M30" s="113"/>
      <c r="N30" s="113"/>
      <c r="O30" s="113"/>
      <c r="P30" s="3"/>
      <c r="Q30" s="3"/>
      <c r="R30" s="3"/>
      <c r="S30" s="3"/>
    </row>
    <row r="31" spans="3:19" x14ac:dyDescent="0.25">
      <c r="C31" t="s">
        <v>21</v>
      </c>
      <c r="G31" s="10" cm="1">
        <f t="array" ref="G31:I31">D.H.Interest.Expense</f>
        <v>525.5</v>
      </c>
      <c r="H31" s="10">
        <v>509.375</v>
      </c>
      <c r="I31" s="10">
        <v>370.25</v>
      </c>
      <c r="J31" s="118"/>
      <c r="K31" s="113" cm="1">
        <f t="array" aca="1" ref="K31:O31" ca="1">D.F.Interest.Expense</f>
        <v>3487.5</v>
      </c>
      <c r="L31" s="113">
        <f ca="1"/>
        <v>3345.2822416018307</v>
      </c>
      <c r="M31" s="113">
        <f ca="1"/>
        <v>3172.7914152589615</v>
      </c>
      <c r="N31" s="113">
        <f ca="1"/>
        <v>2973.4103497940528</v>
      </c>
      <c r="O31" s="113">
        <f ca="1"/>
        <v>2753.5028942993904</v>
      </c>
      <c r="P31" s="3"/>
      <c r="Q31" s="3"/>
      <c r="R31" s="3"/>
      <c r="S31" s="3"/>
    </row>
    <row r="32" spans="3:19" x14ac:dyDescent="0.25">
      <c r="G32" s="3"/>
      <c r="H32" s="3"/>
      <c r="I32" s="3"/>
      <c r="J32" s="115"/>
      <c r="K32" s="44"/>
      <c r="L32" s="44"/>
      <c r="M32" s="44"/>
      <c r="N32" s="44"/>
      <c r="O32" s="44"/>
      <c r="P32" s="3"/>
      <c r="Q32" s="3"/>
      <c r="R32" s="3"/>
      <c r="S32" s="3"/>
    </row>
    <row r="33" spans="2:19" x14ac:dyDescent="0.25">
      <c r="C33" t="s">
        <v>23</v>
      </c>
      <c r="G33" s="9" cm="1">
        <f t="array" ref="G33:I33">H.EBIT-G31:I31</f>
        <v>5564.3249991196544</v>
      </c>
      <c r="H33" s="9">
        <v>5305.4128543004417</v>
      </c>
      <c r="I33" s="9">
        <v>5210.9132520798876</v>
      </c>
      <c r="J33" s="118"/>
      <c r="K33" s="113" cm="1">
        <f t="array" aca="1" ref="K33:O33" ca="1">+F.EBIT-D.F.Interest.Expense</f>
        <v>132.96410193248812</v>
      </c>
      <c r="L33" s="113">
        <f ca="1"/>
        <v>415.02988501667915</v>
      </c>
      <c r="M33" s="113">
        <f ca="1"/>
        <v>822.72294348136029</v>
      </c>
      <c r="N33" s="113">
        <f ca="1"/>
        <v>1387.8525939940787</v>
      </c>
      <c r="O33" s="113">
        <f ca="1"/>
        <v>1870.2907923398034</v>
      </c>
      <c r="P33" s="3"/>
      <c r="Q33" s="3"/>
      <c r="R33" s="3"/>
      <c r="S33" s="3"/>
    </row>
    <row r="34" spans="2:19" x14ac:dyDescent="0.25">
      <c r="G34" s="3"/>
      <c r="H34" s="3"/>
      <c r="I34" s="3"/>
      <c r="J34" s="115"/>
      <c r="K34" s="113"/>
      <c r="L34" s="113"/>
      <c r="M34" s="113"/>
      <c r="N34" s="113"/>
      <c r="O34" s="113"/>
      <c r="P34" s="3"/>
      <c r="Q34" s="3"/>
      <c r="R34" s="3"/>
      <c r="S34" s="3"/>
    </row>
    <row r="35" spans="2:19" x14ac:dyDescent="0.25">
      <c r="C35" t="s">
        <v>25</v>
      </c>
      <c r="G35" s="10" cm="1">
        <f t="array" ref="G35:I35">+_xlfn.ANCHORARRAY(G33)*tax.rate</f>
        <v>1168.5082498151273</v>
      </c>
      <c r="H35" s="10">
        <v>1114.1366994030927</v>
      </c>
      <c r="I35" s="10">
        <v>1094.2917829367764</v>
      </c>
      <c r="J35" s="118"/>
      <c r="K35" s="113" cm="1">
        <f t="array" aca="1" ref="K35:O35" ca="1">F.EBT*tax.rate</f>
        <v>27.922461405822503</v>
      </c>
      <c r="L35" s="113">
        <f ca="1"/>
        <v>87.156275853502621</v>
      </c>
      <c r="M35" s="113">
        <f ca="1"/>
        <v>172.77181813108567</v>
      </c>
      <c r="N35" s="113">
        <f ca="1"/>
        <v>291.44904473875653</v>
      </c>
      <c r="O35" s="113">
        <f ca="1"/>
        <v>392.76106639135867</v>
      </c>
      <c r="P35" s="3"/>
      <c r="Q35" s="3"/>
      <c r="R35" s="3"/>
      <c r="S35" s="3"/>
    </row>
    <row r="36" spans="2:19" x14ac:dyDescent="0.25">
      <c r="G36" s="3"/>
      <c r="H36" s="3"/>
      <c r="I36" s="3"/>
      <c r="J36" s="115"/>
      <c r="K36" s="44"/>
      <c r="L36" s="44"/>
      <c r="M36" s="44"/>
      <c r="N36" s="44"/>
      <c r="O36" s="44"/>
      <c r="P36" s="3"/>
      <c r="Q36" s="3"/>
      <c r="R36" s="3"/>
      <c r="S36" s="3"/>
    </row>
    <row r="37" spans="2:19" ht="15.75" thickBot="1" x14ac:dyDescent="0.3">
      <c r="C37" t="s">
        <v>26</v>
      </c>
      <c r="G37" s="11" cm="1">
        <f t="array" ref="G37:I37">+_xlfn.ANCHORARRAY(G33)-_xlfn.ANCHORARRAY(G35)</f>
        <v>4395.8167493045275</v>
      </c>
      <c r="H37" s="11">
        <v>4191.2761548973485</v>
      </c>
      <c r="I37" s="11">
        <v>4116.6214691431114</v>
      </c>
      <c r="J37" s="119"/>
      <c r="K37" s="217" cm="1">
        <f t="array" aca="1" ref="K37:O37" ca="1">+F.EBT-_xlfn.ANCHORARRAY(K35)</f>
        <v>105.04164052666562</v>
      </c>
      <c r="L37" s="217">
        <f ca="1"/>
        <v>327.87360916317652</v>
      </c>
      <c r="M37" s="217">
        <f ca="1"/>
        <v>649.95112535027465</v>
      </c>
      <c r="N37" s="217">
        <f ca="1"/>
        <v>1096.4035492553221</v>
      </c>
      <c r="O37" s="217">
        <f ca="1"/>
        <v>1477.5297259484446</v>
      </c>
      <c r="Q37" s="3"/>
      <c r="R37" s="3"/>
      <c r="S37" s="3"/>
    </row>
    <row r="38" spans="2:19" ht="15.75" thickTop="1" x14ac:dyDescent="0.25">
      <c r="G38" s="3"/>
      <c r="H38" s="3"/>
      <c r="I38" s="3"/>
      <c r="J38" s="115"/>
      <c r="K38" s="113"/>
      <c r="L38" s="113"/>
      <c r="M38" s="113"/>
      <c r="N38" s="113"/>
      <c r="O38" s="113"/>
      <c r="P38" s="3"/>
      <c r="Q38" s="3"/>
      <c r="R38" s="3"/>
      <c r="S38" s="3"/>
    </row>
    <row r="39" spans="2:19" x14ac:dyDescent="0.25">
      <c r="C39" t="s">
        <v>28</v>
      </c>
      <c r="G39" s="10" cm="1">
        <f t="array" ref="G39:I39">-P.H.Dividends</f>
        <v>-1500</v>
      </c>
      <c r="H39" s="10">
        <v>-1500</v>
      </c>
      <c r="I39" s="10">
        <v>-1500</v>
      </c>
      <c r="J39" s="118"/>
      <c r="K39" s="113" cm="1">
        <f t="array" ref="K39:O39">-P.F.Dividends</f>
        <v>0</v>
      </c>
      <c r="L39" s="113">
        <v>0</v>
      </c>
      <c r="M39" s="113">
        <v>0</v>
      </c>
      <c r="N39" s="113">
        <v>0</v>
      </c>
      <c r="O39" s="113">
        <v>0</v>
      </c>
      <c r="P39" s="3"/>
      <c r="Q39" s="3"/>
      <c r="R39" s="3"/>
      <c r="S39" s="3"/>
    </row>
    <row r="40" spans="2:19" x14ac:dyDescent="0.25">
      <c r="C40" t="s">
        <v>29</v>
      </c>
      <c r="G40" s="3" cm="1">
        <f t="array" ref="G40:I40">+_xlfn.ANCHORARRAY(G37)+_xlfn.ANCHORARRAY(G39)</f>
        <v>2895.8167493045275</v>
      </c>
      <c r="H40" s="3">
        <v>2691.2761548973485</v>
      </c>
      <c r="I40" s="3">
        <v>2616.6214691431114</v>
      </c>
      <c r="J40" s="115"/>
      <c r="K40" s="44" cm="1">
        <f t="array" aca="1" ref="K40:O40" ca="1">F.Net.Income+_xlfn.ANCHORARRAY(K39)</f>
        <v>105.04164052666562</v>
      </c>
      <c r="L40" s="44">
        <f ca="1"/>
        <v>327.87360916317652</v>
      </c>
      <c r="M40" s="44">
        <f ca="1"/>
        <v>649.95112535027465</v>
      </c>
      <c r="N40" s="44">
        <f ca="1"/>
        <v>1096.4035492553221</v>
      </c>
      <c r="O40" s="44">
        <f ca="1"/>
        <v>1477.5297259484446</v>
      </c>
      <c r="P40" s="3"/>
      <c r="Q40" s="3"/>
      <c r="R40" s="3"/>
      <c r="S40" s="3"/>
    </row>
    <row r="41" spans="2:19" x14ac:dyDescent="0.25">
      <c r="G41" s="3"/>
      <c r="H41" s="3"/>
      <c r="I41" s="3"/>
      <c r="J41" s="105"/>
      <c r="K41" s="3"/>
      <c r="L41" s="3"/>
      <c r="M41" s="3"/>
      <c r="N41" s="3"/>
      <c r="O41" s="3"/>
      <c r="P41" s="3"/>
      <c r="Q41" s="3"/>
      <c r="R41" s="3"/>
      <c r="S41" s="3"/>
    </row>
    <row r="42" spans="2:19" x14ac:dyDescent="0.25">
      <c r="G42" s="3"/>
      <c r="H42" s="3"/>
      <c r="I42" s="3"/>
      <c r="J42" s="105"/>
      <c r="K42" s="3"/>
      <c r="L42" s="3"/>
      <c r="M42" s="3"/>
      <c r="N42" s="3"/>
      <c r="O42" s="3"/>
      <c r="P42" s="3"/>
      <c r="Q42" s="3"/>
      <c r="R42" s="3"/>
      <c r="S42" s="3"/>
    </row>
    <row r="43" spans="2:19" x14ac:dyDescent="0.25">
      <c r="B43" t="s">
        <v>30</v>
      </c>
      <c r="G43" s="5" cm="1">
        <f t="array" ref="G43:I43">dates.hist</f>
        <v>2022</v>
      </c>
      <c r="H43" s="5">
        <v>2023</v>
      </c>
      <c r="I43" s="5">
        <v>2024</v>
      </c>
      <c r="J43" s="103" t="s">
        <v>204</v>
      </c>
      <c r="K43" s="24" cm="1">
        <f t="array" ref="K43:O43">dates.forecast</f>
        <v>2025</v>
      </c>
      <c r="L43" s="24">
        <v>2026</v>
      </c>
      <c r="M43" s="24">
        <v>2027</v>
      </c>
      <c r="N43" s="24">
        <v>2028</v>
      </c>
      <c r="O43" s="24">
        <v>2029</v>
      </c>
      <c r="P43" s="3"/>
      <c r="Q43" s="3"/>
      <c r="R43" s="3"/>
      <c r="S43" s="3"/>
    </row>
    <row r="44" spans="2:19" x14ac:dyDescent="0.25">
      <c r="C44" t="s">
        <v>31</v>
      </c>
      <c r="G44" s="3"/>
      <c r="H44" s="3"/>
      <c r="I44" s="3"/>
      <c r="J44" s="115"/>
      <c r="K44" s="3"/>
      <c r="L44" s="3"/>
      <c r="M44" s="3"/>
      <c r="N44" s="3"/>
      <c r="O44" s="3"/>
      <c r="P44" s="3"/>
      <c r="Q44" s="3"/>
      <c r="R44" s="3"/>
      <c r="S44" s="3"/>
    </row>
    <row r="45" spans="2:19" x14ac:dyDescent="0.25">
      <c r="D45" t="s">
        <v>39</v>
      </c>
      <c r="G45" s="3"/>
      <c r="H45" s="3"/>
      <c r="I45" s="3"/>
      <c r="J45" s="115"/>
      <c r="K45" s="3"/>
      <c r="L45" s="3"/>
      <c r="M45" s="3"/>
      <c r="N45" s="3"/>
      <c r="O45" s="3"/>
      <c r="P45" s="3"/>
      <c r="Q45" s="3"/>
      <c r="R45" s="3"/>
      <c r="S45" s="3"/>
    </row>
    <row r="46" spans="2:19" x14ac:dyDescent="0.25">
      <c r="E46" t="s">
        <v>32</v>
      </c>
      <c r="G46" s="14" cm="1">
        <f t="array" ref="G46:I46">H.Cash</f>
        <v>4500</v>
      </c>
      <c r="H46" s="14">
        <v>5138.4744849167491</v>
      </c>
      <c r="I46" s="14">
        <v>3808.1520277477548</v>
      </c>
      <c r="J46" s="120">
        <f>minimum.cash.balance</f>
        <v>5000</v>
      </c>
      <c r="K46" s="14" cm="1">
        <f t="array" aca="1" ref="K46:O46" ca="1">F.Cash</f>
        <v>6248.4563904346669</v>
      </c>
      <c r="L46" s="14">
        <f ca="1"/>
        <v>7292.4735572845093</v>
      </c>
      <c r="M46" s="14">
        <f ca="1"/>
        <v>8099.7553691431867</v>
      </c>
      <c r="N46" s="14">
        <f ca="1"/>
        <v>8816.8284123975627</v>
      </c>
      <c r="O46" s="14">
        <f ca="1"/>
        <v>9364.198813190993</v>
      </c>
      <c r="P46" s="3"/>
      <c r="Q46" s="3"/>
      <c r="R46" s="3"/>
      <c r="S46" s="3"/>
    </row>
    <row r="47" spans="2:19" x14ac:dyDescent="0.25">
      <c r="E47" t="s">
        <v>33</v>
      </c>
      <c r="G47" s="3" cm="1">
        <f t="array" ref="G47:I47">H.Revenues*(P.H.Accounts.Rec.Days/365)</f>
        <v>4185.3698630136987</v>
      </c>
      <c r="H47" s="3">
        <v>4236.9863013698632</v>
      </c>
      <c r="I47" s="3">
        <v>4187.0136986301368</v>
      </c>
      <c r="J47" s="115">
        <f>+I47</f>
        <v>4187.0136986301368</v>
      </c>
      <c r="K47" s="3" cm="1">
        <f t="array" ref="K47:O47">F.Revenues*(P.F.Accts.Rec.Days/365)</f>
        <v>3978.8552054794513</v>
      </c>
      <c r="L47" s="3">
        <v>3749.8117427397256</v>
      </c>
      <c r="M47" s="3">
        <v>3498.6273672466841</v>
      </c>
      <c r="N47" s="3">
        <v>3465.7804264051701</v>
      </c>
      <c r="O47" s="3">
        <v>3592.9415872695622</v>
      </c>
      <c r="P47" s="3"/>
      <c r="Q47" s="3"/>
      <c r="R47" s="3"/>
      <c r="S47" s="3"/>
    </row>
    <row r="48" spans="2:19" x14ac:dyDescent="0.25">
      <c r="E48" t="s">
        <v>36</v>
      </c>
      <c r="G48" s="3" cm="1">
        <f t="array" ref="G48:I48">H.COGS*(P.H.Inventory.Days/365)</f>
        <v>1176.1120267138383</v>
      </c>
      <c r="H48" s="3">
        <v>1163.4695560531961</v>
      </c>
      <c r="I48" s="3">
        <v>1196.3599128336521</v>
      </c>
      <c r="J48" s="115">
        <f>+I48</f>
        <v>1196.3599128336521</v>
      </c>
      <c r="K48" s="3" cm="1">
        <f t="array" ref="K48:O48">F.COGS*(P.F.Inventory.Days/365)</f>
        <v>1064.8288039372335</v>
      </c>
      <c r="L48" s="3">
        <v>1024.4441704126771</v>
      </c>
      <c r="M48" s="3">
        <v>986.96740236269898</v>
      </c>
      <c r="N48" s="3">
        <v>976.32454621203112</v>
      </c>
      <c r="O48" s="3">
        <v>1012.7809313935386</v>
      </c>
      <c r="P48" s="3"/>
      <c r="Q48" s="3"/>
      <c r="R48" s="3"/>
      <c r="S48" s="3"/>
    </row>
    <row r="49" spans="3:19" x14ac:dyDescent="0.25">
      <c r="E49" t="s">
        <v>38</v>
      </c>
      <c r="G49" s="3" cm="1">
        <f t="array" ref="G49:I49">P.H.Prepaids*H.Revenues</f>
        <v>763.82999999999993</v>
      </c>
      <c r="H49" s="3">
        <v>773.25</v>
      </c>
      <c r="I49" s="3">
        <v>764.13</v>
      </c>
      <c r="J49" s="115">
        <f>+I49</f>
        <v>764.13</v>
      </c>
      <c r="K49" s="3" cm="1">
        <f t="array" ref="K49:O49">P.F.Prepaids*F.Revenues</f>
        <v>792.15389999999991</v>
      </c>
      <c r="L49" s="3">
        <v>821.20877165999991</v>
      </c>
      <c r="M49" s="3">
        <v>851.33265936335988</v>
      </c>
      <c r="N49" s="3">
        <v>882.5650155613165</v>
      </c>
      <c r="O49" s="3">
        <v>914.94675303724887</v>
      </c>
      <c r="P49" s="3"/>
      <c r="Q49" s="3"/>
      <c r="R49" s="3"/>
      <c r="S49" s="3"/>
    </row>
    <row r="50" spans="3:19" x14ac:dyDescent="0.25">
      <c r="D50" t="s">
        <v>40</v>
      </c>
      <c r="G50" s="6">
        <f t="shared" ref="G50:I50" si="3">SUM(G46:G49)</f>
        <v>10625.311889727536</v>
      </c>
      <c r="H50" s="6">
        <f t="shared" si="3"/>
        <v>11312.180342339809</v>
      </c>
      <c r="I50" s="6">
        <f t="shared" si="3"/>
        <v>9955.6556392115435</v>
      </c>
      <c r="J50" s="116">
        <f>SUM(J46:J49)</f>
        <v>11147.503611463788</v>
      </c>
      <c r="K50" s="6">
        <f t="shared" ref="K50:O50" ca="1" si="4">SUM(K46:K49)</f>
        <v>12084.29429985135</v>
      </c>
      <c r="L50" s="6">
        <f t="shared" ca="1" si="4"/>
        <v>12887.938242096912</v>
      </c>
      <c r="M50" s="6">
        <f t="shared" ca="1" si="4"/>
        <v>13436.682798115929</v>
      </c>
      <c r="N50" s="6">
        <f t="shared" ca="1" si="4"/>
        <v>14141.49840057608</v>
      </c>
      <c r="O50" s="6">
        <f t="shared" ca="1" si="4"/>
        <v>14884.868084891343</v>
      </c>
      <c r="P50" s="3"/>
      <c r="Q50" s="3"/>
      <c r="R50" s="3"/>
      <c r="S50" s="3"/>
    </row>
    <row r="51" spans="3:19" x14ac:dyDescent="0.25">
      <c r="G51" s="3"/>
      <c r="H51" s="3"/>
      <c r="I51" s="3"/>
      <c r="J51" s="115"/>
      <c r="K51" s="3"/>
      <c r="L51" s="3"/>
      <c r="M51" s="3"/>
      <c r="N51" s="3"/>
      <c r="O51" s="3"/>
      <c r="P51" s="3"/>
      <c r="Q51" s="3"/>
      <c r="R51" s="3"/>
      <c r="S51" s="3"/>
    </row>
    <row r="52" spans="3:19" x14ac:dyDescent="0.25">
      <c r="D52" t="s">
        <v>41</v>
      </c>
      <c r="G52" s="3"/>
      <c r="H52" s="3"/>
      <c r="I52" s="3"/>
      <c r="J52" s="115"/>
      <c r="K52" s="3"/>
      <c r="L52" s="3"/>
      <c r="M52" s="3"/>
      <c r="N52" s="3"/>
      <c r="O52" s="3"/>
      <c r="P52" s="3"/>
      <c r="Q52" s="3"/>
      <c r="R52" s="3"/>
      <c r="S52" s="3"/>
    </row>
    <row r="53" spans="3:19" x14ac:dyDescent="0.25">
      <c r="E53" t="s">
        <v>42</v>
      </c>
      <c r="G53" s="3">
        <f>Starting.PPE</f>
        <v>6000</v>
      </c>
      <c r="H53" s="3">
        <f>+G53+Parms!H32</f>
        <v>8500</v>
      </c>
      <c r="I53" s="3">
        <f>+H53+Parms!I32</f>
        <v>11000</v>
      </c>
      <c r="J53" s="115">
        <f>+I53</f>
        <v>11000</v>
      </c>
      <c r="K53" s="3">
        <f>+I53+Parms!J32</f>
        <v>12750</v>
      </c>
      <c r="L53" s="3">
        <f>+K53+Parms!K32</f>
        <v>14500</v>
      </c>
      <c r="M53" s="3">
        <f>+L53+Parms!L32</f>
        <v>16250</v>
      </c>
      <c r="N53" s="3">
        <f>+M53+Parms!M32</f>
        <v>18000</v>
      </c>
      <c r="O53" s="3">
        <f>+N53+Parms!N32</f>
        <v>19750</v>
      </c>
      <c r="P53" s="3"/>
      <c r="Q53" s="3"/>
      <c r="R53" s="3"/>
      <c r="S53" s="3"/>
    </row>
    <row r="54" spans="3:19" x14ac:dyDescent="0.25">
      <c r="E54" t="s">
        <v>46</v>
      </c>
      <c r="G54" s="3">
        <f>-Starting.Acc.Dep</f>
        <v>-1500</v>
      </c>
      <c r="H54" s="3">
        <f>+G54-H24</f>
        <v>-2500</v>
      </c>
      <c r="I54" s="3">
        <f>+H54-I24</f>
        <v>-3500</v>
      </c>
      <c r="J54" s="115">
        <f>+I54</f>
        <v>-3500</v>
      </c>
      <c r="K54" s="3">
        <f>+I54-K24</f>
        <v>-4500</v>
      </c>
      <c r="L54" s="3">
        <f t="shared" ref="L54:O54" si="5">+K54-L24</f>
        <v>-5500</v>
      </c>
      <c r="M54" s="3">
        <f t="shared" si="5"/>
        <v>-6500</v>
      </c>
      <c r="N54" s="3">
        <f t="shared" si="5"/>
        <v>-7500</v>
      </c>
      <c r="O54" s="3">
        <f t="shared" si="5"/>
        <v>-8500</v>
      </c>
      <c r="P54" s="3"/>
      <c r="Q54" s="3"/>
      <c r="R54" s="3"/>
      <c r="S54" s="3"/>
    </row>
    <row r="55" spans="3:19" x14ac:dyDescent="0.25">
      <c r="E55" s="12" t="s">
        <v>47</v>
      </c>
      <c r="G55" s="6">
        <f t="shared" ref="G55:I55" si="6">SUM(G53:G54)</f>
        <v>4500</v>
      </c>
      <c r="H55" s="6">
        <f t="shared" si="6"/>
        <v>6000</v>
      </c>
      <c r="I55" s="6">
        <f t="shared" si="6"/>
        <v>7500</v>
      </c>
      <c r="J55" s="116">
        <f>+SUM(J53:J54)</f>
        <v>7500</v>
      </c>
      <c r="K55" s="6">
        <f t="shared" ref="K55:O55" si="7">SUM(K53:K54)</f>
        <v>8250</v>
      </c>
      <c r="L55" s="6">
        <f t="shared" si="7"/>
        <v>9000</v>
      </c>
      <c r="M55" s="6">
        <f t="shared" si="7"/>
        <v>9750</v>
      </c>
      <c r="N55" s="6">
        <f t="shared" si="7"/>
        <v>10500</v>
      </c>
      <c r="O55" s="6">
        <f t="shared" si="7"/>
        <v>11250</v>
      </c>
      <c r="P55" s="3"/>
      <c r="Q55" s="3"/>
      <c r="R55" s="3"/>
      <c r="S55" s="3"/>
    </row>
    <row r="56" spans="3:19" x14ac:dyDescent="0.25">
      <c r="E56" t="s">
        <v>48</v>
      </c>
      <c r="G56" s="3">
        <f>starting.goodwill</f>
        <v>2000</v>
      </c>
      <c r="H56" s="3">
        <f>+G56-H25</f>
        <v>1750</v>
      </c>
      <c r="I56" s="3">
        <f>+H56-I25</f>
        <v>1500</v>
      </c>
      <c r="J56" s="115">
        <f>+I56+LBO.Goodwill</f>
        <v>53321.195937961704</v>
      </c>
      <c r="K56" s="3">
        <f>+J56-K25</f>
        <v>50480.136141063616</v>
      </c>
      <c r="L56" s="3">
        <f t="shared" ref="L56:O56" si="8">+K56-L25</f>
        <v>47639.076344165529</v>
      </c>
      <c r="M56" s="3">
        <f t="shared" si="8"/>
        <v>44798.016547267442</v>
      </c>
      <c r="N56" s="3">
        <f t="shared" si="8"/>
        <v>41956.956750369354</v>
      </c>
      <c r="O56" s="3">
        <f t="shared" si="8"/>
        <v>39115.896953471267</v>
      </c>
      <c r="P56" s="3"/>
      <c r="Q56" s="3"/>
      <c r="R56" s="3"/>
      <c r="S56" s="3"/>
    </row>
    <row r="57" spans="3:19" x14ac:dyDescent="0.25">
      <c r="E57" t="s">
        <v>50</v>
      </c>
      <c r="G57" s="3">
        <v>1000</v>
      </c>
      <c r="H57" s="3">
        <f>+G57</f>
        <v>1000</v>
      </c>
      <c r="I57" s="3">
        <f>+H57</f>
        <v>1000</v>
      </c>
      <c r="J57" s="115">
        <f>+I57</f>
        <v>1000</v>
      </c>
      <c r="K57" s="3">
        <f>+J57</f>
        <v>1000</v>
      </c>
      <c r="L57" s="3">
        <f t="shared" ref="L57:O57" si="9">+K57</f>
        <v>1000</v>
      </c>
      <c r="M57" s="3">
        <f t="shared" si="9"/>
        <v>1000</v>
      </c>
      <c r="N57" s="3">
        <f t="shared" si="9"/>
        <v>1000</v>
      </c>
      <c r="O57" s="3">
        <f t="shared" si="9"/>
        <v>1000</v>
      </c>
      <c r="P57" s="3"/>
      <c r="Q57" s="3"/>
      <c r="R57" s="3"/>
      <c r="S57" s="3"/>
    </row>
    <row r="58" spans="3:19" x14ac:dyDescent="0.25">
      <c r="D58" t="s">
        <v>51</v>
      </c>
      <c r="G58" s="6">
        <f>SUM(G55:G57)</f>
        <v>7500</v>
      </c>
      <c r="H58" s="6">
        <f t="shared" ref="H58:I58" si="10">SUM(H55:H57)</f>
        <v>8750</v>
      </c>
      <c r="I58" s="6">
        <f t="shared" si="10"/>
        <v>10000</v>
      </c>
      <c r="J58" s="116">
        <f>SUM(J55:J57)</f>
        <v>61821.195937961704</v>
      </c>
      <c r="K58" s="6">
        <f t="shared" ref="K58:O58" si="11">SUM(K55:K57)</f>
        <v>59730.136141063616</v>
      </c>
      <c r="L58" s="6">
        <f t="shared" si="11"/>
        <v>57639.076344165529</v>
      </c>
      <c r="M58" s="6">
        <f t="shared" si="11"/>
        <v>55548.016547267442</v>
      </c>
      <c r="N58" s="6">
        <f t="shared" si="11"/>
        <v>53456.956750369354</v>
      </c>
      <c r="O58" s="6">
        <f t="shared" si="11"/>
        <v>51365.896953471267</v>
      </c>
      <c r="P58" s="3"/>
      <c r="Q58" s="3"/>
      <c r="R58" s="3"/>
      <c r="S58" s="3"/>
    </row>
    <row r="59" spans="3:19" x14ac:dyDescent="0.25">
      <c r="G59" s="3"/>
      <c r="H59" s="3"/>
      <c r="I59" s="3"/>
      <c r="J59" s="115"/>
      <c r="K59" s="3"/>
      <c r="L59" s="3"/>
      <c r="M59" s="3"/>
      <c r="N59" s="3"/>
      <c r="O59" s="3"/>
      <c r="P59" s="3"/>
      <c r="Q59" s="3"/>
      <c r="R59" s="3"/>
      <c r="S59" s="3"/>
    </row>
    <row r="60" spans="3:19" ht="15.75" thickBot="1" x14ac:dyDescent="0.3">
      <c r="C60" t="s">
        <v>52</v>
      </c>
      <c r="E60" s="12"/>
      <c r="G60" s="13" cm="1">
        <f t="array" ref="G60:I60">+G50:I50+G58:I58</f>
        <v>18125.311889727534</v>
      </c>
      <c r="H60" s="13">
        <v>20062.180342339809</v>
      </c>
      <c r="I60" s="13">
        <v>19955.655639211545</v>
      </c>
      <c r="J60" s="121">
        <f>+SUM(J58,J50)</f>
        <v>72968.699549425495</v>
      </c>
      <c r="K60" s="218" cm="1">
        <f t="array" aca="1" ref="K60:O60" ca="1">+K50:O50+K58:O58</f>
        <v>71814.430440914963</v>
      </c>
      <c r="L60" s="218">
        <f ca="1"/>
        <v>70527.014586262434</v>
      </c>
      <c r="M60" s="218">
        <f ca="1"/>
        <v>68984.699345383371</v>
      </c>
      <c r="N60" s="218">
        <f ca="1"/>
        <v>67598.455150945432</v>
      </c>
      <c r="O60" s="218">
        <f ca="1"/>
        <v>66250.765038362617</v>
      </c>
      <c r="P60" s="3"/>
      <c r="Q60" s="3"/>
      <c r="R60" s="3"/>
      <c r="S60" s="3"/>
    </row>
    <row r="61" spans="3:19" ht="15.75" thickTop="1" x14ac:dyDescent="0.25">
      <c r="G61" s="3"/>
      <c r="H61" s="3"/>
      <c r="I61" s="3"/>
      <c r="J61" s="115"/>
      <c r="K61" s="3"/>
      <c r="L61" s="3"/>
      <c r="M61" s="3"/>
      <c r="N61" s="3"/>
      <c r="O61" s="3"/>
      <c r="P61" s="3"/>
      <c r="Q61" s="3"/>
      <c r="R61" s="3"/>
      <c r="S61" s="3"/>
    </row>
    <row r="62" spans="3:19" x14ac:dyDescent="0.25">
      <c r="C62" t="s">
        <v>53</v>
      </c>
      <c r="G62" s="3"/>
      <c r="H62" s="3"/>
      <c r="I62" s="3"/>
      <c r="J62" s="115"/>
      <c r="K62" s="3"/>
      <c r="L62" s="3"/>
      <c r="M62" s="3"/>
      <c r="N62" s="3"/>
      <c r="O62" s="3"/>
      <c r="P62" s="3"/>
      <c r="Q62" s="3"/>
      <c r="R62" s="3"/>
      <c r="S62" s="3"/>
    </row>
    <row r="63" spans="3:19" x14ac:dyDescent="0.25">
      <c r="D63" t="s">
        <v>54</v>
      </c>
      <c r="G63" s="3"/>
      <c r="H63" s="3"/>
      <c r="I63" s="3"/>
      <c r="J63" s="115"/>
      <c r="K63" s="3"/>
      <c r="L63" s="3"/>
      <c r="M63" s="3"/>
      <c r="N63" s="3"/>
      <c r="O63" s="3"/>
      <c r="P63" s="3"/>
      <c r="Q63" s="3"/>
      <c r="R63" s="3"/>
      <c r="S63" s="3"/>
    </row>
    <row r="64" spans="3:19" x14ac:dyDescent="0.25">
      <c r="E64" t="s">
        <v>55</v>
      </c>
      <c r="G64" s="3"/>
      <c r="H64" s="3"/>
      <c r="I64" s="3"/>
      <c r="J64" s="115"/>
      <c r="K64" s="3"/>
      <c r="L64" s="3"/>
      <c r="M64" s="3"/>
      <c r="N64" s="3"/>
      <c r="O64" s="3"/>
      <c r="P64" s="3"/>
      <c r="Q64" s="3"/>
      <c r="R64" s="3"/>
      <c r="S64" s="3"/>
    </row>
    <row r="65" spans="4:19" x14ac:dyDescent="0.25">
      <c r="E65" s="12" t="s">
        <v>56</v>
      </c>
      <c r="G65" s="3" cm="1">
        <f t="array" ref="G65:I65">H.COGS*(P.H.Accounts.Pay.Days/365)</f>
        <v>1286.3725292182605</v>
      </c>
      <c r="H65" s="3">
        <v>1272.5448269331832</v>
      </c>
      <c r="I65" s="3">
        <v>1308.518654661807</v>
      </c>
      <c r="J65" s="115">
        <f>+I65</f>
        <v>1308.518654661807</v>
      </c>
      <c r="K65" s="3" cm="1">
        <f t="array" ref="K65:O65">F.COGS*(P.F.Accts.Pay.Days/365)</f>
        <v>1521.1840056246192</v>
      </c>
      <c r="L65" s="3">
        <v>1773.0764487911717</v>
      </c>
      <c r="M65" s="3">
        <v>1850.5638794300608</v>
      </c>
      <c r="N65" s="3">
        <v>1995.0979857376285</v>
      </c>
      <c r="O65" s="3">
        <v>2069.5958163259265</v>
      </c>
      <c r="P65" s="3"/>
      <c r="Q65" s="3"/>
      <c r="R65" s="3"/>
      <c r="S65" s="3"/>
    </row>
    <row r="66" spans="4:19" x14ac:dyDescent="0.25">
      <c r="E66" s="12" t="s">
        <v>57</v>
      </c>
      <c r="G66" s="3" cm="1">
        <f t="array" ref="G66:I66">H.Revenues*P.H.Accrued.Liabs</f>
        <v>763.82999999999993</v>
      </c>
      <c r="H66" s="3">
        <v>773.25</v>
      </c>
      <c r="I66" s="3">
        <v>764.13</v>
      </c>
      <c r="J66" s="115">
        <f t="shared" ref="J66" si="12">+I66</f>
        <v>764.13</v>
      </c>
      <c r="K66" s="3" cm="1">
        <f t="array" ref="K66:O66">F.Revenues*P.F.Accrued.Liabs</f>
        <v>792.15389999999991</v>
      </c>
      <c r="L66" s="3">
        <v>821.20877165999991</v>
      </c>
      <c r="M66" s="3">
        <v>851.33265936335988</v>
      </c>
      <c r="N66" s="3">
        <v>882.5650155613165</v>
      </c>
      <c r="O66" s="3">
        <v>914.94675303724887</v>
      </c>
      <c r="P66" s="3"/>
      <c r="Q66" s="3"/>
      <c r="R66" s="3"/>
      <c r="S66" s="3"/>
    </row>
    <row r="67" spans="4:19" x14ac:dyDescent="0.25">
      <c r="E67" s="12" t="s">
        <v>59</v>
      </c>
      <c r="G67" s="3" cm="1">
        <f t="array" aca="1" ref="G67:I67" ca="1">D.H.STDebt</f>
        <v>250</v>
      </c>
      <c r="H67" s="3">
        <f ca="1"/>
        <v>2250</v>
      </c>
      <c r="I67" s="3">
        <f ca="1"/>
        <v>1500</v>
      </c>
      <c r="J67" s="115">
        <f ca="1">+LBO.STDebt</f>
        <v>1500</v>
      </c>
      <c r="K67" s="3" cm="1">
        <f t="array" aca="1" ref="K67:O67" ca="1">D.F.STDebt</f>
        <v>1896.2367786422546</v>
      </c>
      <c r="L67" s="3">
        <f ca="1"/>
        <v>2299.8776845715911</v>
      </c>
      <c r="M67" s="3">
        <f ca="1"/>
        <v>2658.4142061987804</v>
      </c>
      <c r="N67" s="3">
        <f ca="1"/>
        <v>2932.0994065954983</v>
      </c>
      <c r="O67" s="3">
        <f ca="1"/>
        <v>1500</v>
      </c>
      <c r="P67" s="3"/>
      <c r="Q67" s="3"/>
      <c r="R67" s="3"/>
      <c r="S67" s="3"/>
    </row>
    <row r="68" spans="4:19" x14ac:dyDescent="0.25">
      <c r="E68" s="16" t="s">
        <v>69</v>
      </c>
      <c r="G68" s="6">
        <f t="shared" ref="G68:O68" ca="1" si="13">SUM(G65:G67)</f>
        <v>2300.2025292182607</v>
      </c>
      <c r="H68" s="6">
        <f t="shared" ca="1" si="13"/>
        <v>4295.7948269331828</v>
      </c>
      <c r="I68" s="6">
        <f t="shared" ca="1" si="13"/>
        <v>3572.6486546618071</v>
      </c>
      <c r="J68" s="116">
        <f ca="1">+SUM(J65:J67)</f>
        <v>3572.6486546618071</v>
      </c>
      <c r="K68" s="6">
        <f t="shared" ca="1" si="13"/>
        <v>4209.5746842668741</v>
      </c>
      <c r="L68" s="6">
        <f t="shared" ca="1" si="13"/>
        <v>4894.162905022763</v>
      </c>
      <c r="M68" s="6">
        <f t="shared" ca="1" si="13"/>
        <v>5360.3107449922009</v>
      </c>
      <c r="N68" s="6">
        <f t="shared" ca="1" si="13"/>
        <v>5809.7624078944427</v>
      </c>
      <c r="O68" s="6">
        <f t="shared" ca="1" si="13"/>
        <v>4484.5425693631751</v>
      </c>
      <c r="P68" s="3"/>
      <c r="Q68" s="3"/>
      <c r="R68" s="3"/>
      <c r="S68" s="3"/>
    </row>
    <row r="69" spans="4:19" x14ac:dyDescent="0.25">
      <c r="G69" s="3"/>
      <c r="H69" s="3"/>
      <c r="I69" s="3"/>
      <c r="J69" s="115"/>
      <c r="K69" s="3"/>
      <c r="L69" s="3"/>
      <c r="M69" s="3"/>
      <c r="N69" s="3"/>
      <c r="O69" s="3"/>
      <c r="P69" s="3"/>
      <c r="Q69" s="3"/>
      <c r="R69" s="3"/>
      <c r="S69" s="3"/>
    </row>
    <row r="70" spans="4:19" x14ac:dyDescent="0.25">
      <c r="E70" s="16" t="s">
        <v>70</v>
      </c>
      <c r="G70" s="3"/>
      <c r="H70" s="3"/>
      <c r="I70" s="3"/>
      <c r="J70" s="115"/>
      <c r="K70" s="3"/>
      <c r="L70" s="3"/>
      <c r="M70" s="3"/>
      <c r="N70" s="3"/>
      <c r="O70" s="3"/>
      <c r="P70" s="3"/>
      <c r="Q70" s="3"/>
      <c r="R70" s="3"/>
      <c r="S70" s="3"/>
    </row>
    <row r="71" spans="4:19" x14ac:dyDescent="0.25">
      <c r="E71" s="12" t="s">
        <v>68</v>
      </c>
      <c r="G71" s="3" cm="1">
        <f t="array" aca="1" ref="G71:I71" ca="1">D.H.LTDebt</f>
        <v>7750</v>
      </c>
      <c r="H71" s="3">
        <f ca="1"/>
        <v>5500</v>
      </c>
      <c r="I71" s="3">
        <f ca="1"/>
        <v>4000</v>
      </c>
      <c r="J71" s="115">
        <f ca="1">+LBO.LTDebt</f>
        <v>38500</v>
      </c>
      <c r="K71" s="3" cm="1">
        <f t="array" aca="1" ref="K71:O71" ca="1">D.F.LTDebt</f>
        <v>36603.763221357745</v>
      </c>
      <c r="L71" s="3">
        <f ca="1"/>
        <v>34303.885536786154</v>
      </c>
      <c r="M71" s="3">
        <f ca="1"/>
        <v>31645.471330587374</v>
      </c>
      <c r="N71" s="3">
        <f ca="1"/>
        <v>28713.371923991876</v>
      </c>
      <c r="O71" s="3">
        <f ca="1"/>
        <v>27213.371923991876</v>
      </c>
      <c r="P71" s="3"/>
      <c r="Q71" s="3"/>
      <c r="R71" s="3"/>
      <c r="S71" s="3"/>
    </row>
    <row r="72" spans="4:19" x14ac:dyDescent="0.25">
      <c r="E72" s="12" t="s">
        <v>71</v>
      </c>
      <c r="G72" s="3">
        <v>1000</v>
      </c>
      <c r="H72" s="3">
        <f>+G72</f>
        <v>1000</v>
      </c>
      <c r="I72" s="3">
        <f>+H72</f>
        <v>1000</v>
      </c>
      <c r="J72" s="115">
        <f>+I72</f>
        <v>1000</v>
      </c>
      <c r="K72" s="3">
        <f>+J72</f>
        <v>1000</v>
      </c>
      <c r="L72" s="3">
        <f t="shared" ref="L72:O72" si="14">+K72</f>
        <v>1000</v>
      </c>
      <c r="M72" s="3">
        <f t="shared" si="14"/>
        <v>1000</v>
      </c>
      <c r="N72" s="3">
        <f t="shared" si="14"/>
        <v>1000</v>
      </c>
      <c r="O72" s="3">
        <f t="shared" si="14"/>
        <v>1000</v>
      </c>
      <c r="P72" s="3"/>
      <c r="Q72" s="3"/>
      <c r="R72" s="3"/>
      <c r="S72" s="3"/>
    </row>
    <row r="73" spans="4:19" x14ac:dyDescent="0.25">
      <c r="E73" t="s">
        <v>72</v>
      </c>
      <c r="G73" s="6">
        <f t="shared" ref="G73:I73" ca="1" si="15">SUM(G71:G72)</f>
        <v>8750</v>
      </c>
      <c r="H73" s="6">
        <f t="shared" ca="1" si="15"/>
        <v>6500</v>
      </c>
      <c r="I73" s="6">
        <f t="shared" ca="1" si="15"/>
        <v>5000</v>
      </c>
      <c r="J73" s="116">
        <f ca="1">SUM(J71:J72)</f>
        <v>39500</v>
      </c>
      <c r="K73" s="6">
        <f t="shared" ref="K73:O73" ca="1" si="16">SUM(K71:K72)</f>
        <v>37603.763221357745</v>
      </c>
      <c r="L73" s="6">
        <f t="shared" ca="1" si="16"/>
        <v>35303.885536786154</v>
      </c>
      <c r="M73" s="6">
        <f t="shared" ca="1" si="16"/>
        <v>32645.471330587374</v>
      </c>
      <c r="N73" s="6">
        <f t="shared" ca="1" si="16"/>
        <v>29713.371923991876</v>
      </c>
      <c r="O73" s="6">
        <f t="shared" ca="1" si="16"/>
        <v>28213.371923991876</v>
      </c>
      <c r="P73" s="3"/>
      <c r="Q73" s="3"/>
      <c r="R73" s="3"/>
      <c r="S73" s="3"/>
    </row>
    <row r="74" spans="4:19" x14ac:dyDescent="0.25">
      <c r="G74" s="3"/>
      <c r="H74" s="3"/>
      <c r="I74" s="3"/>
      <c r="J74" s="115"/>
      <c r="K74" s="3"/>
      <c r="L74" s="3"/>
      <c r="M74" s="3"/>
      <c r="N74" s="3"/>
      <c r="O74" s="3"/>
      <c r="P74" s="3"/>
      <c r="Q74" s="3"/>
      <c r="R74" s="3"/>
      <c r="S74" s="3"/>
    </row>
    <row r="75" spans="4:19" x14ac:dyDescent="0.25">
      <c r="D75" t="s">
        <v>73</v>
      </c>
      <c r="G75" s="6" cm="1">
        <f t="array" aca="1" ref="G75:I75" ca="1">+G68:I68+G73:I73</f>
        <v>11050.202529218261</v>
      </c>
      <c r="H75" s="6">
        <f ca="1"/>
        <v>10795.794826933183</v>
      </c>
      <c r="I75" s="6">
        <f ca="1"/>
        <v>8572.6486546618071</v>
      </c>
      <c r="J75" s="116">
        <f ca="1">+J68+J73</f>
        <v>43072.648654661811</v>
      </c>
      <c r="K75" s="6" cm="1">
        <f t="array" aca="1" ref="K75:O75" ca="1">+K68:O68+K73:O73</f>
        <v>41813.337905624619</v>
      </c>
      <c r="L75" s="6">
        <f ca="1"/>
        <v>40198.048441808918</v>
      </c>
      <c r="M75" s="6">
        <f ca="1"/>
        <v>38005.782075579576</v>
      </c>
      <c r="N75" s="6">
        <f ca="1"/>
        <v>35523.134331886322</v>
      </c>
      <c r="O75" s="6">
        <f ca="1"/>
        <v>32697.914493355049</v>
      </c>
      <c r="P75" s="3"/>
      <c r="Q75" s="3"/>
      <c r="R75" s="3"/>
      <c r="S75" s="3"/>
    </row>
    <row r="76" spans="4:19" x14ac:dyDescent="0.25">
      <c r="G76" s="3"/>
      <c r="H76" s="3"/>
      <c r="I76" s="3"/>
      <c r="J76" s="115"/>
      <c r="K76" s="3"/>
      <c r="L76" s="3"/>
      <c r="M76" s="3"/>
      <c r="N76" s="3"/>
      <c r="O76" s="3"/>
      <c r="P76" s="3"/>
      <c r="Q76" s="3"/>
      <c r="R76" s="3"/>
      <c r="S76" s="3"/>
    </row>
    <row r="77" spans="4:19" x14ac:dyDescent="0.25">
      <c r="D77" t="s">
        <v>74</v>
      </c>
      <c r="G77" s="3"/>
      <c r="H77" s="3"/>
      <c r="I77" s="3"/>
      <c r="J77" s="115"/>
      <c r="K77" s="3"/>
      <c r="L77" s="3"/>
      <c r="M77" s="3"/>
      <c r="N77" s="3"/>
      <c r="O77" s="3"/>
      <c r="P77" s="3"/>
      <c r="Q77" s="3"/>
      <c r="R77" s="3"/>
      <c r="S77" s="3"/>
    </row>
    <row r="78" spans="4:19" x14ac:dyDescent="0.25">
      <c r="E78" t="s">
        <v>75</v>
      </c>
      <c r="G78" s="3">
        <v>1500</v>
      </c>
      <c r="H78" s="3">
        <f>+G78</f>
        <v>1500</v>
      </c>
      <c r="I78" s="27">
        <f>+H78</f>
        <v>1500</v>
      </c>
      <c r="J78" s="115">
        <v>0</v>
      </c>
      <c r="K78" s="3">
        <f>+J78</f>
        <v>0</v>
      </c>
      <c r="L78" s="3">
        <f t="shared" ref="L78:O79" si="17">+K78</f>
        <v>0</v>
      </c>
      <c r="M78" s="3">
        <f t="shared" si="17"/>
        <v>0</v>
      </c>
      <c r="N78" s="3">
        <f t="shared" si="17"/>
        <v>0</v>
      </c>
      <c r="O78" s="3">
        <f t="shared" si="17"/>
        <v>0</v>
      </c>
      <c r="P78" s="3"/>
      <c r="Q78" s="3"/>
      <c r="R78" s="3"/>
      <c r="S78" s="3"/>
    </row>
    <row r="79" spans="4:19" x14ac:dyDescent="0.25">
      <c r="E79" t="s">
        <v>76</v>
      </c>
      <c r="G79" s="3">
        <v>3500</v>
      </c>
      <c r="H79" s="3">
        <f>+G79</f>
        <v>3500</v>
      </c>
      <c r="I79" s="3">
        <f>+H79</f>
        <v>3500</v>
      </c>
      <c r="J79" s="115">
        <f>+LBO.Sponsor.Equity</f>
        <v>34796.050895</v>
      </c>
      <c r="K79" s="105">
        <f>+J79</f>
        <v>34796.050895</v>
      </c>
      <c r="L79" s="105">
        <f t="shared" si="17"/>
        <v>34796.050895</v>
      </c>
      <c r="M79" s="105">
        <f t="shared" si="17"/>
        <v>34796.050895</v>
      </c>
      <c r="N79" s="105">
        <f t="shared" si="17"/>
        <v>34796.050895</v>
      </c>
      <c r="O79" s="105">
        <f t="shared" si="17"/>
        <v>34796.050895</v>
      </c>
      <c r="P79" s="3"/>
      <c r="Q79" s="3"/>
      <c r="R79" s="3"/>
      <c r="S79" s="3"/>
    </row>
    <row r="80" spans="4:19" x14ac:dyDescent="0.25">
      <c r="E80" t="s">
        <v>77</v>
      </c>
      <c r="G80" s="3">
        <f>-Parms!G24</f>
        <v>-500</v>
      </c>
      <c r="H80" s="3">
        <f>+G80-Parms!H24</f>
        <v>-1000</v>
      </c>
      <c r="I80" s="3">
        <f>+H80-Parms!I24</f>
        <v>-1500</v>
      </c>
      <c r="J80" s="115">
        <v>0</v>
      </c>
      <c r="K80" s="3">
        <f>+J80</f>
        <v>0</v>
      </c>
      <c r="L80" s="3">
        <f>+K80-Parms!K24</f>
        <v>0</v>
      </c>
      <c r="M80" s="3">
        <f>+L80-Parms!L24</f>
        <v>0</v>
      </c>
      <c r="N80" s="3">
        <f>+M80-Parms!M24</f>
        <v>0</v>
      </c>
      <c r="O80" s="3">
        <f>+N80-Parms!N24</f>
        <v>0</v>
      </c>
      <c r="P80" s="3"/>
      <c r="Q80" s="3"/>
      <c r="R80" s="3"/>
      <c r="S80" s="3"/>
    </row>
    <row r="81" spans="3:29" x14ac:dyDescent="0.25">
      <c r="E81" t="s">
        <v>79</v>
      </c>
      <c r="G81" s="17">
        <f>+G40+197.436-518.143-0.0003888</f>
        <v>2575.1093605045276</v>
      </c>
      <c r="H81" s="3">
        <f>+G81+H40</f>
        <v>5266.3855154018765</v>
      </c>
      <c r="I81" s="3">
        <f>+H81+I40</f>
        <v>7883.006984544988</v>
      </c>
      <c r="J81" s="115">
        <f>0-JPM.Fee-goldman.sachs.fee</f>
        <v>-4900</v>
      </c>
      <c r="K81" s="3">
        <f ca="1">+J81+K40</f>
        <v>-4794.958359473334</v>
      </c>
      <c r="L81" s="3">
        <f t="shared" ref="L81:O81" ca="1" si="18">+K81+L40</f>
        <v>-4467.0847503101577</v>
      </c>
      <c r="M81" s="3">
        <f t="shared" ca="1" si="18"/>
        <v>-3817.133624959883</v>
      </c>
      <c r="N81" s="3">
        <f t="shared" ca="1" si="18"/>
        <v>-2720.7300757045609</v>
      </c>
      <c r="O81" s="3">
        <f t="shared" ca="1" si="18"/>
        <v>-1243.2003497561163</v>
      </c>
      <c r="P81" s="3"/>
      <c r="Q81" s="3"/>
      <c r="R81" s="3"/>
      <c r="S81" s="3"/>
    </row>
    <row r="82" spans="3:29" x14ac:dyDescent="0.25">
      <c r="D82" t="s">
        <v>80</v>
      </c>
      <c r="G82" s="6">
        <f t="shared" ref="G82:I82" si="19">SUM(G78:G81)</f>
        <v>7075.109360504528</v>
      </c>
      <c r="H82" s="6">
        <f t="shared" si="19"/>
        <v>9266.3855154018765</v>
      </c>
      <c r="I82" s="26">
        <f t="shared" si="19"/>
        <v>11383.006984544987</v>
      </c>
      <c r="J82" s="116">
        <f>SUM(J78:J81)</f>
        <v>29896.050895</v>
      </c>
      <c r="K82" s="6">
        <f t="shared" ref="K82:O82" ca="1" si="20">SUM(K78:K81)</f>
        <v>30001.092535526666</v>
      </c>
      <c r="L82" s="6">
        <f t="shared" ca="1" si="20"/>
        <v>30328.966144689843</v>
      </c>
      <c r="M82" s="6">
        <f t="shared" ca="1" si="20"/>
        <v>30978.917270040118</v>
      </c>
      <c r="N82" s="6">
        <f t="shared" ca="1" si="20"/>
        <v>32075.320819295441</v>
      </c>
      <c r="O82" s="6">
        <f t="shared" ca="1" si="20"/>
        <v>33552.850545243884</v>
      </c>
      <c r="P82" s="3"/>
      <c r="Q82" s="3"/>
      <c r="R82" s="3"/>
      <c r="S82" s="3"/>
    </row>
    <row r="83" spans="3:29" x14ac:dyDescent="0.25">
      <c r="G83" s="3"/>
      <c r="H83" s="3"/>
      <c r="I83" s="3"/>
      <c r="J83" s="115"/>
      <c r="K83" s="3"/>
      <c r="L83" s="3"/>
      <c r="M83" s="3"/>
      <c r="N83" s="3"/>
      <c r="O83" s="3"/>
      <c r="P83" s="3"/>
      <c r="Q83" s="3"/>
      <c r="R83" s="3"/>
    </row>
    <row r="84" spans="3:29" ht="15.75" thickBot="1" x14ac:dyDescent="0.3">
      <c r="D84" t="s">
        <v>81</v>
      </c>
      <c r="G84" s="18" cm="1">
        <f t="array" aca="1" ref="G84:I84" ca="1">+_xlfn.ANCHORARRAY(G75)+G82:I82</f>
        <v>18125.311889722791</v>
      </c>
      <c r="H84" s="18">
        <f ca="1"/>
        <v>20062.180342335058</v>
      </c>
      <c r="I84" s="18">
        <f ca="1"/>
        <v>19955.655639206794</v>
      </c>
      <c r="J84" s="122">
        <f ca="1">J75+J82</f>
        <v>72968.699549661804</v>
      </c>
      <c r="K84" s="219" cm="1">
        <f t="array" aca="1" ref="K84:O84" ca="1">+_xlfn.ANCHORARRAY(K75)+K82:O82</f>
        <v>71814.430441151286</v>
      </c>
      <c r="L84" s="219">
        <f ca="1"/>
        <v>70527.014586498757</v>
      </c>
      <c r="M84" s="219">
        <f ca="1"/>
        <v>68984.699345619694</v>
      </c>
      <c r="N84" s="219">
        <f ca="1"/>
        <v>67598.455151181755</v>
      </c>
      <c r="O84" s="219">
        <f ca="1"/>
        <v>66250.76503859894</v>
      </c>
      <c r="P84" s="3"/>
      <c r="Q84" s="3"/>
      <c r="R84" s="3"/>
      <c r="S84" s="3"/>
    </row>
    <row r="85" spans="3:29" x14ac:dyDescent="0.25">
      <c r="G85" s="3"/>
      <c r="H85" s="3"/>
      <c r="I85" s="3"/>
      <c r="J85" s="115"/>
      <c r="K85" s="3"/>
      <c r="L85" s="3"/>
      <c r="M85" s="3"/>
      <c r="N85" s="3"/>
      <c r="O85" s="3"/>
      <c r="P85" s="3"/>
      <c r="Q85" s="3"/>
      <c r="R85" s="3"/>
      <c r="S85" s="3"/>
    </row>
    <row r="86" spans="3:29" x14ac:dyDescent="0.25">
      <c r="E86" t="s">
        <v>82</v>
      </c>
      <c r="G86" s="3" cm="1">
        <f t="array" aca="1" ref="G86:I86" ca="1">H.Total.Assets-H.Capital</f>
        <v>4.7439243644475937E-9</v>
      </c>
      <c r="H86" s="3">
        <f ca="1"/>
        <v>4.7512003220617771E-9</v>
      </c>
      <c r="I86" s="3">
        <f ca="1"/>
        <v>4.7512003220617771E-9</v>
      </c>
      <c r="J86" s="115">
        <f ca="1">J60-J84</f>
        <v>-2.3630855139344931E-7</v>
      </c>
      <c r="K86" s="3" cm="1">
        <f t="array" aca="1" ref="K86:O86" ca="1">F.Total.Assets-F.Capital</f>
        <v>-2.3632310330867767E-7</v>
      </c>
      <c r="L86" s="3">
        <f ca="1"/>
        <v>-2.3632310330867767E-7</v>
      </c>
      <c r="M86" s="3">
        <f ca="1"/>
        <v>-2.3632310330867767E-7</v>
      </c>
      <c r="N86" s="3">
        <f ca="1"/>
        <v>-2.3632310330867767E-7</v>
      </c>
      <c r="O86" s="3">
        <f ca="1"/>
        <v>-2.3632310330867767E-7</v>
      </c>
      <c r="P86" s="3"/>
      <c r="Q86" s="3"/>
      <c r="R86" s="3"/>
      <c r="S86" s="3"/>
    </row>
    <row r="87" spans="3:29" x14ac:dyDescent="0.25">
      <c r="G87" s="3"/>
      <c r="H87" s="3"/>
      <c r="I87" s="3"/>
      <c r="J87" s="115"/>
      <c r="K87" s="3"/>
      <c r="L87" s="3"/>
      <c r="M87" s="3"/>
      <c r="N87" s="3"/>
      <c r="O87" s="3"/>
      <c r="P87" s="3"/>
      <c r="Q87" s="3"/>
      <c r="R87" s="3"/>
      <c r="S87" s="3"/>
    </row>
    <row r="88" spans="3:29" x14ac:dyDescent="0.25">
      <c r="G88" s="3"/>
      <c r="H88" s="3"/>
      <c r="I88" s="3"/>
      <c r="J88" s="115"/>
      <c r="K88" s="3"/>
      <c r="L88" s="3"/>
      <c r="M88" s="3"/>
      <c r="N88" s="3"/>
      <c r="O88" s="3"/>
      <c r="P88" s="3"/>
      <c r="Q88" s="3"/>
      <c r="R88" s="3"/>
      <c r="S88" s="3"/>
      <c r="T88" s="3"/>
      <c r="U88" s="3"/>
      <c r="V88" s="3"/>
      <c r="W88" s="3"/>
      <c r="X88" s="3"/>
      <c r="Y88" s="3"/>
      <c r="Z88" s="3"/>
      <c r="AA88" s="3"/>
      <c r="AB88" s="3"/>
      <c r="AC88" s="3"/>
    </row>
    <row r="89" spans="3:29" x14ac:dyDescent="0.25">
      <c r="C89" t="s">
        <v>83</v>
      </c>
      <c r="G89" s="5" cm="1">
        <f t="array" ref="G89:I89">dates.hist</f>
        <v>2022</v>
      </c>
      <c r="H89" s="5">
        <v>2023</v>
      </c>
      <c r="I89" s="5">
        <v>2024</v>
      </c>
      <c r="J89" s="123"/>
      <c r="K89" s="24" cm="1">
        <f t="array" ref="K89:O89">dates.forecast</f>
        <v>2025</v>
      </c>
      <c r="L89" s="24">
        <v>2026</v>
      </c>
      <c r="M89" s="24">
        <v>2027</v>
      </c>
      <c r="N89" s="24">
        <v>2028</v>
      </c>
      <c r="O89" s="24">
        <v>2029</v>
      </c>
      <c r="P89" s="3"/>
      <c r="Q89" s="3"/>
      <c r="R89" s="3"/>
      <c r="S89" s="3"/>
    </row>
    <row r="90" spans="3:29" x14ac:dyDescent="0.25">
      <c r="D90" t="s">
        <v>84</v>
      </c>
      <c r="G90" s="3"/>
      <c r="H90" s="3"/>
      <c r="I90" s="3"/>
      <c r="J90" s="115"/>
      <c r="K90" s="3"/>
      <c r="L90" s="3"/>
      <c r="M90" s="3"/>
      <c r="N90" s="3"/>
      <c r="O90" s="3"/>
      <c r="P90" s="3"/>
      <c r="Q90" s="3"/>
      <c r="R90" s="3"/>
      <c r="S90" s="3"/>
    </row>
    <row r="91" spans="3:29" x14ac:dyDescent="0.25">
      <c r="E91" t="s">
        <v>26</v>
      </c>
      <c r="G91" s="3" cm="1">
        <f t="array" ref="G91:I91">H.Net.Income</f>
        <v>4395.8167493045275</v>
      </c>
      <c r="H91" s="3">
        <v>4191.2761548973485</v>
      </c>
      <c r="I91" s="3">
        <v>4116.6214691431114</v>
      </c>
      <c r="J91" s="115"/>
      <c r="K91" s="3" cm="1">
        <f t="array" aca="1" ref="K91:O91" ca="1">F.Net.Income</f>
        <v>105.04164052666562</v>
      </c>
      <c r="L91" s="3">
        <f ca="1"/>
        <v>327.87360916317652</v>
      </c>
      <c r="M91" s="3">
        <f ca="1"/>
        <v>649.95112535027465</v>
      </c>
      <c r="N91" s="3">
        <f ca="1"/>
        <v>1096.4035492553221</v>
      </c>
      <c r="O91" s="3">
        <f ca="1"/>
        <v>1477.5297259484446</v>
      </c>
      <c r="P91" s="3"/>
      <c r="Q91" s="3"/>
      <c r="R91" s="3"/>
      <c r="S91" s="3"/>
    </row>
    <row r="92" spans="3:29" x14ac:dyDescent="0.25">
      <c r="E92" t="s">
        <v>85</v>
      </c>
      <c r="G92" s="3"/>
      <c r="H92" s="3"/>
      <c r="I92" s="3"/>
      <c r="J92" s="115"/>
      <c r="K92" s="3"/>
      <c r="L92" s="3"/>
      <c r="M92" s="3"/>
      <c r="N92" s="3"/>
      <c r="O92" s="3"/>
      <c r="P92" s="3"/>
      <c r="Q92" s="3"/>
      <c r="R92" s="3"/>
      <c r="S92" s="3"/>
    </row>
    <row r="93" spans="3:29" x14ac:dyDescent="0.25">
      <c r="F93" t="s">
        <v>16</v>
      </c>
      <c r="G93" s="3" cm="1">
        <f t="array" ref="G93:I93">P.H.Depreciation.Expense</f>
        <v>1000</v>
      </c>
      <c r="H93" s="3">
        <v>1000</v>
      </c>
      <c r="I93" s="3">
        <v>1000</v>
      </c>
      <c r="J93" s="115"/>
      <c r="K93" s="3" cm="1">
        <f t="array" ref="K93:O93">P.F.Depreciation.Expense</f>
        <v>1000</v>
      </c>
      <c r="L93" s="3">
        <v>1000</v>
      </c>
      <c r="M93" s="3">
        <v>1000</v>
      </c>
      <c r="N93" s="3">
        <v>1000</v>
      </c>
      <c r="O93" s="3">
        <v>1000</v>
      </c>
      <c r="P93" s="3"/>
      <c r="Q93" s="3"/>
      <c r="R93" s="3"/>
      <c r="S93" s="3"/>
    </row>
    <row r="94" spans="3:29" x14ac:dyDescent="0.25">
      <c r="F94" t="s">
        <v>17</v>
      </c>
      <c r="G94" s="3" cm="1">
        <f t="array" ref="G94:I94">P.H.Amortization.Expense</f>
        <v>250</v>
      </c>
      <c r="H94" s="3">
        <v>250</v>
      </c>
      <c r="I94" s="3">
        <v>250</v>
      </c>
      <c r="J94" s="115"/>
      <c r="K94" s="3" cm="1">
        <f t="array" ref="K94:O94">P.F.Amortization.Expense</f>
        <v>2841.0597968980851</v>
      </c>
      <c r="L94" s="3">
        <v>2841.0597968980851</v>
      </c>
      <c r="M94" s="3">
        <v>2841.0597968980851</v>
      </c>
      <c r="N94" s="3">
        <v>2841.0597968980851</v>
      </c>
      <c r="O94" s="3">
        <v>2841.0597968980851</v>
      </c>
      <c r="P94" s="3"/>
      <c r="Q94" s="3"/>
      <c r="R94" s="3"/>
      <c r="S94" s="3"/>
    </row>
    <row r="95" spans="3:29" ht="15.75" thickBot="1" x14ac:dyDescent="0.3">
      <c r="E95" t="s">
        <v>86</v>
      </c>
      <c r="G95" s="3"/>
      <c r="H95" s="3"/>
      <c r="I95" s="3"/>
      <c r="J95" s="115"/>
      <c r="K95" s="3"/>
      <c r="L95" s="3"/>
      <c r="M95" s="3"/>
      <c r="N95" s="3"/>
      <c r="O95" s="3"/>
      <c r="P95" s="3"/>
      <c r="Q95" s="3"/>
      <c r="R95" s="3"/>
      <c r="S95" s="3"/>
    </row>
    <row r="96" spans="3:29" x14ac:dyDescent="0.25">
      <c r="F96" t="str" cm="1">
        <f t="array" ref="F96:F98">E47:E49</f>
        <v>Accounts Receivable</v>
      </c>
      <c r="G96" s="19"/>
      <c r="H96" s="19" cm="1">
        <f t="array" ref="H96:H98">+G47:G49-H47:H49</f>
        <v>-51.616438356164508</v>
      </c>
      <c r="I96" s="17" cm="1">
        <f t="array" ref="I96:I98">+H47:H49-I47:I49</f>
        <v>49.972602739726426</v>
      </c>
      <c r="J96" s="115"/>
      <c r="K96" s="39" cm="1">
        <f t="array" ref="K96:K98">+I47:I49-K47:K49</f>
        <v>208.15849315068544</v>
      </c>
      <c r="L96" s="113" cm="1">
        <f t="array" ref="L96:L98">+K47:K49-L47:L49</f>
        <v>229.04346273972578</v>
      </c>
      <c r="M96" s="113" cm="1">
        <f t="array" ref="M96:M98">+L47:L49-M47:M49</f>
        <v>251.18437549304144</v>
      </c>
      <c r="N96" s="113" cm="1">
        <f t="array" ref="N96:N98">+M47:M49-N47:N49</f>
        <v>32.84694084151397</v>
      </c>
      <c r="O96" s="113" cm="1">
        <f t="array" ref="O96:O98">+N47:N49-O47:O49</f>
        <v>-127.16116086439206</v>
      </c>
      <c r="P96" s="3"/>
      <c r="Q96" s="3"/>
      <c r="R96" s="3"/>
      <c r="S96" s="3"/>
    </row>
    <row r="97" spans="4:19" x14ac:dyDescent="0.25">
      <c r="F97" t="str">
        <v>Inventory</v>
      </c>
      <c r="G97" s="19"/>
      <c r="H97" s="19">
        <v>12.642470660642175</v>
      </c>
      <c r="I97" s="19">
        <v>-32.890356780455932</v>
      </c>
      <c r="J97" s="115"/>
      <c r="K97" s="40">
        <v>131.53110889641857</v>
      </c>
      <c r="L97" s="113">
        <v>40.384633524556421</v>
      </c>
      <c r="M97" s="113">
        <v>37.476768049978091</v>
      </c>
      <c r="N97" s="113">
        <v>10.642856150667853</v>
      </c>
      <c r="O97" s="113">
        <v>-36.456385181507471</v>
      </c>
      <c r="P97" s="3"/>
      <c r="Q97" s="3"/>
      <c r="R97" s="3"/>
      <c r="S97" s="3"/>
    </row>
    <row r="98" spans="4:19" x14ac:dyDescent="0.25">
      <c r="F98" t="str">
        <v>Prepaid Expenses</v>
      </c>
      <c r="G98" s="19"/>
      <c r="H98" s="19">
        <v>-9.4200000000000728</v>
      </c>
      <c r="I98" s="19">
        <v>9.1200000000000045</v>
      </c>
      <c r="J98" s="115"/>
      <c r="K98" s="40">
        <v>-28.023899999999912</v>
      </c>
      <c r="L98" s="113">
        <v>-29.054871660000003</v>
      </c>
      <c r="M98" s="113">
        <v>-30.123887703359969</v>
      </c>
      <c r="N98" s="113">
        <v>-31.232356197956619</v>
      </c>
      <c r="O98" s="113">
        <v>-32.381737475932368</v>
      </c>
      <c r="P98" s="3"/>
      <c r="Q98" s="3"/>
      <c r="R98" s="3"/>
      <c r="S98" s="3"/>
    </row>
    <row r="99" spans="4:19" x14ac:dyDescent="0.25">
      <c r="F99" t="str" cm="1">
        <f t="array" ref="F99:F100">+E65:E66</f>
        <v>Accounts Payable</v>
      </c>
      <c r="G99" s="20"/>
      <c r="H99" s="20" cm="1">
        <f t="array" ref="H99:H100">+H65:H66-G65:G66</f>
        <v>-13.827702285077294</v>
      </c>
      <c r="I99" s="17" cm="1">
        <f t="array" ref="I99:I100">+I65:I66-H65:H66</f>
        <v>35.973827728623746</v>
      </c>
      <c r="J99" s="115"/>
      <c r="K99" s="40" cm="1">
        <f t="array" ref="K99:K100">+K65:K66-I65:I66</f>
        <v>212.66535096281223</v>
      </c>
      <c r="L99" s="113" cm="1">
        <f t="array" ref="L99:L100">+L65:L66-K65:K66</f>
        <v>251.89244316655254</v>
      </c>
      <c r="M99" s="113" cm="1">
        <f t="array" ref="M99:M100">+M65:M66-L65:L66</f>
        <v>77.487430638889009</v>
      </c>
      <c r="N99" s="113" cm="1">
        <f t="array" ref="N99:N100">+N65:N66-M65:M66</f>
        <v>144.53410630756775</v>
      </c>
      <c r="O99" s="113" cm="1">
        <f t="array" ref="O99:O100">+O65:O66-N65:N66</f>
        <v>74.497830588298029</v>
      </c>
      <c r="P99" s="3"/>
      <c r="Q99" s="3"/>
      <c r="R99" s="3"/>
      <c r="S99" s="3"/>
    </row>
    <row r="100" spans="4:19" ht="15.75" thickBot="1" x14ac:dyDescent="0.3">
      <c r="F100" t="str">
        <v>Accrued Liabilities</v>
      </c>
      <c r="G100" s="20"/>
      <c r="H100" s="20">
        <v>9.4200000000000728</v>
      </c>
      <c r="I100" s="20">
        <v>-9.1200000000000045</v>
      </c>
      <c r="J100" s="115"/>
      <c r="K100" s="41">
        <v>28.023899999999912</v>
      </c>
      <c r="L100" s="113">
        <v>29.054871660000003</v>
      </c>
      <c r="M100" s="113">
        <v>30.123887703359969</v>
      </c>
      <c r="N100" s="113">
        <v>31.232356197956619</v>
      </c>
      <c r="O100" s="113">
        <v>32.381737475932368</v>
      </c>
      <c r="P100" s="3"/>
      <c r="Q100" s="3"/>
      <c r="R100" s="3"/>
      <c r="S100" s="3"/>
    </row>
    <row r="101" spans="4:19" x14ac:dyDescent="0.25">
      <c r="D101" t="s">
        <v>87</v>
      </c>
      <c r="G101" s="3"/>
      <c r="H101" s="6">
        <f>SUM(H91:H100)</f>
        <v>5388.4744849167491</v>
      </c>
      <c r="I101" s="6">
        <f>SUM(I91:I100)</f>
        <v>5419.6775428310057</v>
      </c>
      <c r="J101" s="118"/>
      <c r="K101" s="176">
        <f t="shared" ref="K101:O101" ca="1" si="21">SUM(K91:K100)</f>
        <v>4498.4563904346669</v>
      </c>
      <c r="L101" s="44">
        <f t="shared" ca="1" si="21"/>
        <v>4690.253945492097</v>
      </c>
      <c r="M101" s="44">
        <f t="shared" ca="1" si="21"/>
        <v>4857.1594964302685</v>
      </c>
      <c r="N101" s="44">
        <f t="shared" ca="1" si="21"/>
        <v>5125.4872494531564</v>
      </c>
      <c r="O101" s="44">
        <f t="shared" ca="1" si="21"/>
        <v>5229.4698073889285</v>
      </c>
      <c r="P101" s="3"/>
      <c r="Q101" s="3"/>
      <c r="R101" s="3"/>
      <c r="S101" s="3"/>
    </row>
    <row r="102" spans="4:19" x14ac:dyDescent="0.25">
      <c r="G102" s="3"/>
      <c r="H102" s="3"/>
      <c r="I102" s="3"/>
      <c r="J102" s="115"/>
      <c r="K102" s="3"/>
      <c r="L102" s="3"/>
      <c r="M102" s="3"/>
      <c r="N102" s="3"/>
      <c r="O102" s="3"/>
      <c r="P102" s="3"/>
      <c r="Q102" s="3"/>
      <c r="R102" s="3"/>
      <c r="S102" s="3"/>
    </row>
    <row r="103" spans="4:19" x14ac:dyDescent="0.25">
      <c r="D103" t="s">
        <v>88</v>
      </c>
      <c r="G103" s="3"/>
      <c r="H103" s="3"/>
      <c r="I103" s="3"/>
      <c r="J103" s="115"/>
      <c r="K103" s="3"/>
      <c r="L103" s="3"/>
      <c r="M103" s="3"/>
      <c r="N103" s="3"/>
      <c r="O103" s="3"/>
      <c r="P103" s="3"/>
      <c r="Q103" s="3"/>
      <c r="R103" s="3"/>
      <c r="S103" s="3"/>
    </row>
    <row r="104" spans="4:19" x14ac:dyDescent="0.25">
      <c r="E104" t="s">
        <v>89</v>
      </c>
      <c r="G104" s="3" cm="1">
        <f t="array" ref="G104:I104">-P.H.CAPEX</f>
        <v>0</v>
      </c>
      <c r="H104" s="3">
        <v>-2500</v>
      </c>
      <c r="I104" s="3">
        <v>-2500</v>
      </c>
      <c r="J104" s="115"/>
      <c r="K104" s="3" cm="1">
        <f t="array" ref="K104:O104">-P.F.CAPEX</f>
        <v>-1750</v>
      </c>
      <c r="L104" s="3">
        <v>-1750</v>
      </c>
      <c r="M104" s="3">
        <v>-1750</v>
      </c>
      <c r="N104" s="3">
        <v>-1750</v>
      </c>
      <c r="O104" s="3">
        <v>-1750</v>
      </c>
      <c r="P104" s="3"/>
      <c r="Q104" s="3"/>
      <c r="R104" s="3"/>
      <c r="S104" s="3"/>
    </row>
    <row r="105" spans="4:19" x14ac:dyDescent="0.25">
      <c r="E105" t="s">
        <v>90</v>
      </c>
      <c r="G105" s="3">
        <v>0</v>
      </c>
      <c r="H105" s="3">
        <f>+G105</f>
        <v>0</v>
      </c>
      <c r="I105" s="3">
        <f t="shared" ref="I105:O105" si="22">+H105</f>
        <v>0</v>
      </c>
      <c r="J105" s="115"/>
      <c r="K105" s="3">
        <f>+I105</f>
        <v>0</v>
      </c>
      <c r="L105" s="3">
        <f t="shared" si="22"/>
        <v>0</v>
      </c>
      <c r="M105" s="3">
        <f t="shared" si="22"/>
        <v>0</v>
      </c>
      <c r="N105" s="3">
        <f t="shared" si="22"/>
        <v>0</v>
      </c>
      <c r="O105" s="3">
        <f t="shared" si="22"/>
        <v>0</v>
      </c>
      <c r="P105" s="3"/>
      <c r="Q105" s="3"/>
      <c r="R105" s="3"/>
      <c r="S105" s="3"/>
    </row>
    <row r="106" spans="4:19" x14ac:dyDescent="0.25">
      <c r="D106" t="s">
        <v>91</v>
      </c>
      <c r="G106" s="3"/>
      <c r="H106" s="6">
        <f t="shared" ref="H106:I106" si="23">SUM(H104:H105)</f>
        <v>-2500</v>
      </c>
      <c r="I106" s="6">
        <f t="shared" si="23"/>
        <v>-2500</v>
      </c>
      <c r="J106" s="116"/>
      <c r="K106" s="30">
        <f t="shared" ref="K106:O106" si="24">SUM(K104:K105)</f>
        <v>-1750</v>
      </c>
      <c r="L106" s="30">
        <f t="shared" si="24"/>
        <v>-1750</v>
      </c>
      <c r="M106" s="30">
        <f t="shared" si="24"/>
        <v>-1750</v>
      </c>
      <c r="N106" s="30">
        <f t="shared" si="24"/>
        <v>-1750</v>
      </c>
      <c r="O106" s="30">
        <f t="shared" si="24"/>
        <v>-1750</v>
      </c>
      <c r="P106" s="3"/>
      <c r="Q106" s="3"/>
      <c r="R106" s="3"/>
      <c r="S106" s="3"/>
    </row>
    <row r="107" spans="4:19" x14ac:dyDescent="0.25">
      <c r="G107" s="3"/>
      <c r="H107" s="3"/>
      <c r="I107" s="3"/>
      <c r="J107" s="115"/>
      <c r="K107" s="3"/>
      <c r="L107" s="3"/>
      <c r="M107" s="3"/>
      <c r="N107" s="3"/>
      <c r="O107" s="3"/>
      <c r="P107" s="3"/>
      <c r="Q107" s="3"/>
      <c r="R107" s="3"/>
      <c r="S107" s="3"/>
    </row>
    <row r="108" spans="4:19" x14ac:dyDescent="0.25">
      <c r="D108" t="s">
        <v>92</v>
      </c>
      <c r="G108" s="3"/>
      <c r="H108" s="3"/>
      <c r="I108" s="3"/>
      <c r="J108" s="115"/>
      <c r="K108" s="3"/>
      <c r="L108" s="3"/>
      <c r="M108" s="3"/>
      <c r="N108" s="3"/>
      <c r="O108" s="3"/>
      <c r="P108" s="3"/>
      <c r="Q108" s="3"/>
      <c r="R108" s="3"/>
      <c r="S108" s="3"/>
    </row>
    <row r="109" spans="4:19" x14ac:dyDescent="0.25">
      <c r="E109" t="s">
        <v>93</v>
      </c>
      <c r="G109" s="3"/>
      <c r="H109" s="3">
        <f>+DebtSchedule!H9-DebtSchedule!G9</f>
        <v>-250</v>
      </c>
      <c r="I109" s="3">
        <f>+DebtSchedule!I9-DebtSchedule!H9</f>
        <v>-2250</v>
      </c>
      <c r="J109" s="115"/>
      <c r="K109" s="3">
        <f ca="1">+DebtSchedule!K9-DebtSchedule!J9</f>
        <v>-1500</v>
      </c>
      <c r="L109" s="3">
        <f ca="1">+DebtSchedule!L9-DebtSchedule!K9</f>
        <v>-1896.2367786422546</v>
      </c>
      <c r="M109" s="3">
        <f ca="1">+DebtSchedule!M9-DebtSchedule!L9</f>
        <v>-2299.8776845715911</v>
      </c>
      <c r="N109" s="3">
        <f ca="1">+DebtSchedule!N9-DebtSchedule!M9</f>
        <v>-2658.4142061987804</v>
      </c>
      <c r="O109" s="3">
        <f ca="1">+DebtSchedule!O9-DebtSchedule!N9</f>
        <v>-2932.0994065954983</v>
      </c>
      <c r="P109" s="3"/>
      <c r="Q109" s="3"/>
      <c r="R109" s="3"/>
      <c r="S109" s="3"/>
    </row>
    <row r="110" spans="4:19" x14ac:dyDescent="0.25">
      <c r="E110" t="s">
        <v>94</v>
      </c>
      <c r="G110" s="3"/>
      <c r="H110" s="3">
        <v>0</v>
      </c>
      <c r="I110" s="3">
        <v>0</v>
      </c>
      <c r="J110" s="115"/>
      <c r="K110" s="3">
        <v>0</v>
      </c>
      <c r="L110" s="3">
        <v>0</v>
      </c>
      <c r="M110" s="3">
        <v>0</v>
      </c>
      <c r="N110" s="3">
        <v>0</v>
      </c>
      <c r="O110" s="3">
        <v>0</v>
      </c>
      <c r="P110" s="3"/>
      <c r="Q110" s="3"/>
      <c r="R110" s="3"/>
      <c r="S110" s="3"/>
    </row>
    <row r="111" spans="4:19" x14ac:dyDescent="0.25">
      <c r="E111" t="s">
        <v>95</v>
      </c>
      <c r="G111" s="3" cm="1">
        <f t="array" ref="G111:I111">-P.H.Dividends</f>
        <v>-1500</v>
      </c>
      <c r="H111" s="3">
        <v>-1500</v>
      </c>
      <c r="I111" s="3">
        <v>-1500</v>
      </c>
      <c r="J111" s="115"/>
      <c r="K111" s="3" cm="1">
        <f t="array" ref="K111:O111">-P.F.Dividends</f>
        <v>0</v>
      </c>
      <c r="L111" s="3">
        <v>0</v>
      </c>
      <c r="M111" s="3">
        <v>0</v>
      </c>
      <c r="N111" s="3">
        <v>0</v>
      </c>
      <c r="O111" s="3">
        <v>0</v>
      </c>
      <c r="P111" s="3"/>
      <c r="Q111" s="3"/>
      <c r="R111" s="3"/>
      <c r="S111" s="3"/>
    </row>
    <row r="112" spans="4:19" x14ac:dyDescent="0.25">
      <c r="E112" t="s">
        <v>78</v>
      </c>
      <c r="G112" s="3" cm="1">
        <f t="array" ref="G112:I112">-P.H.Buybacks</f>
        <v>-500</v>
      </c>
      <c r="H112" s="3">
        <v>-500</v>
      </c>
      <c r="I112" s="3">
        <v>-500</v>
      </c>
      <c r="J112" s="115"/>
      <c r="K112" s="3" cm="1">
        <f t="array" ref="K112:O112">-P.F.Buybacks</f>
        <v>0</v>
      </c>
      <c r="L112" s="3">
        <v>0</v>
      </c>
      <c r="M112" s="3">
        <v>0</v>
      </c>
      <c r="N112" s="3">
        <v>0</v>
      </c>
      <c r="O112" s="3">
        <v>0</v>
      </c>
      <c r="P112" s="3"/>
      <c r="Q112" s="3"/>
      <c r="R112" s="3"/>
      <c r="S112" s="3"/>
    </row>
    <row r="113" spans="4:19" x14ac:dyDescent="0.25">
      <c r="D113" t="s">
        <v>96</v>
      </c>
      <c r="G113" s="3"/>
      <c r="H113" s="6">
        <f t="shared" ref="H113:O113" si="25">SUM(H109:H112)</f>
        <v>-2250</v>
      </c>
      <c r="I113" s="6">
        <f t="shared" si="25"/>
        <v>-4250</v>
      </c>
      <c r="J113" s="116"/>
      <c r="K113" s="30">
        <f t="shared" ca="1" si="25"/>
        <v>-1500</v>
      </c>
      <c r="L113" s="30">
        <f t="shared" ca="1" si="25"/>
        <v>-1896.2367786422546</v>
      </c>
      <c r="M113" s="30">
        <f t="shared" ca="1" si="25"/>
        <v>-2299.8776845715911</v>
      </c>
      <c r="N113" s="30">
        <f t="shared" ca="1" si="25"/>
        <v>-2658.4142061987804</v>
      </c>
      <c r="O113" s="30">
        <f t="shared" ca="1" si="25"/>
        <v>-2932.0994065954983</v>
      </c>
      <c r="P113" s="3"/>
      <c r="Q113" s="3"/>
      <c r="R113" s="3"/>
      <c r="S113" s="3"/>
    </row>
    <row r="114" spans="4:19" x14ac:dyDescent="0.25">
      <c r="G114" s="3"/>
      <c r="H114" s="3"/>
      <c r="I114" s="3"/>
      <c r="J114" s="115"/>
      <c r="K114" s="3"/>
      <c r="L114" s="3"/>
      <c r="M114" s="3"/>
      <c r="N114" s="3"/>
      <c r="O114" s="3"/>
      <c r="P114" s="3"/>
      <c r="Q114" s="3"/>
      <c r="R114" s="3"/>
      <c r="S114" s="3"/>
    </row>
    <row r="115" spans="4:19" x14ac:dyDescent="0.25">
      <c r="D115" t="s">
        <v>97</v>
      </c>
      <c r="G115" s="3"/>
      <c r="H115" s="6" cm="1">
        <f t="array" ref="H115:I115">H.Cash.Financing+H.Cash.From.Ops+H.Cash.Investment</f>
        <v>638.47448491674913</v>
      </c>
      <c r="I115" s="6">
        <v>-1330.3224571689943</v>
      </c>
      <c r="J115" s="116"/>
      <c r="K115" s="6" cm="1">
        <f t="array" aca="1" ref="K115:O115" ca="1">F.Cash.Financing+F.Cash.Investment+F.Cash.Ops</f>
        <v>1248.4563904346669</v>
      </c>
      <c r="L115" s="6">
        <f ca="1"/>
        <v>1044.0171668498424</v>
      </c>
      <c r="M115" s="6">
        <f ca="1"/>
        <v>807.28181185867743</v>
      </c>
      <c r="N115" s="6">
        <f ca="1"/>
        <v>717.07304325437599</v>
      </c>
      <c r="O115" s="6">
        <f ca="1"/>
        <v>547.37040079343024</v>
      </c>
      <c r="P115" s="3"/>
      <c r="Q115" s="3"/>
      <c r="R115" s="3"/>
      <c r="S115" s="3"/>
    </row>
    <row r="116" spans="4:19" x14ac:dyDescent="0.25">
      <c r="D116" t="s">
        <v>99</v>
      </c>
      <c r="G116" s="3"/>
      <c r="H116" s="3">
        <f>+G117</f>
        <v>4500</v>
      </c>
      <c r="I116" s="3">
        <f>+H117</f>
        <v>5138.4744849167491</v>
      </c>
      <c r="J116" s="115"/>
      <c r="K116" s="3">
        <f>+J117</f>
        <v>5000</v>
      </c>
      <c r="L116" s="3">
        <f t="shared" ref="L116:O116" ca="1" si="26">+K117</f>
        <v>6248.4563904346669</v>
      </c>
      <c r="M116" s="3">
        <f t="shared" ca="1" si="26"/>
        <v>7292.4735572845093</v>
      </c>
      <c r="N116" s="3">
        <f t="shared" ca="1" si="26"/>
        <v>8099.7553691431867</v>
      </c>
      <c r="O116" s="3">
        <f t="shared" ca="1" si="26"/>
        <v>8816.8284123975627</v>
      </c>
      <c r="P116" s="3"/>
      <c r="Q116" s="3"/>
      <c r="R116" s="3"/>
      <c r="S116" s="3"/>
    </row>
    <row r="117" spans="4:19" ht="15.75" thickBot="1" x14ac:dyDescent="0.3">
      <c r="D117" t="s">
        <v>100</v>
      </c>
      <c r="G117" s="21">
        <f>starting.cash</f>
        <v>4500</v>
      </c>
      <c r="H117" s="22">
        <f>+H116+H115</f>
        <v>5138.4744849167491</v>
      </c>
      <c r="I117" s="22">
        <f>+I116+I115</f>
        <v>3808.1520277477548</v>
      </c>
      <c r="J117" s="124">
        <f>minimum.cash.balance</f>
        <v>5000</v>
      </c>
      <c r="K117" s="220">
        <f t="shared" ref="K117:O117" ca="1" si="27">+K116+K115</f>
        <v>6248.4563904346669</v>
      </c>
      <c r="L117" s="220">
        <f t="shared" ca="1" si="27"/>
        <v>7292.4735572845093</v>
      </c>
      <c r="M117" s="220">
        <f t="shared" ca="1" si="27"/>
        <v>8099.7553691431867</v>
      </c>
      <c r="N117" s="220">
        <f t="shared" ca="1" si="27"/>
        <v>8816.8284123975627</v>
      </c>
      <c r="O117" s="220">
        <f t="shared" ca="1" si="27"/>
        <v>9364.198813190993</v>
      </c>
      <c r="P117" s="113"/>
      <c r="Q117" s="3"/>
      <c r="R117" s="3"/>
      <c r="S117" s="3"/>
    </row>
    <row r="118" spans="4:19" ht="15.75" thickTop="1" x14ac:dyDescent="0.25">
      <c r="G118" s="3"/>
      <c r="H118" s="3"/>
      <c r="I118" s="3"/>
      <c r="J118" s="105"/>
      <c r="K118" s="3"/>
      <c r="L118" s="3"/>
      <c r="M118" s="3"/>
      <c r="N118" s="3"/>
      <c r="O118" s="3"/>
      <c r="P118" s="3"/>
      <c r="Q118" s="3"/>
      <c r="R118" s="3"/>
      <c r="S118" s="3"/>
    </row>
    <row r="119" spans="4:19" x14ac:dyDescent="0.25">
      <c r="G119" s="3"/>
      <c r="H119" s="3"/>
      <c r="I119" s="3"/>
      <c r="J119" s="105"/>
      <c r="K119" s="3"/>
      <c r="L119" s="3"/>
      <c r="M119" s="3"/>
      <c r="N119" s="3"/>
      <c r="O119" s="3"/>
      <c r="P119" s="3"/>
      <c r="Q119" s="3"/>
      <c r="R119" s="3"/>
      <c r="S119" s="3"/>
    </row>
    <row r="120" spans="4:19" x14ac:dyDescent="0.25">
      <c r="G120" s="3"/>
      <c r="H120" s="3"/>
      <c r="I120" s="3"/>
      <c r="J120" s="105"/>
      <c r="K120" s="3"/>
      <c r="L120" s="3"/>
      <c r="M120" s="3"/>
      <c r="N120" s="3"/>
      <c r="O120" s="3"/>
      <c r="P120" s="3"/>
      <c r="Q120" s="3"/>
      <c r="R120" s="3"/>
      <c r="S120" s="3"/>
    </row>
    <row r="121" spans="4:19" x14ac:dyDescent="0.25">
      <c r="G121" s="3"/>
      <c r="H121" s="3"/>
      <c r="I121" s="3"/>
      <c r="J121" s="105"/>
      <c r="K121" s="3"/>
      <c r="L121" s="3"/>
      <c r="M121" s="3"/>
      <c r="N121" s="3"/>
      <c r="O121" s="3"/>
      <c r="P121" s="3"/>
      <c r="Q121" s="3"/>
      <c r="R121" s="3"/>
      <c r="S121" s="3"/>
    </row>
    <row r="122" spans="4:19" x14ac:dyDescent="0.25">
      <c r="G122" s="3"/>
      <c r="H122" s="3"/>
      <c r="I122" s="3"/>
      <c r="J122" s="105"/>
      <c r="K122" s="3"/>
      <c r="L122" s="3"/>
      <c r="M122" s="3"/>
      <c r="N122" s="3"/>
      <c r="O122" s="3"/>
      <c r="P122" s="3"/>
      <c r="Q122" s="3"/>
      <c r="R122" s="3"/>
      <c r="S122" s="3"/>
    </row>
    <row r="123" spans="4:19" x14ac:dyDescent="0.25">
      <c r="G123" s="3"/>
      <c r="H123" s="3"/>
      <c r="I123" s="3"/>
      <c r="J123" s="105"/>
      <c r="K123" s="3"/>
      <c r="L123" s="3"/>
      <c r="M123" s="3"/>
      <c r="N123" s="3"/>
      <c r="O123" s="3"/>
      <c r="P123" s="3"/>
      <c r="Q123" s="3"/>
      <c r="R123" s="3"/>
      <c r="S123" s="3"/>
    </row>
    <row r="124" spans="4:19" x14ac:dyDescent="0.25">
      <c r="G124" s="3"/>
      <c r="H124" s="3"/>
      <c r="I124" s="3"/>
      <c r="J124" s="105"/>
      <c r="K124" s="3"/>
      <c r="L124" s="3"/>
      <c r="M124" s="3"/>
      <c r="N124" s="3"/>
      <c r="O124" s="3"/>
      <c r="P124" s="3"/>
      <c r="Q124" s="3"/>
      <c r="R124" s="3"/>
      <c r="S124" s="3"/>
    </row>
    <row r="125" spans="4:19" x14ac:dyDescent="0.25">
      <c r="G125" s="3"/>
      <c r="H125" s="3"/>
      <c r="I125" s="3"/>
      <c r="J125" s="105"/>
      <c r="K125" s="3"/>
      <c r="L125" s="3"/>
      <c r="M125" s="3"/>
      <c r="N125" s="3"/>
      <c r="O125" s="3"/>
      <c r="P125" s="3"/>
      <c r="Q125" s="3"/>
      <c r="R125" s="3"/>
      <c r="S125" s="3"/>
    </row>
    <row r="126" spans="4:19" x14ac:dyDescent="0.25">
      <c r="G126" s="3"/>
      <c r="H126" s="3"/>
      <c r="I126" s="3"/>
      <c r="J126" s="105"/>
      <c r="K126" s="3"/>
      <c r="L126" s="3"/>
      <c r="M126" s="3"/>
      <c r="N126" s="3"/>
      <c r="O126" s="3"/>
      <c r="P126" s="3"/>
      <c r="Q126" s="3"/>
      <c r="R126" s="3"/>
      <c r="S126" s="3"/>
    </row>
    <row r="127" spans="4:19" x14ac:dyDescent="0.25">
      <c r="G127" s="3"/>
      <c r="H127" s="3"/>
      <c r="I127" s="3"/>
      <c r="J127" s="105"/>
      <c r="K127" s="3"/>
      <c r="L127" s="3"/>
      <c r="M127" s="3"/>
      <c r="N127" s="3"/>
      <c r="O127" s="3"/>
      <c r="P127" s="3"/>
      <c r="Q127" s="3"/>
      <c r="R127" s="3"/>
      <c r="S127" s="3"/>
    </row>
    <row r="128" spans="4:19" x14ac:dyDescent="0.25">
      <c r="G128" s="3"/>
      <c r="H128" s="3"/>
      <c r="I128" s="3"/>
      <c r="J128" s="105"/>
      <c r="K128" s="3"/>
      <c r="L128" s="3"/>
      <c r="M128" s="3"/>
      <c r="N128" s="3"/>
      <c r="O128" s="3"/>
      <c r="P128" s="3"/>
      <c r="Q128" s="3"/>
      <c r="R128" s="3"/>
      <c r="S128" s="3"/>
    </row>
    <row r="129" spans="7:19" x14ac:dyDescent="0.25">
      <c r="G129" s="3"/>
      <c r="H129" s="3"/>
      <c r="I129" s="3"/>
      <c r="J129" s="105"/>
      <c r="K129" s="3"/>
      <c r="L129" s="3"/>
      <c r="M129" s="3"/>
      <c r="N129" s="3"/>
      <c r="O129" s="3"/>
      <c r="P129" s="3"/>
      <c r="Q129" s="3"/>
      <c r="R129" s="3"/>
      <c r="S129" s="3"/>
    </row>
    <row r="130" spans="7:19" x14ac:dyDescent="0.25">
      <c r="G130" s="3"/>
      <c r="H130" s="3"/>
      <c r="I130" s="3"/>
      <c r="J130" s="105"/>
      <c r="K130" s="3"/>
      <c r="L130" s="3"/>
      <c r="M130" s="3"/>
      <c r="N130" s="3"/>
      <c r="O130" s="3"/>
      <c r="P130" s="3"/>
      <c r="Q130" s="3"/>
      <c r="R130" s="3"/>
      <c r="S130" s="3"/>
    </row>
    <row r="131" spans="7:19" x14ac:dyDescent="0.25">
      <c r="G131" s="3"/>
      <c r="H131" s="3"/>
      <c r="I131" s="3"/>
      <c r="J131" s="105"/>
      <c r="K131" s="3"/>
      <c r="L131" s="3"/>
      <c r="M131" s="3"/>
      <c r="N131" s="3"/>
      <c r="O131" s="3"/>
      <c r="P131" s="3"/>
      <c r="Q131" s="3"/>
      <c r="R131" s="3"/>
      <c r="S131" s="3"/>
    </row>
    <row r="132" spans="7:19" x14ac:dyDescent="0.25">
      <c r="G132" s="3"/>
      <c r="H132" s="3"/>
      <c r="I132" s="3"/>
      <c r="J132" s="105"/>
      <c r="K132" s="3"/>
      <c r="L132" s="3"/>
      <c r="M132" s="3"/>
      <c r="N132" s="3"/>
      <c r="O132" s="3"/>
      <c r="P132" s="3"/>
      <c r="Q132" s="3"/>
      <c r="R132" s="3"/>
      <c r="S132" s="3"/>
    </row>
    <row r="133" spans="7:19" x14ac:dyDescent="0.25">
      <c r="G133" s="3"/>
      <c r="H133" s="3"/>
      <c r="I133" s="3"/>
      <c r="J133" s="105"/>
      <c r="K133" s="3"/>
      <c r="L133" s="3"/>
      <c r="M133" s="3"/>
      <c r="N133" s="3"/>
      <c r="O133" s="3"/>
      <c r="P133" s="3"/>
      <c r="Q133" s="3"/>
      <c r="R133" s="3"/>
      <c r="S133" s="3"/>
    </row>
    <row r="134" spans="7:19" x14ac:dyDescent="0.25">
      <c r="G134" s="3"/>
      <c r="H134" s="3"/>
      <c r="I134" s="3"/>
      <c r="J134" s="105"/>
      <c r="K134" s="3"/>
      <c r="L134" s="3"/>
      <c r="M134" s="3"/>
      <c r="N134" s="3"/>
      <c r="O134" s="3"/>
      <c r="P134" s="3"/>
      <c r="Q134" s="3"/>
      <c r="R134" s="3"/>
      <c r="S134" s="3"/>
    </row>
    <row r="135" spans="7:19" x14ac:dyDescent="0.25">
      <c r="G135" s="3"/>
      <c r="H135" s="3"/>
      <c r="I135" s="3"/>
      <c r="J135" s="105"/>
      <c r="K135" s="3"/>
      <c r="L135" s="3"/>
      <c r="M135" s="3"/>
      <c r="N135" s="3"/>
      <c r="O135" s="3"/>
      <c r="P135" s="3"/>
      <c r="Q135" s="3"/>
      <c r="R135" s="3"/>
      <c r="S135" s="3"/>
    </row>
    <row r="136" spans="7:19" x14ac:dyDescent="0.25">
      <c r="G136" s="3"/>
      <c r="H136" s="3"/>
      <c r="I136" s="3"/>
      <c r="J136" s="105"/>
      <c r="K136" s="3"/>
      <c r="L136" s="3"/>
      <c r="M136" s="3"/>
      <c r="N136" s="3"/>
      <c r="O136" s="3"/>
      <c r="P136" s="3"/>
      <c r="Q136" s="3"/>
      <c r="R136" s="3"/>
      <c r="S136" s="3"/>
    </row>
    <row r="137" spans="7:19" x14ac:dyDescent="0.25">
      <c r="G137" s="3"/>
      <c r="H137" s="3"/>
      <c r="I137" s="3"/>
      <c r="J137" s="105"/>
      <c r="K137" s="3"/>
      <c r="L137" s="3"/>
      <c r="M137" s="3"/>
      <c r="N137" s="3"/>
      <c r="O137" s="3"/>
      <c r="P137" s="3"/>
      <c r="Q137" s="3"/>
      <c r="R137" s="3"/>
      <c r="S137" s="3"/>
    </row>
    <row r="138" spans="7:19" x14ac:dyDescent="0.25">
      <c r="G138" s="3"/>
      <c r="H138" s="3"/>
      <c r="I138" s="3"/>
      <c r="J138" s="105"/>
      <c r="K138" s="3"/>
      <c r="L138" s="3"/>
      <c r="M138" s="3"/>
      <c r="N138" s="3"/>
      <c r="O138" s="3"/>
      <c r="P138" s="3"/>
      <c r="Q138" s="3"/>
      <c r="R138" s="3"/>
      <c r="S138" s="3"/>
    </row>
    <row r="139" spans="7:19" x14ac:dyDescent="0.25">
      <c r="G139" s="3"/>
      <c r="H139" s="3"/>
      <c r="I139" s="3"/>
      <c r="J139" s="105"/>
      <c r="K139" s="3"/>
      <c r="L139" s="3"/>
      <c r="M139" s="3"/>
      <c r="N139" s="3"/>
      <c r="O139" s="3"/>
      <c r="P139" s="3"/>
      <c r="Q139" s="3"/>
      <c r="R139" s="3"/>
      <c r="S139" s="3"/>
    </row>
    <row r="140" spans="7:19" x14ac:dyDescent="0.25">
      <c r="G140" s="3"/>
      <c r="H140" s="3"/>
      <c r="I140" s="3"/>
      <c r="J140" s="105"/>
      <c r="K140" s="3"/>
      <c r="L140" s="3"/>
      <c r="M140" s="3"/>
      <c r="N140" s="3"/>
      <c r="O140" s="3"/>
      <c r="P140" s="3"/>
      <c r="Q140" s="3"/>
      <c r="R140" s="3"/>
      <c r="S140" s="3"/>
    </row>
    <row r="141" spans="7:19" x14ac:dyDescent="0.25">
      <c r="G141" s="3"/>
      <c r="H141" s="3"/>
      <c r="I141" s="3"/>
      <c r="J141" s="105"/>
      <c r="K141" s="3"/>
      <c r="L141" s="3"/>
      <c r="M141" s="3"/>
      <c r="N141" s="3"/>
      <c r="O141" s="3"/>
      <c r="P141" s="3"/>
      <c r="Q141" s="3"/>
      <c r="R141" s="3"/>
      <c r="S141" s="3"/>
    </row>
    <row r="142" spans="7:19" x14ac:dyDescent="0.25">
      <c r="G142" s="3"/>
      <c r="H142" s="3"/>
      <c r="I142" s="3"/>
      <c r="J142" s="105"/>
      <c r="K142" s="3"/>
      <c r="L142" s="3"/>
      <c r="M142" s="3"/>
      <c r="N142" s="3"/>
      <c r="O142" s="3"/>
      <c r="P142" s="3"/>
      <c r="Q142" s="3"/>
      <c r="R142" s="3"/>
      <c r="S142" s="3"/>
    </row>
    <row r="143" spans="7:19" x14ac:dyDescent="0.25">
      <c r="G143" s="3"/>
      <c r="H143" s="3"/>
      <c r="I143" s="3"/>
      <c r="J143" s="105"/>
      <c r="K143" s="3"/>
      <c r="L143" s="3"/>
      <c r="M143" s="3"/>
      <c r="N143" s="3"/>
      <c r="O143" s="3"/>
      <c r="P143" s="3"/>
      <c r="Q143" s="3"/>
      <c r="R143" s="3"/>
      <c r="S143" s="3"/>
    </row>
    <row r="144" spans="7:19" x14ac:dyDescent="0.25">
      <c r="G144" s="3"/>
      <c r="H144" s="3"/>
      <c r="I144" s="3"/>
      <c r="J144" s="105"/>
      <c r="K144" s="3"/>
      <c r="L144" s="3"/>
      <c r="M144" s="3"/>
      <c r="N144" s="3"/>
      <c r="O144" s="3"/>
      <c r="P144" s="3"/>
      <c r="Q144" s="3"/>
      <c r="R144" s="3"/>
      <c r="S144" s="3"/>
    </row>
    <row r="145" spans="7:19" x14ac:dyDescent="0.25">
      <c r="G145" s="3"/>
      <c r="H145" s="3"/>
      <c r="I145" s="3"/>
      <c r="J145" s="105"/>
      <c r="K145" s="3"/>
      <c r="L145" s="3"/>
      <c r="M145" s="3"/>
      <c r="N145" s="3"/>
      <c r="O145" s="3"/>
      <c r="P145" s="3"/>
      <c r="Q145" s="3"/>
      <c r="R145" s="3"/>
      <c r="S145" s="3"/>
    </row>
    <row r="146" spans="7:19" x14ac:dyDescent="0.25">
      <c r="G146" s="3"/>
      <c r="H146" s="3"/>
      <c r="I146" s="3"/>
      <c r="J146" s="105"/>
      <c r="K146" s="3"/>
      <c r="L146" s="3"/>
      <c r="M146" s="3"/>
      <c r="N146" s="3"/>
      <c r="O146" s="3"/>
      <c r="P146" s="3"/>
      <c r="Q146" s="3"/>
      <c r="R146" s="3"/>
      <c r="S146" s="3"/>
    </row>
    <row r="147" spans="7:19" x14ac:dyDescent="0.25">
      <c r="G147" s="3"/>
      <c r="H147" s="3"/>
      <c r="I147" s="3"/>
      <c r="J147" s="105"/>
      <c r="K147" s="3"/>
      <c r="L147" s="3"/>
      <c r="M147" s="3"/>
      <c r="N147" s="3"/>
      <c r="O147" s="3"/>
      <c r="P147" s="3"/>
      <c r="Q147" s="3"/>
      <c r="R147" s="3"/>
      <c r="S147" s="3"/>
    </row>
    <row r="148" spans="7:19" x14ac:dyDescent="0.25">
      <c r="G148" s="3"/>
      <c r="H148" s="3"/>
      <c r="I148" s="3"/>
      <c r="J148" s="105"/>
      <c r="K148" s="3"/>
      <c r="L148" s="3"/>
      <c r="M148" s="3"/>
      <c r="N148" s="3"/>
      <c r="O148" s="3"/>
      <c r="P148" s="3"/>
      <c r="Q148" s="3"/>
      <c r="R148" s="3"/>
      <c r="S148" s="3"/>
    </row>
    <row r="149" spans="7:19" x14ac:dyDescent="0.25">
      <c r="G149" s="3"/>
      <c r="H149" s="3"/>
      <c r="I149" s="3"/>
      <c r="J149" s="105"/>
      <c r="K149" s="3"/>
      <c r="L149" s="3"/>
      <c r="M149" s="3"/>
      <c r="N149" s="3"/>
      <c r="O149" s="3"/>
      <c r="P149" s="3"/>
      <c r="Q149" s="3"/>
      <c r="R149" s="3"/>
      <c r="S149" s="3"/>
    </row>
    <row r="150" spans="7:19" x14ac:dyDescent="0.25">
      <c r="G150" s="3"/>
      <c r="H150" s="3"/>
      <c r="I150" s="3"/>
      <c r="J150" s="105"/>
      <c r="K150" s="3"/>
      <c r="L150" s="3"/>
      <c r="M150" s="3"/>
      <c r="N150" s="3"/>
      <c r="O150" s="3"/>
      <c r="P150" s="3"/>
      <c r="Q150" s="3"/>
      <c r="R150" s="3"/>
      <c r="S150" s="3"/>
    </row>
    <row r="151" spans="7:19" x14ac:dyDescent="0.25">
      <c r="G151" s="3"/>
      <c r="H151" s="3"/>
      <c r="I151" s="3"/>
      <c r="J151" s="105"/>
      <c r="K151" s="3"/>
      <c r="L151" s="3"/>
      <c r="M151" s="3"/>
      <c r="N151" s="3"/>
      <c r="O151" s="3"/>
      <c r="P151" s="3"/>
      <c r="Q151" s="3"/>
      <c r="R151" s="3"/>
      <c r="S151" s="3"/>
    </row>
    <row r="152" spans="7:19" x14ac:dyDescent="0.25">
      <c r="G152" s="3"/>
      <c r="H152" s="3"/>
      <c r="I152" s="3"/>
      <c r="J152" s="105"/>
      <c r="K152" s="3"/>
      <c r="L152" s="3"/>
      <c r="M152" s="3"/>
      <c r="N152" s="3"/>
      <c r="O152" s="3"/>
      <c r="P152" s="3"/>
      <c r="Q152" s="3"/>
      <c r="R152" s="3"/>
      <c r="S152" s="3"/>
    </row>
    <row r="153" spans="7:19" x14ac:dyDescent="0.25">
      <c r="G153" s="3"/>
      <c r="H153" s="3"/>
      <c r="I153" s="3"/>
      <c r="J153" s="105"/>
      <c r="K153" s="3"/>
      <c r="L153" s="3"/>
      <c r="M153" s="3"/>
      <c r="N153" s="3"/>
      <c r="O153" s="3"/>
      <c r="P153" s="3"/>
      <c r="Q153" s="3"/>
      <c r="R153" s="3"/>
      <c r="S153" s="3"/>
    </row>
    <row r="154" spans="7:19" x14ac:dyDescent="0.25">
      <c r="G154" s="3"/>
      <c r="H154" s="3"/>
      <c r="I154" s="3"/>
      <c r="J154" s="105"/>
      <c r="K154" s="3"/>
      <c r="L154" s="3"/>
      <c r="M154" s="3"/>
      <c r="N154" s="3"/>
      <c r="O154" s="3"/>
      <c r="P154" s="3"/>
      <c r="Q154" s="3"/>
      <c r="R154" s="3"/>
      <c r="S154" s="3"/>
    </row>
    <row r="155" spans="7:19" x14ac:dyDescent="0.25">
      <c r="G155" s="3"/>
      <c r="H155" s="3"/>
      <c r="I155" s="3"/>
      <c r="J155" s="105"/>
      <c r="K155" s="3"/>
      <c r="L155" s="3"/>
      <c r="M155" s="3"/>
      <c r="N155" s="3"/>
      <c r="O155" s="3"/>
      <c r="P155" s="3"/>
      <c r="Q155" s="3"/>
      <c r="R155" s="3"/>
      <c r="S155" s="3"/>
    </row>
    <row r="156" spans="7:19" x14ac:dyDescent="0.25">
      <c r="G156" s="3"/>
      <c r="H156" s="3"/>
      <c r="I156" s="3"/>
      <c r="J156" s="105"/>
      <c r="K156" s="3"/>
      <c r="L156" s="3"/>
      <c r="M156" s="3"/>
      <c r="N156" s="3"/>
      <c r="O156" s="3"/>
      <c r="P156" s="3"/>
      <c r="Q156" s="3"/>
      <c r="R156" s="3"/>
      <c r="S156" s="3"/>
    </row>
    <row r="157" spans="7:19" x14ac:dyDescent="0.25">
      <c r="G157" s="3"/>
      <c r="H157" s="3"/>
      <c r="I157" s="3"/>
      <c r="J157" s="105"/>
      <c r="K157" s="3"/>
      <c r="L157" s="3"/>
      <c r="M157" s="3"/>
      <c r="N157" s="3"/>
      <c r="O157" s="3"/>
      <c r="P157" s="3"/>
      <c r="Q157" s="3"/>
      <c r="R157" s="3"/>
      <c r="S157" s="3"/>
    </row>
    <row r="158" spans="7:19" x14ac:dyDescent="0.25">
      <c r="G158" s="3"/>
      <c r="H158" s="3"/>
      <c r="I158" s="3"/>
      <c r="J158" s="105"/>
      <c r="K158" s="3"/>
      <c r="L158" s="3"/>
      <c r="M158" s="3"/>
      <c r="N158" s="3"/>
      <c r="O158" s="3"/>
      <c r="P158" s="3"/>
      <c r="Q158" s="3"/>
      <c r="R158" s="3"/>
      <c r="S158" s="3"/>
    </row>
    <row r="159" spans="7:19" x14ac:dyDescent="0.25">
      <c r="G159" s="3"/>
      <c r="H159" s="3"/>
      <c r="I159" s="3"/>
      <c r="J159" s="105"/>
      <c r="K159" s="3"/>
      <c r="L159" s="3"/>
      <c r="M159" s="3"/>
      <c r="N159" s="3"/>
      <c r="O159" s="3"/>
      <c r="P159" s="3"/>
      <c r="Q159" s="3"/>
      <c r="R159" s="3"/>
      <c r="S159" s="3"/>
    </row>
    <row r="160" spans="7:19" x14ac:dyDescent="0.25">
      <c r="G160" s="3"/>
      <c r="H160" s="3"/>
      <c r="I160" s="3"/>
      <c r="J160" s="105"/>
      <c r="K160" s="3"/>
      <c r="L160" s="3"/>
      <c r="M160" s="3"/>
      <c r="N160" s="3"/>
      <c r="O160" s="3"/>
      <c r="P160" s="3"/>
      <c r="Q160" s="3"/>
      <c r="R160" s="3"/>
      <c r="S160" s="3"/>
    </row>
    <row r="161" spans="7:19" x14ac:dyDescent="0.25">
      <c r="G161" s="3"/>
      <c r="H161" s="3"/>
      <c r="I161" s="3"/>
      <c r="J161" s="105"/>
      <c r="K161" s="3"/>
      <c r="L161" s="3"/>
      <c r="M161" s="3"/>
      <c r="N161" s="3"/>
      <c r="O161" s="3"/>
      <c r="P161" s="3"/>
      <c r="Q161" s="3"/>
      <c r="R161" s="3"/>
      <c r="S161" s="3"/>
    </row>
    <row r="162" spans="7:19" x14ac:dyDescent="0.25">
      <c r="G162" s="3"/>
      <c r="H162" s="3"/>
      <c r="I162" s="3"/>
      <c r="J162" s="105"/>
      <c r="K162" s="3"/>
      <c r="L162" s="3"/>
      <c r="M162" s="3"/>
      <c r="N162" s="3"/>
      <c r="O162" s="3"/>
      <c r="P162" s="3"/>
      <c r="Q162" s="3"/>
      <c r="R162" s="3"/>
      <c r="S162" s="3"/>
    </row>
    <row r="163" spans="7:19" x14ac:dyDescent="0.25">
      <c r="G163" s="3"/>
      <c r="H163" s="3"/>
      <c r="I163" s="3"/>
      <c r="J163" s="105"/>
      <c r="K163" s="3"/>
      <c r="L163" s="3"/>
      <c r="M163" s="3"/>
      <c r="N163" s="3"/>
      <c r="O163" s="3"/>
      <c r="P163" s="3"/>
      <c r="Q163" s="3"/>
      <c r="R163" s="3"/>
      <c r="S163" s="3"/>
    </row>
    <row r="164" spans="7:19" x14ac:dyDescent="0.25">
      <c r="G164" s="3"/>
      <c r="H164" s="3"/>
      <c r="I164" s="3"/>
      <c r="J164" s="105"/>
      <c r="K164" s="3"/>
      <c r="L164" s="3"/>
      <c r="M164" s="3"/>
      <c r="N164" s="3"/>
      <c r="O164" s="3"/>
      <c r="P164" s="3"/>
      <c r="Q164" s="3"/>
      <c r="R164" s="3"/>
      <c r="S164" s="3"/>
    </row>
    <row r="165" spans="7:19" x14ac:dyDescent="0.25">
      <c r="G165" s="3"/>
      <c r="H165" s="3"/>
      <c r="I165" s="3"/>
      <c r="J165" s="105"/>
      <c r="K165" s="3"/>
      <c r="L165" s="3"/>
      <c r="M165" s="3"/>
      <c r="N165" s="3"/>
      <c r="O165" s="3"/>
      <c r="P165" s="3"/>
      <c r="Q165" s="3"/>
      <c r="R165" s="3"/>
      <c r="S165" s="3"/>
    </row>
    <row r="166" spans="7:19" x14ac:dyDescent="0.25">
      <c r="G166" s="3"/>
      <c r="H166" s="3"/>
      <c r="I166" s="3"/>
      <c r="J166" s="105"/>
      <c r="K166" s="3"/>
      <c r="L166" s="3"/>
      <c r="M166" s="3"/>
      <c r="N166" s="3"/>
      <c r="O166" s="3"/>
      <c r="P166" s="3"/>
      <c r="Q166" s="3"/>
      <c r="R166" s="3"/>
      <c r="S166" s="3"/>
    </row>
    <row r="167" spans="7:19" x14ac:dyDescent="0.25">
      <c r="G167" s="3"/>
      <c r="H167" s="3"/>
      <c r="I167" s="3"/>
      <c r="J167" s="105"/>
      <c r="K167" s="3"/>
      <c r="L167" s="3"/>
      <c r="M167" s="3"/>
      <c r="N167" s="3"/>
      <c r="O167" s="3"/>
      <c r="P167" s="3"/>
      <c r="Q167" s="3"/>
      <c r="R167" s="3"/>
      <c r="S167" s="3"/>
    </row>
    <row r="168" spans="7:19" x14ac:dyDescent="0.25">
      <c r="G168" s="3"/>
      <c r="H168" s="3"/>
      <c r="I168" s="3"/>
      <c r="J168" s="105"/>
      <c r="K168" s="3"/>
      <c r="L168" s="3"/>
      <c r="M168" s="3"/>
      <c r="N168" s="3"/>
      <c r="O168" s="3"/>
      <c r="P168" s="3"/>
      <c r="Q168" s="3"/>
      <c r="R168" s="3"/>
      <c r="S168" s="3"/>
    </row>
    <row r="169" spans="7:19" x14ac:dyDescent="0.25">
      <c r="G169" s="3"/>
      <c r="H169" s="3"/>
      <c r="I169" s="3"/>
      <c r="J169" s="105"/>
      <c r="K169" s="3"/>
      <c r="L169" s="3"/>
      <c r="M169" s="3"/>
      <c r="N169" s="3"/>
      <c r="O169" s="3"/>
      <c r="P169" s="3"/>
      <c r="Q169" s="3"/>
      <c r="R169" s="3"/>
      <c r="S169" s="3"/>
    </row>
    <row r="170" spans="7:19" x14ac:dyDescent="0.25">
      <c r="G170" s="3"/>
      <c r="H170" s="3"/>
      <c r="I170" s="3"/>
      <c r="J170" s="105"/>
      <c r="K170" s="3"/>
      <c r="L170" s="3"/>
      <c r="M170" s="3"/>
      <c r="N170" s="3"/>
      <c r="O170" s="3"/>
      <c r="P170" s="3"/>
      <c r="Q170" s="3"/>
      <c r="R170" s="3"/>
      <c r="S170" s="3"/>
    </row>
    <row r="171" spans="7:19" x14ac:dyDescent="0.25">
      <c r="G171" s="3"/>
      <c r="H171" s="3"/>
      <c r="I171" s="3"/>
      <c r="J171" s="105"/>
      <c r="K171" s="3"/>
      <c r="L171" s="3"/>
      <c r="M171" s="3"/>
      <c r="N171" s="3"/>
      <c r="O171" s="3"/>
      <c r="P171" s="3"/>
      <c r="Q171" s="3"/>
      <c r="R171" s="3"/>
      <c r="S171" s="3"/>
    </row>
    <row r="172" spans="7:19" x14ac:dyDescent="0.25">
      <c r="G172" s="3"/>
      <c r="H172" s="3"/>
      <c r="I172" s="3"/>
      <c r="J172" s="105"/>
      <c r="K172" s="3"/>
      <c r="L172" s="3"/>
      <c r="M172" s="3"/>
      <c r="N172" s="3"/>
      <c r="O172" s="3"/>
      <c r="P172" s="3"/>
      <c r="Q172" s="3"/>
      <c r="R172" s="3"/>
      <c r="S172" s="3"/>
    </row>
    <row r="173" spans="7:19" x14ac:dyDescent="0.25">
      <c r="G173" s="3"/>
      <c r="H173" s="3"/>
      <c r="I173" s="3"/>
      <c r="J173" s="105"/>
      <c r="K173" s="3"/>
      <c r="L173" s="3"/>
      <c r="M173" s="3"/>
      <c r="N173" s="3"/>
      <c r="O173" s="3"/>
      <c r="P173" s="3"/>
      <c r="Q173" s="3"/>
      <c r="R173" s="3"/>
      <c r="S173" s="3"/>
    </row>
    <row r="174" spans="7:19" x14ac:dyDescent="0.25">
      <c r="G174" s="3"/>
      <c r="H174" s="3"/>
      <c r="I174" s="3"/>
      <c r="J174" s="105"/>
      <c r="K174" s="3"/>
      <c r="L174" s="3"/>
      <c r="M174" s="3"/>
      <c r="N174" s="3"/>
      <c r="O174" s="3"/>
      <c r="P174" s="3"/>
      <c r="Q174" s="3"/>
      <c r="R174" s="3"/>
      <c r="S174" s="3"/>
    </row>
    <row r="175" spans="7:19" x14ac:dyDescent="0.25">
      <c r="G175" s="3"/>
      <c r="H175" s="3"/>
      <c r="I175" s="3"/>
      <c r="J175" s="105"/>
      <c r="K175" s="3"/>
      <c r="L175" s="3"/>
      <c r="M175" s="3"/>
      <c r="N175" s="3"/>
      <c r="O175" s="3"/>
      <c r="P175" s="3"/>
      <c r="Q175" s="3"/>
      <c r="R175" s="3"/>
      <c r="S175" s="3"/>
    </row>
    <row r="176" spans="7:19" x14ac:dyDescent="0.25">
      <c r="G176" s="3"/>
      <c r="H176" s="3"/>
      <c r="I176" s="3"/>
      <c r="J176" s="105"/>
      <c r="K176" s="3"/>
      <c r="L176" s="3"/>
      <c r="M176" s="3"/>
      <c r="N176" s="3"/>
      <c r="O176" s="3"/>
      <c r="P176" s="3"/>
      <c r="Q176" s="3"/>
      <c r="R176" s="3"/>
      <c r="S176" s="3"/>
    </row>
    <row r="177" spans="7:19" x14ac:dyDescent="0.25">
      <c r="G177" s="3"/>
      <c r="H177" s="3"/>
      <c r="I177" s="3"/>
      <c r="J177" s="105"/>
      <c r="K177" s="3"/>
      <c r="L177" s="3"/>
      <c r="M177" s="3"/>
      <c r="N177" s="3"/>
      <c r="O177" s="3"/>
      <c r="P177" s="3"/>
      <c r="Q177" s="3"/>
      <c r="R177" s="3"/>
      <c r="S177" s="3"/>
    </row>
    <row r="178" spans="7:19" x14ac:dyDescent="0.25">
      <c r="G178" s="3"/>
      <c r="H178" s="3"/>
      <c r="I178" s="3"/>
      <c r="J178" s="105"/>
      <c r="K178" s="3"/>
      <c r="L178" s="3"/>
      <c r="M178" s="3"/>
      <c r="N178" s="3"/>
      <c r="O178" s="3"/>
      <c r="P178" s="3"/>
      <c r="Q178" s="3"/>
      <c r="R178" s="3"/>
      <c r="S178" s="3"/>
    </row>
    <row r="179" spans="7:19" x14ac:dyDescent="0.25">
      <c r="G179" s="3"/>
      <c r="H179" s="3"/>
      <c r="I179" s="3"/>
      <c r="J179" s="105"/>
      <c r="K179" s="3"/>
      <c r="L179" s="3"/>
      <c r="M179" s="3"/>
      <c r="N179" s="3"/>
      <c r="O179" s="3"/>
      <c r="P179" s="3"/>
      <c r="Q179" s="3"/>
      <c r="R179" s="3"/>
      <c r="S179" s="3"/>
    </row>
    <row r="180" spans="7:19" x14ac:dyDescent="0.25">
      <c r="G180" s="3"/>
      <c r="H180" s="3"/>
      <c r="I180" s="3"/>
      <c r="J180" s="105"/>
      <c r="K180" s="3"/>
      <c r="L180" s="3"/>
      <c r="M180" s="3"/>
      <c r="N180" s="3"/>
      <c r="O180" s="3"/>
      <c r="P180" s="3"/>
      <c r="Q180" s="3"/>
      <c r="R180" s="3"/>
      <c r="S180" s="3"/>
    </row>
    <row r="181" spans="7:19" x14ac:dyDescent="0.25">
      <c r="G181" s="3"/>
      <c r="H181" s="3"/>
      <c r="I181" s="3"/>
      <c r="J181" s="105"/>
      <c r="K181" s="3"/>
      <c r="L181" s="3"/>
      <c r="M181" s="3"/>
      <c r="N181" s="3"/>
      <c r="O181" s="3"/>
      <c r="P181" s="3"/>
      <c r="Q181" s="3"/>
      <c r="R181" s="3"/>
      <c r="S181" s="3"/>
    </row>
    <row r="182" spans="7:19" x14ac:dyDescent="0.25">
      <c r="G182" s="3"/>
      <c r="H182" s="3"/>
      <c r="I182" s="3"/>
      <c r="J182" s="105"/>
      <c r="K182" s="3"/>
      <c r="L182" s="3"/>
      <c r="M182" s="3"/>
      <c r="N182" s="3"/>
      <c r="O182" s="3"/>
      <c r="P182" s="3"/>
      <c r="Q182" s="3"/>
      <c r="R182" s="3"/>
      <c r="S182" s="3"/>
    </row>
    <row r="183" spans="7:19" x14ac:dyDescent="0.25">
      <c r="G183" s="3"/>
      <c r="H183" s="3"/>
      <c r="I183" s="3"/>
      <c r="J183" s="105"/>
      <c r="K183" s="3"/>
      <c r="L183" s="3"/>
      <c r="M183" s="3"/>
      <c r="N183" s="3"/>
      <c r="O183" s="3"/>
      <c r="P183" s="3"/>
      <c r="Q183" s="3"/>
      <c r="R183" s="3"/>
      <c r="S183" s="3"/>
    </row>
    <row r="184" spans="7:19" x14ac:dyDescent="0.25">
      <c r="G184" s="3"/>
      <c r="H184" s="3"/>
      <c r="I184" s="3"/>
      <c r="J184" s="105"/>
      <c r="K184" s="3"/>
      <c r="L184" s="3"/>
      <c r="M184" s="3"/>
      <c r="N184" s="3"/>
      <c r="O184" s="3"/>
      <c r="P184" s="3"/>
      <c r="Q184" s="3"/>
      <c r="R184" s="3"/>
      <c r="S184" s="3"/>
    </row>
    <row r="185" spans="7:19" x14ac:dyDescent="0.25">
      <c r="G185" s="3"/>
      <c r="H185" s="3"/>
      <c r="I185" s="3"/>
      <c r="J185" s="105"/>
      <c r="K185" s="3"/>
      <c r="L185" s="3"/>
      <c r="M185" s="3"/>
      <c r="N185" s="3"/>
      <c r="O185" s="3"/>
      <c r="P185" s="3"/>
      <c r="Q185" s="3"/>
      <c r="R185" s="3"/>
      <c r="S185" s="3"/>
    </row>
    <row r="186" spans="7:19" x14ac:dyDescent="0.25">
      <c r="G186" s="3"/>
      <c r="H186" s="3"/>
      <c r="I186" s="3"/>
      <c r="J186" s="105"/>
      <c r="K186" s="3"/>
      <c r="L186" s="3"/>
      <c r="M186" s="3"/>
      <c r="N186" s="3"/>
      <c r="O186" s="3"/>
      <c r="P186" s="3"/>
      <c r="Q186" s="3"/>
      <c r="R186" s="3"/>
      <c r="S186" s="3"/>
    </row>
    <row r="187" spans="7:19" x14ac:dyDescent="0.25">
      <c r="G187" s="3"/>
      <c r="H187" s="3"/>
      <c r="I187" s="3"/>
      <c r="J187" s="105"/>
      <c r="K187" s="3"/>
      <c r="L187" s="3"/>
      <c r="M187" s="3"/>
      <c r="N187" s="3"/>
      <c r="O187" s="3"/>
      <c r="P187" s="3"/>
      <c r="Q187" s="3"/>
      <c r="R187" s="3"/>
      <c r="S187" s="3"/>
    </row>
    <row r="188" spans="7:19" x14ac:dyDescent="0.25">
      <c r="G188" s="3"/>
      <c r="H188" s="3"/>
      <c r="I188" s="3"/>
      <c r="J188" s="105"/>
      <c r="K188" s="3"/>
      <c r="L188" s="3"/>
      <c r="M188" s="3"/>
      <c r="N188" s="3"/>
      <c r="O188" s="3"/>
      <c r="P188" s="3"/>
      <c r="Q188" s="3"/>
      <c r="R188" s="3"/>
      <c r="S188" s="3"/>
    </row>
    <row r="189" spans="7:19" x14ac:dyDescent="0.25">
      <c r="G189" s="3"/>
      <c r="H189" s="3"/>
      <c r="I189" s="3"/>
      <c r="J189" s="105"/>
      <c r="K189" s="3"/>
      <c r="L189" s="3"/>
      <c r="M189" s="3"/>
      <c r="N189" s="3"/>
      <c r="O189" s="3"/>
      <c r="P189" s="3"/>
      <c r="Q189" s="3"/>
      <c r="R189" s="3"/>
      <c r="S189" s="3"/>
    </row>
    <row r="190" spans="7:19" x14ac:dyDescent="0.25">
      <c r="G190" s="3"/>
      <c r="H190" s="3"/>
      <c r="I190" s="3"/>
      <c r="J190" s="105"/>
      <c r="K190" s="3"/>
      <c r="L190" s="3"/>
      <c r="M190" s="3"/>
      <c r="N190" s="3"/>
      <c r="O190" s="3"/>
      <c r="P190" s="3"/>
      <c r="Q190" s="3"/>
      <c r="R190" s="3"/>
      <c r="S190" s="3"/>
    </row>
    <row r="191" spans="7:19" x14ac:dyDescent="0.25">
      <c r="G191" s="3"/>
      <c r="H191" s="3"/>
      <c r="I191" s="3"/>
      <c r="J191" s="105"/>
      <c r="K191" s="3"/>
      <c r="L191" s="3"/>
      <c r="M191" s="3"/>
      <c r="N191" s="3"/>
      <c r="O191" s="3"/>
      <c r="P191" s="3"/>
      <c r="Q191" s="3"/>
      <c r="R191" s="3"/>
      <c r="S191" s="3"/>
    </row>
    <row r="192" spans="7:19" x14ac:dyDescent="0.25">
      <c r="G192" s="3"/>
      <c r="H192" s="3"/>
      <c r="I192" s="3"/>
      <c r="J192" s="105"/>
      <c r="K192" s="3"/>
      <c r="L192" s="3"/>
      <c r="M192" s="3"/>
      <c r="N192" s="3"/>
      <c r="O192" s="3"/>
      <c r="P192" s="3"/>
      <c r="Q192" s="3"/>
      <c r="R192" s="3"/>
      <c r="S192" s="3"/>
    </row>
    <row r="193" spans="7:19" x14ac:dyDescent="0.25">
      <c r="G193" s="3"/>
      <c r="H193" s="3"/>
      <c r="I193" s="3"/>
      <c r="J193" s="105"/>
      <c r="K193" s="3"/>
      <c r="L193" s="3"/>
      <c r="M193" s="3"/>
      <c r="N193" s="3"/>
      <c r="O193" s="3"/>
      <c r="P193" s="3"/>
      <c r="Q193" s="3"/>
      <c r="R193" s="3"/>
      <c r="S193" s="3"/>
    </row>
    <row r="194" spans="7:19" x14ac:dyDescent="0.25">
      <c r="G194" s="3"/>
      <c r="H194" s="3"/>
      <c r="I194" s="3"/>
      <c r="J194" s="105"/>
      <c r="K194" s="3"/>
      <c r="L194" s="3"/>
      <c r="M194" s="3"/>
      <c r="N194" s="3"/>
      <c r="O194" s="3"/>
      <c r="P194" s="3"/>
      <c r="Q194" s="3"/>
      <c r="R194" s="3"/>
      <c r="S194" s="3"/>
    </row>
    <row r="195" spans="7:19" x14ac:dyDescent="0.25">
      <c r="G195" s="3"/>
      <c r="H195" s="3"/>
      <c r="I195" s="3"/>
      <c r="J195" s="105"/>
      <c r="K195" s="3"/>
      <c r="L195" s="3"/>
      <c r="M195" s="3"/>
      <c r="N195" s="3"/>
      <c r="O195" s="3"/>
      <c r="P195" s="3"/>
      <c r="Q195" s="3"/>
      <c r="R195" s="3"/>
      <c r="S195" s="3"/>
    </row>
    <row r="196" spans="7:19" x14ac:dyDescent="0.25">
      <c r="G196" s="3"/>
      <c r="H196" s="3"/>
      <c r="I196" s="3"/>
      <c r="J196" s="105"/>
      <c r="K196" s="3"/>
      <c r="L196" s="3"/>
      <c r="M196" s="3"/>
      <c r="N196" s="3"/>
      <c r="O196" s="3"/>
      <c r="P196" s="3"/>
      <c r="Q196" s="3"/>
      <c r="R196" s="3"/>
      <c r="S196" s="3"/>
    </row>
    <row r="197" spans="7:19" x14ac:dyDescent="0.25">
      <c r="G197" s="3"/>
      <c r="H197" s="3"/>
      <c r="I197" s="3"/>
      <c r="J197" s="105"/>
      <c r="K197" s="3"/>
      <c r="L197" s="3"/>
      <c r="M197" s="3"/>
      <c r="N197" s="3"/>
      <c r="O197" s="3"/>
      <c r="P197" s="3"/>
      <c r="Q197" s="3"/>
      <c r="R197" s="3"/>
      <c r="S197" s="3"/>
    </row>
    <row r="198" spans="7:19" x14ac:dyDescent="0.25">
      <c r="G198" s="3"/>
      <c r="H198" s="3"/>
      <c r="I198" s="3"/>
      <c r="J198" s="105"/>
      <c r="K198" s="3"/>
      <c r="L198" s="3"/>
      <c r="M198" s="3"/>
      <c r="N198" s="3"/>
      <c r="O198" s="3"/>
      <c r="P198" s="3"/>
      <c r="Q198" s="3"/>
      <c r="R198" s="3"/>
      <c r="S198" s="3"/>
    </row>
    <row r="199" spans="7:19" x14ac:dyDescent="0.25">
      <c r="G199" s="3"/>
      <c r="H199" s="3"/>
      <c r="I199" s="3"/>
      <c r="J199" s="105"/>
      <c r="K199" s="3"/>
      <c r="L199" s="3"/>
      <c r="M199" s="3"/>
      <c r="N199" s="3"/>
      <c r="O199" s="3"/>
      <c r="P199" s="3"/>
      <c r="Q199" s="3"/>
      <c r="R199" s="3"/>
      <c r="S199" s="3"/>
    </row>
    <row r="200" spans="7:19" x14ac:dyDescent="0.25">
      <c r="G200" s="3"/>
      <c r="H200" s="3"/>
      <c r="I200" s="3"/>
      <c r="J200" s="105"/>
      <c r="K200" s="3"/>
      <c r="L200" s="3"/>
      <c r="M200" s="3"/>
      <c r="N200" s="3"/>
      <c r="O200" s="3"/>
      <c r="P200" s="3"/>
      <c r="Q200" s="3"/>
      <c r="R200" s="3"/>
      <c r="S200" s="3"/>
    </row>
    <row r="201" spans="7:19" x14ac:dyDescent="0.25">
      <c r="G201" s="3"/>
      <c r="H201" s="3"/>
      <c r="I201" s="3"/>
      <c r="J201" s="105"/>
      <c r="K201" s="3"/>
      <c r="L201" s="3"/>
      <c r="M201" s="3"/>
      <c r="N201" s="3"/>
      <c r="O201" s="3"/>
      <c r="P201" s="3"/>
      <c r="Q201" s="3"/>
      <c r="R201" s="3"/>
      <c r="S201" s="3"/>
    </row>
    <row r="202" spans="7:19" x14ac:dyDescent="0.25">
      <c r="G202" s="3"/>
      <c r="H202" s="3"/>
      <c r="I202" s="3"/>
      <c r="J202" s="105"/>
      <c r="K202" s="3"/>
      <c r="L202" s="3"/>
      <c r="M202" s="3"/>
      <c r="N202" s="3"/>
      <c r="O202" s="3"/>
      <c r="P202" s="3"/>
      <c r="Q202" s="3"/>
      <c r="R202" s="3"/>
      <c r="S202" s="3"/>
    </row>
    <row r="203" spans="7:19" x14ac:dyDescent="0.25">
      <c r="G203" s="3"/>
      <c r="H203" s="3"/>
      <c r="I203" s="3"/>
      <c r="J203" s="105"/>
      <c r="K203" s="3"/>
      <c r="L203" s="3"/>
      <c r="M203" s="3"/>
      <c r="N203" s="3"/>
      <c r="O203" s="3"/>
      <c r="P203" s="3"/>
      <c r="Q203" s="3"/>
      <c r="R203" s="3"/>
      <c r="S203" s="3"/>
    </row>
    <row r="204" spans="7:19" x14ac:dyDescent="0.25">
      <c r="G204" s="3"/>
      <c r="H204" s="3"/>
      <c r="I204" s="3"/>
      <c r="J204" s="105"/>
      <c r="K204" s="3"/>
      <c r="L204" s="3"/>
      <c r="M204" s="3"/>
      <c r="N204" s="3"/>
      <c r="O204" s="3"/>
      <c r="P204" s="3"/>
      <c r="Q204" s="3"/>
      <c r="R204" s="3"/>
      <c r="S204" s="3"/>
    </row>
    <row r="205" spans="7:19" x14ac:dyDescent="0.25">
      <c r="G205" s="3"/>
      <c r="H205" s="3"/>
      <c r="I205" s="3"/>
      <c r="J205" s="105"/>
      <c r="K205" s="3"/>
      <c r="L205" s="3"/>
      <c r="M205" s="3"/>
      <c r="N205" s="3"/>
      <c r="O205" s="3"/>
      <c r="P205" s="3"/>
      <c r="Q205" s="3"/>
      <c r="R205" s="3"/>
      <c r="S205" s="3"/>
    </row>
    <row r="206" spans="7:19" x14ac:dyDescent="0.25">
      <c r="G206" s="3"/>
      <c r="H206" s="3"/>
      <c r="I206" s="3"/>
      <c r="J206" s="105"/>
      <c r="K206" s="3"/>
      <c r="L206" s="3"/>
      <c r="M206" s="3"/>
      <c r="N206" s="3"/>
      <c r="O206" s="3"/>
      <c r="P206" s="3"/>
      <c r="Q206" s="3"/>
      <c r="R206" s="3"/>
      <c r="S206" s="3"/>
    </row>
    <row r="207" spans="7:19" x14ac:dyDescent="0.25">
      <c r="G207" s="3"/>
      <c r="H207" s="3"/>
      <c r="I207" s="3"/>
      <c r="J207" s="105"/>
      <c r="K207" s="3"/>
      <c r="L207" s="3"/>
      <c r="M207" s="3"/>
      <c r="N207" s="3"/>
      <c r="O207" s="3"/>
      <c r="P207" s="3"/>
      <c r="Q207" s="3"/>
      <c r="R207" s="3"/>
      <c r="S207" s="3"/>
    </row>
    <row r="208" spans="7:19" x14ac:dyDescent="0.25">
      <c r="G208" s="3"/>
      <c r="H208" s="3"/>
      <c r="I208" s="3"/>
      <c r="J208" s="105"/>
      <c r="K208" s="3"/>
      <c r="L208" s="3"/>
      <c r="M208" s="3"/>
      <c r="N208" s="3"/>
      <c r="O208" s="3"/>
      <c r="P208" s="3"/>
      <c r="Q208" s="3"/>
      <c r="R208" s="3"/>
      <c r="S208" s="3"/>
    </row>
    <row r="209" spans="7:19" x14ac:dyDescent="0.25">
      <c r="G209" s="3"/>
      <c r="H209" s="3"/>
      <c r="I209" s="3"/>
      <c r="J209" s="105"/>
      <c r="K209" s="3"/>
      <c r="L209" s="3"/>
      <c r="M209" s="3"/>
      <c r="N209" s="3"/>
      <c r="O209" s="3"/>
      <c r="P209" s="3"/>
      <c r="Q209" s="3"/>
      <c r="R209" s="3"/>
      <c r="S209" s="3"/>
    </row>
    <row r="210" spans="7:19" x14ac:dyDescent="0.25">
      <c r="G210" s="3"/>
      <c r="H210" s="3"/>
      <c r="I210" s="3"/>
      <c r="J210" s="105"/>
      <c r="K210" s="3"/>
      <c r="L210" s="3"/>
      <c r="M210" s="3"/>
      <c r="N210" s="3"/>
      <c r="O210" s="3"/>
      <c r="P210" s="3"/>
      <c r="Q210" s="3"/>
      <c r="R210" s="3"/>
      <c r="S210" s="3"/>
    </row>
    <row r="211" spans="7:19" x14ac:dyDescent="0.25">
      <c r="G211" s="3"/>
      <c r="H211" s="3"/>
      <c r="I211" s="3"/>
      <c r="J211" s="105"/>
      <c r="K211" s="3"/>
      <c r="L211" s="3"/>
      <c r="M211" s="3"/>
      <c r="N211" s="3"/>
      <c r="O211" s="3"/>
      <c r="P211" s="3"/>
      <c r="Q211" s="3"/>
      <c r="R211" s="3"/>
      <c r="S211" s="3"/>
    </row>
    <row r="212" spans="7:19" x14ac:dyDescent="0.25">
      <c r="G212" s="3"/>
      <c r="H212" s="3"/>
      <c r="I212" s="3"/>
      <c r="J212" s="105"/>
      <c r="K212" s="3"/>
      <c r="L212" s="3"/>
      <c r="M212" s="3"/>
      <c r="N212" s="3"/>
      <c r="O212" s="3"/>
      <c r="P212" s="3"/>
      <c r="Q212" s="3"/>
      <c r="R212" s="3"/>
      <c r="S212" s="3"/>
    </row>
    <row r="213" spans="7:19" x14ac:dyDescent="0.25">
      <c r="G213" s="3"/>
      <c r="H213" s="3"/>
      <c r="I213" s="3"/>
      <c r="J213" s="105"/>
      <c r="K213" s="3"/>
      <c r="L213" s="3"/>
      <c r="M213" s="3"/>
      <c r="N213" s="3"/>
      <c r="O213" s="3"/>
      <c r="P213" s="3"/>
      <c r="Q213" s="3"/>
      <c r="R213" s="3"/>
      <c r="S213" s="3"/>
    </row>
    <row r="214" spans="7:19" x14ac:dyDescent="0.25">
      <c r="G214" s="3"/>
      <c r="H214" s="3"/>
      <c r="I214" s="3"/>
      <c r="J214" s="105"/>
      <c r="K214" s="3"/>
      <c r="L214" s="3"/>
      <c r="M214" s="3"/>
      <c r="N214" s="3"/>
      <c r="O214" s="3"/>
      <c r="P214" s="3"/>
      <c r="Q214" s="3"/>
      <c r="R214" s="3"/>
      <c r="S214" s="3"/>
    </row>
    <row r="215" spans="7:19" x14ac:dyDescent="0.25">
      <c r="G215" s="3"/>
      <c r="H215" s="3"/>
      <c r="I215" s="3"/>
      <c r="J215" s="105"/>
      <c r="K215" s="3"/>
      <c r="L215" s="3"/>
      <c r="M215" s="3"/>
      <c r="N215" s="3"/>
      <c r="O215" s="3"/>
      <c r="P215" s="3"/>
      <c r="Q215" s="3"/>
      <c r="R215" s="3"/>
      <c r="S215" s="3"/>
    </row>
    <row r="216" spans="7:19" x14ac:dyDescent="0.25">
      <c r="G216" s="3"/>
      <c r="H216" s="3"/>
      <c r="I216" s="3"/>
      <c r="J216" s="105"/>
      <c r="K216" s="3"/>
      <c r="L216" s="3"/>
      <c r="M216" s="3"/>
      <c r="N216" s="3"/>
      <c r="O216" s="3"/>
      <c r="P216" s="3"/>
      <c r="Q216" s="3"/>
      <c r="R216" s="3"/>
      <c r="S216" s="3"/>
    </row>
    <row r="217" spans="7:19" x14ac:dyDescent="0.25">
      <c r="G217" s="3"/>
      <c r="H217" s="3"/>
      <c r="I217" s="3"/>
      <c r="J217" s="105"/>
      <c r="K217" s="3"/>
      <c r="L217" s="3"/>
      <c r="M217" s="3"/>
      <c r="N217" s="3"/>
      <c r="O217" s="3"/>
      <c r="P217" s="3"/>
      <c r="Q217" s="3"/>
      <c r="R217" s="3"/>
      <c r="S217" s="3"/>
    </row>
    <row r="218" spans="7:19" x14ac:dyDescent="0.25">
      <c r="G218" s="3"/>
      <c r="H218" s="3"/>
      <c r="I218" s="3"/>
      <c r="J218" s="105"/>
      <c r="K218" s="3"/>
      <c r="L218" s="3"/>
      <c r="M218" s="3"/>
      <c r="N218" s="3"/>
      <c r="O218" s="3"/>
      <c r="P218" s="3"/>
      <c r="Q218" s="3"/>
      <c r="R218" s="3"/>
      <c r="S218" s="3"/>
    </row>
    <row r="219" spans="7:19" x14ac:dyDescent="0.25">
      <c r="G219" s="3"/>
      <c r="H219" s="3"/>
      <c r="I219" s="3"/>
      <c r="J219" s="105"/>
      <c r="K219" s="3"/>
      <c r="L219" s="3"/>
      <c r="M219" s="3"/>
      <c r="N219" s="3"/>
      <c r="O219" s="3"/>
      <c r="P219" s="3"/>
      <c r="Q219" s="3"/>
      <c r="R219" s="3"/>
      <c r="S219" s="3"/>
    </row>
    <row r="220" spans="7:19" x14ac:dyDescent="0.25">
      <c r="G220" s="3"/>
      <c r="H220" s="3"/>
      <c r="I220" s="3"/>
      <c r="J220" s="105"/>
      <c r="K220" s="3"/>
      <c r="L220" s="3"/>
      <c r="M220" s="3"/>
      <c r="N220" s="3"/>
      <c r="O220" s="3"/>
      <c r="P220" s="3"/>
      <c r="Q220" s="3"/>
      <c r="R220" s="3"/>
      <c r="S220" s="3"/>
    </row>
    <row r="221" spans="7:19" x14ac:dyDescent="0.25">
      <c r="G221" s="3"/>
      <c r="H221" s="3"/>
      <c r="I221" s="3"/>
      <c r="J221" s="105"/>
      <c r="K221" s="3"/>
      <c r="L221" s="3"/>
      <c r="M221" s="3"/>
      <c r="N221" s="3"/>
      <c r="O221" s="3"/>
      <c r="P221" s="3"/>
      <c r="Q221" s="3"/>
      <c r="R221" s="3"/>
      <c r="S221" s="3"/>
    </row>
    <row r="222" spans="7:19" x14ac:dyDescent="0.25">
      <c r="G222" s="3"/>
      <c r="H222" s="3"/>
      <c r="I222" s="3"/>
      <c r="J222" s="105"/>
      <c r="K222" s="3"/>
      <c r="L222" s="3"/>
      <c r="M222" s="3"/>
      <c r="N222" s="3"/>
      <c r="O222" s="3"/>
      <c r="P222" s="3"/>
      <c r="Q222" s="3"/>
      <c r="R222" s="3"/>
      <c r="S222" s="3"/>
    </row>
    <row r="223" spans="7:19" x14ac:dyDescent="0.25">
      <c r="G223" s="3"/>
      <c r="H223" s="3"/>
      <c r="I223" s="3"/>
      <c r="J223" s="105"/>
      <c r="K223" s="3"/>
      <c r="L223" s="3"/>
      <c r="M223" s="3"/>
      <c r="N223" s="3"/>
      <c r="O223" s="3"/>
      <c r="P223" s="3"/>
      <c r="Q223" s="3"/>
      <c r="R223" s="3"/>
      <c r="S223" s="3"/>
    </row>
    <row r="224" spans="7:19" x14ac:dyDescent="0.25">
      <c r="G224" s="3"/>
      <c r="H224" s="3"/>
      <c r="I224" s="3"/>
      <c r="J224" s="105"/>
      <c r="K224" s="3"/>
      <c r="L224" s="3"/>
      <c r="M224" s="3"/>
      <c r="N224" s="3"/>
      <c r="O224" s="3"/>
      <c r="P224" s="3"/>
      <c r="Q224" s="3"/>
      <c r="R224" s="3"/>
      <c r="S224" s="3"/>
    </row>
    <row r="225" spans="7:19" x14ac:dyDescent="0.25">
      <c r="G225" s="3"/>
      <c r="H225" s="3"/>
      <c r="I225" s="3"/>
      <c r="J225" s="105"/>
      <c r="K225" s="3"/>
      <c r="L225" s="3"/>
      <c r="M225" s="3"/>
      <c r="N225" s="3"/>
      <c r="O225" s="3"/>
      <c r="P225" s="3"/>
      <c r="Q225" s="3"/>
      <c r="R225" s="3"/>
      <c r="S225" s="3"/>
    </row>
    <row r="226" spans="7:19" x14ac:dyDescent="0.25">
      <c r="G226" s="3"/>
      <c r="H226" s="3"/>
      <c r="I226" s="3"/>
      <c r="J226" s="105"/>
      <c r="K226" s="3"/>
      <c r="L226" s="3"/>
      <c r="M226" s="3"/>
      <c r="N226" s="3"/>
      <c r="O226" s="3"/>
      <c r="P226" s="3"/>
      <c r="Q226" s="3"/>
      <c r="R226" s="3"/>
      <c r="S226" s="3"/>
    </row>
    <row r="227" spans="7:19" x14ac:dyDescent="0.25">
      <c r="G227" s="3"/>
      <c r="H227" s="3"/>
      <c r="I227" s="3"/>
      <c r="J227" s="105"/>
      <c r="K227" s="3"/>
      <c r="L227" s="3"/>
      <c r="M227" s="3"/>
      <c r="N227" s="3"/>
      <c r="O227" s="3"/>
      <c r="P227" s="3"/>
      <c r="Q227" s="3"/>
      <c r="R227" s="3"/>
      <c r="S227" s="3"/>
    </row>
    <row r="228" spans="7:19" x14ac:dyDescent="0.25">
      <c r="G228" s="3"/>
      <c r="H228" s="3"/>
      <c r="I228" s="3"/>
      <c r="J228" s="105"/>
      <c r="K228" s="3"/>
      <c r="L228" s="3"/>
      <c r="M228" s="3"/>
      <c r="N228" s="3"/>
      <c r="O228" s="3"/>
      <c r="P228" s="3"/>
      <c r="Q228" s="3"/>
      <c r="R228" s="3"/>
      <c r="S228" s="3"/>
    </row>
    <row r="229" spans="7:19" x14ac:dyDescent="0.25">
      <c r="G229" s="3"/>
      <c r="H229" s="3"/>
      <c r="I229" s="3"/>
      <c r="J229" s="105"/>
      <c r="K229" s="3"/>
      <c r="L229" s="3"/>
      <c r="M229" s="3"/>
      <c r="N229" s="3"/>
      <c r="O229" s="3"/>
      <c r="P229" s="3"/>
      <c r="Q229" s="3"/>
      <c r="R229" s="3"/>
      <c r="S229" s="3"/>
    </row>
    <row r="230" spans="7:19" x14ac:dyDescent="0.25">
      <c r="G230" s="3"/>
      <c r="H230" s="3"/>
      <c r="I230" s="3"/>
      <c r="J230" s="105"/>
      <c r="K230" s="3"/>
      <c r="L230" s="3"/>
      <c r="M230" s="3"/>
      <c r="N230" s="3"/>
      <c r="O230" s="3"/>
      <c r="P230" s="3"/>
      <c r="Q230" s="3"/>
      <c r="R230" s="3"/>
      <c r="S230" s="3"/>
    </row>
    <row r="231" spans="7:19" x14ac:dyDescent="0.25">
      <c r="G231" s="3"/>
      <c r="H231" s="3"/>
      <c r="I231" s="3"/>
      <c r="J231" s="105"/>
      <c r="K231" s="3"/>
      <c r="L231" s="3"/>
      <c r="M231" s="3"/>
      <c r="N231" s="3"/>
      <c r="O231" s="3"/>
      <c r="P231" s="3"/>
      <c r="Q231" s="3"/>
      <c r="R231" s="3"/>
      <c r="S231" s="3"/>
    </row>
    <row r="232" spans="7:19" x14ac:dyDescent="0.25">
      <c r="G232" s="3"/>
      <c r="H232" s="3"/>
      <c r="I232" s="3"/>
      <c r="J232" s="105"/>
      <c r="K232" s="3"/>
      <c r="L232" s="3"/>
      <c r="M232" s="3"/>
      <c r="N232" s="3"/>
      <c r="O232" s="3"/>
      <c r="P232" s="3"/>
      <c r="Q232" s="3"/>
      <c r="R232" s="3"/>
      <c r="S232" s="3"/>
    </row>
    <row r="233" spans="7:19" x14ac:dyDescent="0.25">
      <c r="G233" s="3"/>
      <c r="H233" s="3"/>
      <c r="I233" s="3"/>
      <c r="J233" s="105"/>
      <c r="K233" s="3"/>
      <c r="L233" s="3"/>
      <c r="M233" s="3"/>
      <c r="N233" s="3"/>
      <c r="O233" s="3"/>
      <c r="P233" s="3"/>
      <c r="Q233" s="3"/>
      <c r="R233" s="3"/>
      <c r="S233" s="3"/>
    </row>
    <row r="234" spans="7:19" x14ac:dyDescent="0.25">
      <c r="G234" s="3"/>
      <c r="H234" s="3"/>
      <c r="I234" s="3"/>
      <c r="J234" s="105"/>
      <c r="K234" s="3"/>
      <c r="L234" s="3"/>
      <c r="M234" s="3"/>
      <c r="N234" s="3"/>
      <c r="O234" s="3"/>
      <c r="P234" s="3"/>
      <c r="Q234" s="3"/>
      <c r="R234" s="3"/>
      <c r="S234" s="3"/>
    </row>
    <row r="235" spans="7:19" x14ac:dyDescent="0.25">
      <c r="G235" s="3"/>
      <c r="H235" s="3"/>
      <c r="I235" s="3"/>
      <c r="J235" s="105"/>
      <c r="K235" s="3"/>
      <c r="L235" s="3"/>
      <c r="M235" s="3"/>
      <c r="N235" s="3"/>
      <c r="O235" s="3"/>
      <c r="P235" s="3"/>
      <c r="Q235" s="3"/>
      <c r="R235" s="3"/>
      <c r="S235" s="3"/>
    </row>
    <row r="236" spans="7:19" x14ac:dyDescent="0.25">
      <c r="G236" s="3"/>
      <c r="H236" s="3"/>
      <c r="I236" s="3"/>
      <c r="J236" s="105"/>
      <c r="K236" s="3"/>
      <c r="L236" s="3"/>
      <c r="M236" s="3"/>
      <c r="N236" s="3"/>
      <c r="O236" s="3"/>
      <c r="P236" s="3"/>
      <c r="Q236" s="3"/>
      <c r="R236" s="3"/>
      <c r="S236" s="3"/>
    </row>
    <row r="237" spans="7:19" x14ac:dyDescent="0.25">
      <c r="G237" s="3"/>
      <c r="H237" s="3"/>
      <c r="I237" s="3"/>
      <c r="J237" s="105"/>
      <c r="K237" s="3"/>
      <c r="L237" s="3"/>
      <c r="M237" s="3"/>
      <c r="N237" s="3"/>
      <c r="O237" s="3"/>
      <c r="P237" s="3"/>
      <c r="Q237" s="3"/>
      <c r="R237" s="3"/>
      <c r="S237" s="3"/>
    </row>
    <row r="238" spans="7:19" x14ac:dyDescent="0.25">
      <c r="G238" s="3"/>
      <c r="H238" s="3"/>
      <c r="I238" s="3"/>
      <c r="J238" s="105"/>
      <c r="K238" s="3"/>
      <c r="L238" s="3"/>
      <c r="M238" s="3"/>
      <c r="N238" s="3"/>
      <c r="O238" s="3"/>
      <c r="P238" s="3"/>
      <c r="Q238" s="3"/>
      <c r="R238" s="3"/>
      <c r="S238" s="3"/>
    </row>
    <row r="239" spans="7:19" x14ac:dyDescent="0.25">
      <c r="G239" s="3"/>
      <c r="H239" s="3"/>
      <c r="I239" s="3"/>
      <c r="J239" s="105"/>
      <c r="K239" s="3"/>
      <c r="L239" s="3"/>
      <c r="M239" s="3"/>
      <c r="N239" s="3"/>
      <c r="O239" s="3"/>
      <c r="P239" s="3"/>
      <c r="Q239" s="3"/>
      <c r="R239" s="3"/>
      <c r="S239" s="3"/>
    </row>
    <row r="240" spans="7:19" x14ac:dyDescent="0.25">
      <c r="G240" s="3"/>
      <c r="H240" s="3"/>
      <c r="I240" s="3"/>
      <c r="J240" s="105"/>
      <c r="K240" s="3"/>
      <c r="L240" s="3"/>
      <c r="M240" s="3"/>
      <c r="N240" s="3"/>
      <c r="O240" s="3"/>
      <c r="P240" s="3"/>
      <c r="Q240" s="3"/>
      <c r="R240" s="3"/>
      <c r="S240" s="3"/>
    </row>
    <row r="241" spans="7:19" x14ac:dyDescent="0.25">
      <c r="G241" s="3"/>
      <c r="H241" s="3"/>
      <c r="I241" s="3"/>
      <c r="J241" s="105"/>
      <c r="K241" s="3"/>
      <c r="L241" s="3"/>
      <c r="M241" s="3"/>
      <c r="N241" s="3"/>
      <c r="O241" s="3"/>
      <c r="P241" s="3"/>
      <c r="Q241" s="3"/>
      <c r="R241" s="3"/>
      <c r="S241" s="3"/>
    </row>
    <row r="242" spans="7:19" x14ac:dyDescent="0.25">
      <c r="G242" s="3"/>
      <c r="H242" s="3"/>
      <c r="I242" s="3"/>
      <c r="J242" s="105"/>
      <c r="K242" s="3"/>
      <c r="L242" s="3"/>
      <c r="M242" s="3"/>
      <c r="N242" s="3"/>
      <c r="O242" s="3"/>
      <c r="P242" s="3"/>
      <c r="Q242" s="3"/>
      <c r="R242" s="3"/>
      <c r="S242" s="3"/>
    </row>
    <row r="243" spans="7:19" x14ac:dyDescent="0.25">
      <c r="G243" s="3"/>
      <c r="H243" s="3"/>
      <c r="I243" s="3"/>
      <c r="J243" s="105"/>
      <c r="K243" s="3"/>
      <c r="L243" s="3"/>
      <c r="M243" s="3"/>
      <c r="N243" s="3"/>
      <c r="O243" s="3"/>
      <c r="P243" s="3"/>
      <c r="Q243" s="3"/>
      <c r="R243" s="3"/>
      <c r="S243" s="3"/>
    </row>
    <row r="244" spans="7:19" x14ac:dyDescent="0.25">
      <c r="G244" s="3"/>
      <c r="H244" s="3"/>
      <c r="I244" s="3"/>
      <c r="J244" s="105"/>
      <c r="K244" s="3"/>
      <c r="L244" s="3"/>
      <c r="M244" s="3"/>
      <c r="N244" s="3"/>
      <c r="O244" s="3"/>
      <c r="P244" s="3"/>
      <c r="Q244" s="3"/>
      <c r="R244" s="3"/>
      <c r="S244" s="3"/>
    </row>
    <row r="245" spans="7:19" x14ac:dyDescent="0.25">
      <c r="G245" s="3"/>
      <c r="H245" s="3"/>
      <c r="I245" s="3"/>
      <c r="J245" s="105"/>
      <c r="K245" s="3"/>
      <c r="L245" s="3"/>
      <c r="M245" s="3"/>
      <c r="N245" s="3"/>
      <c r="O245" s="3"/>
      <c r="P245" s="3"/>
      <c r="Q245" s="3"/>
      <c r="R245" s="3"/>
      <c r="S245" s="3"/>
    </row>
    <row r="246" spans="7:19" x14ac:dyDescent="0.25">
      <c r="G246" s="3"/>
      <c r="H246" s="3"/>
      <c r="I246" s="3"/>
      <c r="J246" s="105"/>
      <c r="K246" s="3"/>
      <c r="L246" s="3"/>
      <c r="M246" s="3"/>
      <c r="N246" s="3"/>
      <c r="O246" s="3"/>
      <c r="P246" s="3"/>
      <c r="Q246" s="3"/>
      <c r="R246" s="3"/>
      <c r="S246" s="3"/>
    </row>
    <row r="247" spans="7:19" x14ac:dyDescent="0.25">
      <c r="G247" s="3"/>
      <c r="H247" s="3"/>
      <c r="I247" s="3"/>
      <c r="J247" s="105"/>
      <c r="K247" s="3"/>
      <c r="L247" s="3"/>
      <c r="M247" s="3"/>
      <c r="N247" s="3"/>
      <c r="O247" s="3"/>
      <c r="P247" s="3"/>
      <c r="Q247" s="3"/>
      <c r="R247" s="3"/>
      <c r="S247" s="3"/>
    </row>
    <row r="248" spans="7:19" x14ac:dyDescent="0.25">
      <c r="G248" s="3"/>
      <c r="H248" s="3"/>
      <c r="I248" s="3"/>
      <c r="J248" s="105"/>
      <c r="K248" s="3"/>
      <c r="L248" s="3"/>
      <c r="M248" s="3"/>
      <c r="N248" s="3"/>
      <c r="O248" s="3"/>
      <c r="P248" s="3"/>
      <c r="Q248" s="3"/>
      <c r="R248" s="3"/>
      <c r="S248" s="3"/>
    </row>
    <row r="249" spans="7:19" x14ac:dyDescent="0.25">
      <c r="G249" s="3"/>
      <c r="H249" s="3"/>
      <c r="I249" s="3"/>
      <c r="J249" s="105"/>
      <c r="K249" s="3"/>
      <c r="L249" s="3"/>
      <c r="M249" s="3"/>
      <c r="N249" s="3"/>
      <c r="O249" s="3"/>
      <c r="P249" s="3"/>
      <c r="Q249" s="3"/>
      <c r="R249" s="3"/>
      <c r="S249" s="3"/>
    </row>
    <row r="250" spans="7:19" x14ac:dyDescent="0.25">
      <c r="G250" s="3"/>
      <c r="H250" s="3"/>
      <c r="I250" s="3"/>
      <c r="J250" s="105"/>
      <c r="K250" s="3"/>
      <c r="L250" s="3"/>
      <c r="M250" s="3"/>
      <c r="N250" s="3"/>
      <c r="O250" s="3"/>
      <c r="P250" s="3"/>
      <c r="Q250" s="3"/>
      <c r="R250" s="3"/>
      <c r="S250" s="3"/>
    </row>
    <row r="251" spans="7:19" x14ac:dyDescent="0.25">
      <c r="G251" s="3"/>
      <c r="H251" s="3"/>
      <c r="I251" s="3"/>
      <c r="J251" s="105"/>
      <c r="K251" s="3"/>
      <c r="L251" s="3"/>
      <c r="M251" s="3"/>
      <c r="N251" s="3"/>
      <c r="O251" s="3"/>
      <c r="P251" s="3"/>
      <c r="Q251" s="3"/>
      <c r="R251" s="3"/>
      <c r="S251" s="3"/>
    </row>
    <row r="252" spans="7:19" x14ac:dyDescent="0.25">
      <c r="G252" s="3"/>
      <c r="H252" s="3"/>
      <c r="I252" s="3"/>
      <c r="J252" s="105"/>
      <c r="K252" s="3"/>
      <c r="L252" s="3"/>
      <c r="M252" s="3"/>
      <c r="N252" s="3"/>
      <c r="O252" s="3"/>
      <c r="P252" s="3"/>
      <c r="Q252" s="3"/>
      <c r="R252" s="3"/>
      <c r="S252" s="3"/>
    </row>
    <row r="253" spans="7:19" x14ac:dyDescent="0.25">
      <c r="G253" s="3"/>
      <c r="H253" s="3"/>
      <c r="I253" s="3"/>
      <c r="J253" s="105"/>
      <c r="K253" s="3"/>
      <c r="L253" s="3"/>
      <c r="M253" s="3"/>
      <c r="N253" s="3"/>
      <c r="O253" s="3"/>
      <c r="P253" s="3"/>
      <c r="Q253" s="3"/>
      <c r="R253" s="3"/>
      <c r="S253" s="3"/>
    </row>
    <row r="254" spans="7:19" x14ac:dyDescent="0.25">
      <c r="G254" s="3"/>
      <c r="H254" s="3"/>
      <c r="I254" s="3"/>
      <c r="J254" s="105"/>
      <c r="K254" s="3"/>
      <c r="L254" s="3"/>
      <c r="M254" s="3"/>
      <c r="N254" s="3"/>
      <c r="O254" s="3"/>
      <c r="P254" s="3"/>
      <c r="Q254" s="3"/>
      <c r="R254" s="3"/>
      <c r="S254" s="3"/>
    </row>
    <row r="255" spans="7:19" x14ac:dyDescent="0.25">
      <c r="G255" s="3"/>
      <c r="H255" s="3"/>
      <c r="I255" s="3"/>
      <c r="J255" s="105"/>
      <c r="K255" s="3"/>
      <c r="L255" s="3"/>
      <c r="M255" s="3"/>
      <c r="N255" s="3"/>
      <c r="O255" s="3"/>
      <c r="P255" s="3"/>
      <c r="Q255" s="3"/>
      <c r="R255" s="3"/>
      <c r="S255" s="3"/>
    </row>
    <row r="256" spans="7:19" x14ac:dyDescent="0.25">
      <c r="G256" s="3"/>
      <c r="H256" s="3"/>
      <c r="I256" s="3"/>
      <c r="J256" s="105"/>
      <c r="K256" s="3"/>
      <c r="L256" s="3"/>
      <c r="M256" s="3"/>
      <c r="N256" s="3"/>
      <c r="O256" s="3"/>
      <c r="P256" s="3"/>
      <c r="Q256" s="3"/>
      <c r="R256" s="3"/>
      <c r="S256" s="3"/>
    </row>
    <row r="257" spans="7:19" x14ac:dyDescent="0.25">
      <c r="G257" s="3"/>
      <c r="H257" s="3"/>
      <c r="I257" s="3"/>
      <c r="J257" s="105"/>
      <c r="K257" s="3"/>
      <c r="L257" s="3"/>
      <c r="M257" s="3"/>
      <c r="N257" s="3"/>
      <c r="O257" s="3"/>
      <c r="P257" s="3"/>
      <c r="Q257" s="3"/>
      <c r="R257" s="3"/>
      <c r="S257" s="3"/>
    </row>
    <row r="258" spans="7:19" x14ac:dyDescent="0.25">
      <c r="G258" s="3"/>
      <c r="H258" s="3"/>
      <c r="I258" s="3"/>
      <c r="J258" s="105"/>
      <c r="K258" s="3"/>
      <c r="L258" s="3"/>
      <c r="M258" s="3"/>
      <c r="N258" s="3"/>
      <c r="O258" s="3"/>
      <c r="P258" s="3"/>
      <c r="Q258" s="3"/>
      <c r="R258" s="3"/>
      <c r="S258" s="3"/>
    </row>
    <row r="259" spans="7:19" x14ac:dyDescent="0.25">
      <c r="G259" s="3"/>
      <c r="H259" s="3"/>
      <c r="I259" s="3"/>
      <c r="J259" s="105"/>
      <c r="K259" s="3"/>
      <c r="L259" s="3"/>
      <c r="M259" s="3"/>
      <c r="N259" s="3"/>
      <c r="O259" s="3"/>
      <c r="P259" s="3"/>
      <c r="Q259" s="3"/>
      <c r="R259" s="3"/>
      <c r="S259" s="3"/>
    </row>
    <row r="260" spans="7:19" x14ac:dyDescent="0.25">
      <c r="G260" s="3"/>
      <c r="H260" s="3"/>
      <c r="I260" s="3"/>
      <c r="J260" s="105"/>
      <c r="K260" s="3"/>
      <c r="L260" s="3"/>
      <c r="M260" s="3"/>
      <c r="N260" s="3"/>
      <c r="O260" s="3"/>
      <c r="P260" s="3"/>
      <c r="Q260" s="3"/>
      <c r="R260" s="3"/>
      <c r="S260" s="3"/>
    </row>
    <row r="261" spans="7:19" x14ac:dyDescent="0.25">
      <c r="G261" s="3"/>
      <c r="H261" s="3"/>
      <c r="I261" s="3"/>
      <c r="J261" s="105"/>
      <c r="K261" s="3"/>
      <c r="L261" s="3"/>
      <c r="M261" s="3"/>
      <c r="N261" s="3"/>
      <c r="O261" s="3"/>
      <c r="P261" s="3"/>
      <c r="Q261" s="3"/>
      <c r="R261" s="3"/>
      <c r="S261" s="3"/>
    </row>
    <row r="262" spans="7:19" x14ac:dyDescent="0.25">
      <c r="G262" s="3"/>
      <c r="H262" s="3"/>
      <c r="I262" s="3"/>
      <c r="J262" s="105"/>
      <c r="K262" s="3"/>
      <c r="L262" s="3"/>
      <c r="M262" s="3"/>
      <c r="N262" s="3"/>
      <c r="O262" s="3"/>
      <c r="P262" s="3"/>
      <c r="Q262" s="3"/>
      <c r="R262" s="3"/>
      <c r="S262" s="3"/>
    </row>
    <row r="263" spans="7:19" x14ac:dyDescent="0.25">
      <c r="G263" s="3"/>
      <c r="H263" s="3"/>
      <c r="I263" s="3"/>
      <c r="J263" s="105"/>
      <c r="K263" s="3"/>
      <c r="L263" s="3"/>
      <c r="M263" s="3"/>
      <c r="N263" s="3"/>
      <c r="O263" s="3"/>
      <c r="P263" s="3"/>
      <c r="Q263" s="3"/>
      <c r="R263" s="3"/>
      <c r="S263" s="3"/>
    </row>
    <row r="264" spans="7:19" x14ac:dyDescent="0.25">
      <c r="G264" s="3"/>
      <c r="H264" s="3"/>
      <c r="I264" s="3"/>
      <c r="J264" s="105"/>
      <c r="K264" s="3"/>
      <c r="L264" s="3"/>
      <c r="M264" s="3"/>
      <c r="N264" s="3"/>
      <c r="O264" s="3"/>
      <c r="P264" s="3"/>
      <c r="Q264" s="3"/>
      <c r="R264" s="3"/>
      <c r="S264" s="3"/>
    </row>
    <row r="265" spans="7:19" x14ac:dyDescent="0.25">
      <c r="G265" s="3"/>
      <c r="H265" s="3"/>
      <c r="I265" s="3"/>
      <c r="J265" s="105"/>
      <c r="K265" s="3"/>
      <c r="L265" s="3"/>
      <c r="M265" s="3"/>
      <c r="N265" s="3"/>
      <c r="O265" s="3"/>
      <c r="P265" s="3"/>
      <c r="Q265" s="3"/>
      <c r="R265" s="3"/>
      <c r="S265" s="3"/>
    </row>
    <row r="266" spans="7:19" x14ac:dyDescent="0.25">
      <c r="G266" s="3"/>
      <c r="H266" s="3"/>
      <c r="I266" s="3"/>
      <c r="J266" s="105"/>
      <c r="K266" s="3"/>
      <c r="L266" s="3"/>
      <c r="M266" s="3"/>
      <c r="N266" s="3"/>
      <c r="O266" s="3"/>
      <c r="P266" s="3"/>
      <c r="Q266" s="3"/>
      <c r="R266" s="3"/>
      <c r="S266" s="3"/>
    </row>
    <row r="267" spans="7:19" x14ac:dyDescent="0.25">
      <c r="G267" s="3"/>
      <c r="H267" s="3"/>
      <c r="I267" s="3"/>
      <c r="J267" s="105"/>
      <c r="K267" s="3"/>
      <c r="L267" s="3"/>
      <c r="M267" s="3"/>
      <c r="N267" s="3"/>
      <c r="O267" s="3"/>
      <c r="P267" s="3"/>
      <c r="Q267" s="3"/>
      <c r="R267" s="3"/>
      <c r="S267" s="3"/>
    </row>
    <row r="268" spans="7:19" x14ac:dyDescent="0.25">
      <c r="G268" s="3"/>
      <c r="H268" s="3"/>
      <c r="I268" s="3"/>
      <c r="J268" s="105"/>
      <c r="K268" s="3"/>
      <c r="L268" s="3"/>
      <c r="M268" s="3"/>
      <c r="N268" s="3"/>
      <c r="O268" s="3"/>
      <c r="P268" s="3"/>
      <c r="Q268" s="3"/>
      <c r="R268" s="3"/>
      <c r="S268" s="3"/>
    </row>
    <row r="269" spans="7:19" x14ac:dyDescent="0.25">
      <c r="G269" s="3"/>
      <c r="H269" s="3"/>
      <c r="I269" s="3"/>
      <c r="J269" s="105"/>
      <c r="K269" s="3"/>
      <c r="L269" s="3"/>
      <c r="M269" s="3"/>
      <c r="N269" s="3"/>
      <c r="O269" s="3"/>
      <c r="P269" s="3"/>
      <c r="Q269" s="3"/>
      <c r="R269" s="3"/>
      <c r="S269" s="3"/>
    </row>
    <row r="270" spans="7:19" x14ac:dyDescent="0.25">
      <c r="G270" s="3"/>
      <c r="H270" s="3"/>
      <c r="I270" s="3"/>
      <c r="J270" s="105"/>
      <c r="K270" s="3"/>
      <c r="L270" s="3"/>
      <c r="M270" s="3"/>
      <c r="N270" s="3"/>
      <c r="O270" s="3"/>
      <c r="P270" s="3"/>
      <c r="Q270" s="3"/>
      <c r="R270" s="3"/>
      <c r="S270" s="3"/>
    </row>
    <row r="271" spans="7:19" x14ac:dyDescent="0.25">
      <c r="G271" s="3"/>
      <c r="H271" s="3"/>
      <c r="I271" s="3"/>
      <c r="J271" s="105"/>
      <c r="K271" s="3"/>
      <c r="L271" s="3"/>
      <c r="M271" s="3"/>
      <c r="N271" s="3"/>
      <c r="O271" s="3"/>
      <c r="P271" s="3"/>
      <c r="Q271" s="3"/>
      <c r="R271" s="3"/>
      <c r="S271" s="3"/>
    </row>
    <row r="272" spans="7:19" x14ac:dyDescent="0.25">
      <c r="G272" s="3"/>
      <c r="H272" s="3"/>
      <c r="I272" s="3"/>
      <c r="J272" s="105"/>
      <c r="K272" s="3"/>
      <c r="L272" s="3"/>
      <c r="M272" s="3"/>
      <c r="N272" s="3"/>
      <c r="O272" s="3"/>
      <c r="P272" s="3"/>
      <c r="Q272" s="3"/>
      <c r="R272" s="3"/>
      <c r="S272" s="3"/>
    </row>
    <row r="273" spans="7:19" x14ac:dyDescent="0.25">
      <c r="G273" s="3"/>
      <c r="H273" s="3"/>
      <c r="I273" s="3"/>
      <c r="J273" s="105"/>
      <c r="K273" s="3"/>
      <c r="L273" s="3"/>
      <c r="M273" s="3"/>
      <c r="N273" s="3"/>
      <c r="O273" s="3"/>
      <c r="P273" s="3"/>
      <c r="Q273" s="3"/>
      <c r="R273" s="3"/>
      <c r="S273" s="3"/>
    </row>
    <row r="274" spans="7:19" x14ac:dyDescent="0.25">
      <c r="G274" s="3"/>
      <c r="H274" s="3"/>
      <c r="I274" s="3"/>
      <c r="J274" s="105"/>
      <c r="K274" s="3"/>
      <c r="L274" s="3"/>
      <c r="M274" s="3"/>
      <c r="N274" s="3"/>
      <c r="O274" s="3"/>
      <c r="P274" s="3"/>
      <c r="Q274" s="3"/>
      <c r="R274" s="3"/>
      <c r="S274" s="3"/>
    </row>
    <row r="275" spans="7:19" x14ac:dyDescent="0.25">
      <c r="G275" s="3"/>
      <c r="H275" s="3"/>
      <c r="I275" s="3"/>
      <c r="J275" s="105"/>
      <c r="K275" s="3"/>
      <c r="L275" s="3"/>
      <c r="M275" s="3"/>
      <c r="N275" s="3"/>
      <c r="O275" s="3"/>
      <c r="P275" s="3"/>
      <c r="Q275" s="3"/>
      <c r="R275" s="3"/>
      <c r="S275" s="3"/>
    </row>
    <row r="276" spans="7:19" x14ac:dyDescent="0.25">
      <c r="G276" s="3"/>
      <c r="H276" s="3"/>
      <c r="I276" s="3"/>
      <c r="J276" s="105"/>
      <c r="K276" s="3"/>
      <c r="L276" s="3"/>
      <c r="M276" s="3"/>
      <c r="N276" s="3"/>
      <c r="O276" s="3"/>
      <c r="P276" s="3"/>
      <c r="Q276" s="3"/>
      <c r="R276" s="3"/>
      <c r="S276" s="3"/>
    </row>
    <row r="277" spans="7:19" x14ac:dyDescent="0.25">
      <c r="G277" s="3"/>
      <c r="H277" s="3"/>
      <c r="I277" s="3"/>
      <c r="J277" s="105"/>
      <c r="K277" s="3"/>
      <c r="L277" s="3"/>
      <c r="M277" s="3"/>
      <c r="N277" s="3"/>
      <c r="O277" s="3"/>
      <c r="P277" s="3"/>
      <c r="Q277" s="3"/>
      <c r="R277" s="3"/>
      <c r="S277" s="3"/>
    </row>
    <row r="278" spans="7:19" x14ac:dyDescent="0.25">
      <c r="G278" s="3"/>
      <c r="H278" s="3"/>
      <c r="I278" s="3"/>
      <c r="J278" s="105"/>
      <c r="K278" s="3"/>
      <c r="L278" s="3"/>
      <c r="M278" s="3"/>
      <c r="N278" s="3"/>
      <c r="O278" s="3"/>
      <c r="P278" s="3"/>
      <c r="Q278" s="3"/>
      <c r="R278" s="3"/>
      <c r="S278" s="3"/>
    </row>
    <row r="279" spans="7:19" x14ac:dyDescent="0.25">
      <c r="G279" s="3"/>
      <c r="H279" s="3"/>
      <c r="I279" s="3"/>
      <c r="J279" s="105"/>
      <c r="K279" s="3"/>
      <c r="L279" s="3"/>
      <c r="M279" s="3"/>
      <c r="N279" s="3"/>
      <c r="O279" s="3"/>
      <c r="P279" s="3"/>
      <c r="Q279" s="3"/>
      <c r="R279" s="3"/>
      <c r="S279" s="3"/>
    </row>
    <row r="280" spans="7:19" x14ac:dyDescent="0.25">
      <c r="G280" s="3"/>
      <c r="H280" s="3"/>
      <c r="I280" s="3"/>
      <c r="J280" s="105"/>
      <c r="K280" s="3"/>
      <c r="L280" s="3"/>
      <c r="M280" s="3"/>
      <c r="N280" s="3"/>
      <c r="O280" s="3"/>
      <c r="P280" s="3"/>
      <c r="Q280" s="3"/>
      <c r="R280" s="3"/>
      <c r="S280" s="3"/>
    </row>
    <row r="281" spans="7:19" x14ac:dyDescent="0.25">
      <c r="G281" s="3"/>
      <c r="H281" s="3"/>
      <c r="I281" s="3"/>
      <c r="J281" s="105"/>
      <c r="K281" s="3"/>
      <c r="L281" s="3"/>
      <c r="M281" s="3"/>
      <c r="N281" s="3"/>
      <c r="O281" s="3"/>
      <c r="P281" s="3"/>
      <c r="Q281" s="3"/>
      <c r="R281" s="3"/>
      <c r="S281" s="3"/>
    </row>
    <row r="282" spans="7:19" x14ac:dyDescent="0.25">
      <c r="G282" s="3"/>
      <c r="H282" s="3"/>
      <c r="I282" s="3"/>
      <c r="J282" s="105"/>
      <c r="K282" s="3"/>
      <c r="L282" s="3"/>
      <c r="M282" s="3"/>
      <c r="N282" s="3"/>
      <c r="O282" s="3"/>
      <c r="P282" s="3"/>
      <c r="Q282" s="3"/>
      <c r="R282" s="3"/>
      <c r="S282" s="3"/>
    </row>
    <row r="283" spans="7:19" x14ac:dyDescent="0.25">
      <c r="G283" s="3"/>
      <c r="H283" s="3"/>
      <c r="I283" s="3"/>
      <c r="J283" s="105"/>
      <c r="K283" s="3"/>
      <c r="L283" s="3"/>
      <c r="M283" s="3"/>
      <c r="N283" s="3"/>
      <c r="O283" s="3"/>
      <c r="P283" s="3"/>
      <c r="Q283" s="3"/>
      <c r="R283" s="3"/>
      <c r="S283" s="3"/>
    </row>
    <row r="284" spans="7:19" x14ac:dyDescent="0.25">
      <c r="G284" s="3"/>
      <c r="H284" s="3"/>
      <c r="I284" s="3"/>
      <c r="J284" s="105"/>
      <c r="K284" s="3"/>
      <c r="L284" s="3"/>
      <c r="M284" s="3"/>
      <c r="N284" s="3"/>
      <c r="O284" s="3"/>
      <c r="P284" s="3"/>
      <c r="Q284" s="3"/>
      <c r="R284" s="3"/>
      <c r="S284" s="3"/>
    </row>
    <row r="285" spans="7:19" x14ac:dyDescent="0.25">
      <c r="G285" s="3"/>
      <c r="H285" s="3"/>
      <c r="I285" s="3"/>
      <c r="J285" s="105"/>
      <c r="K285" s="3"/>
      <c r="L285" s="3"/>
      <c r="M285" s="3"/>
      <c r="N285" s="3"/>
      <c r="O285" s="3"/>
      <c r="P285" s="3"/>
      <c r="Q285" s="3"/>
      <c r="R285" s="3"/>
      <c r="S285" s="3"/>
    </row>
    <row r="286" spans="7:19" x14ac:dyDescent="0.25">
      <c r="G286" s="3"/>
      <c r="H286" s="3"/>
      <c r="I286" s="3"/>
      <c r="J286" s="105"/>
      <c r="K286" s="3"/>
      <c r="L286" s="3"/>
      <c r="M286" s="3"/>
      <c r="N286" s="3"/>
      <c r="O286" s="3"/>
      <c r="P286" s="3"/>
      <c r="Q286" s="3"/>
      <c r="R286" s="3"/>
      <c r="S286" s="3"/>
    </row>
    <row r="287" spans="7:19" x14ac:dyDescent="0.25">
      <c r="G287" s="3"/>
      <c r="H287" s="3"/>
      <c r="I287" s="3"/>
      <c r="J287" s="105"/>
      <c r="K287" s="3"/>
      <c r="L287" s="3"/>
      <c r="M287" s="3"/>
      <c r="N287" s="3"/>
      <c r="O287" s="3"/>
      <c r="P287" s="3"/>
      <c r="Q287" s="3"/>
      <c r="R287" s="3"/>
      <c r="S287" s="3"/>
    </row>
    <row r="288" spans="7:19" x14ac:dyDescent="0.25">
      <c r="G288" s="3"/>
      <c r="H288" s="3"/>
      <c r="I288" s="3"/>
      <c r="J288" s="105"/>
      <c r="K288" s="3"/>
      <c r="L288" s="3"/>
      <c r="M288" s="3"/>
      <c r="N288" s="3"/>
      <c r="O288" s="3"/>
      <c r="P288" s="3"/>
      <c r="Q288" s="3"/>
      <c r="R288" s="3"/>
      <c r="S288" s="3"/>
    </row>
    <row r="289" spans="7:19" x14ac:dyDescent="0.25">
      <c r="G289" s="3"/>
      <c r="H289" s="3"/>
      <c r="I289" s="3"/>
      <c r="J289" s="105"/>
      <c r="K289" s="3"/>
      <c r="L289" s="3"/>
      <c r="M289" s="3"/>
      <c r="N289" s="3"/>
      <c r="O289" s="3"/>
      <c r="P289" s="3"/>
      <c r="Q289" s="3"/>
      <c r="R289" s="3"/>
      <c r="S289" s="3"/>
    </row>
    <row r="290" spans="7:19" x14ac:dyDescent="0.25">
      <c r="G290" s="3"/>
      <c r="H290" s="3"/>
      <c r="I290" s="3"/>
      <c r="J290" s="105"/>
      <c r="K290" s="3"/>
      <c r="L290" s="3"/>
      <c r="M290" s="3"/>
      <c r="N290" s="3"/>
      <c r="O290" s="3"/>
      <c r="P290" s="3"/>
      <c r="Q290" s="3"/>
      <c r="R290" s="3"/>
      <c r="S290" s="3"/>
    </row>
    <row r="291" spans="7:19" x14ac:dyDescent="0.25">
      <c r="G291" s="3"/>
      <c r="H291" s="3"/>
      <c r="I291" s="3"/>
      <c r="J291" s="105"/>
      <c r="K291" s="3"/>
      <c r="L291" s="3"/>
      <c r="M291" s="3"/>
      <c r="N291" s="3"/>
      <c r="O291" s="3"/>
      <c r="P291" s="3"/>
      <c r="Q291" s="3"/>
      <c r="R291" s="3"/>
      <c r="S291" s="3"/>
    </row>
    <row r="292" spans="7:19" x14ac:dyDescent="0.25">
      <c r="G292" s="3"/>
      <c r="H292" s="3"/>
      <c r="I292" s="3"/>
      <c r="J292" s="105"/>
      <c r="K292" s="3"/>
      <c r="L292" s="3"/>
      <c r="M292" s="3"/>
      <c r="N292" s="3"/>
      <c r="O292" s="3"/>
      <c r="P292" s="3"/>
      <c r="Q292" s="3"/>
      <c r="R292" s="3"/>
      <c r="S292" s="3"/>
    </row>
    <row r="293" spans="7:19" x14ac:dyDescent="0.25">
      <c r="G293" s="3"/>
      <c r="H293" s="3"/>
      <c r="I293" s="3"/>
      <c r="J293" s="105"/>
      <c r="K293" s="3"/>
      <c r="L293" s="3"/>
      <c r="M293" s="3"/>
      <c r="N293" s="3"/>
      <c r="O293" s="3"/>
      <c r="P293" s="3"/>
      <c r="Q293" s="3"/>
      <c r="R293" s="3"/>
      <c r="S293" s="3"/>
    </row>
    <row r="294" spans="7:19" x14ac:dyDescent="0.25">
      <c r="G294" s="3"/>
      <c r="H294" s="3"/>
      <c r="I294" s="3"/>
      <c r="J294" s="105"/>
      <c r="K294" s="3"/>
      <c r="L294" s="3"/>
      <c r="M294" s="3"/>
      <c r="N294" s="3"/>
      <c r="O294" s="3"/>
      <c r="P294" s="3"/>
      <c r="Q294" s="3"/>
      <c r="R294" s="3"/>
      <c r="S294" s="3"/>
    </row>
    <row r="295" spans="7:19" x14ac:dyDescent="0.25">
      <c r="G295" s="3"/>
      <c r="H295" s="3"/>
      <c r="I295" s="3"/>
      <c r="J295" s="105"/>
      <c r="K295" s="3"/>
      <c r="L295" s="3"/>
      <c r="M295" s="3"/>
      <c r="N295" s="3"/>
      <c r="O295" s="3"/>
      <c r="P295" s="3"/>
      <c r="Q295" s="3"/>
      <c r="R295" s="3"/>
      <c r="S295" s="3"/>
    </row>
    <row r="296" spans="7:19" x14ac:dyDescent="0.25">
      <c r="G296" s="3"/>
      <c r="H296" s="3"/>
      <c r="I296" s="3"/>
      <c r="J296" s="105"/>
      <c r="K296" s="3"/>
      <c r="L296" s="3"/>
      <c r="M296" s="3"/>
      <c r="N296" s="3"/>
      <c r="O296" s="3"/>
      <c r="P296" s="3"/>
      <c r="Q296" s="3"/>
      <c r="R296" s="3"/>
      <c r="S296" s="3"/>
    </row>
    <row r="297" spans="7:19" x14ac:dyDescent="0.25">
      <c r="G297" s="3"/>
      <c r="H297" s="3"/>
      <c r="I297" s="3"/>
      <c r="J297" s="105"/>
      <c r="K297" s="3"/>
      <c r="L297" s="3"/>
      <c r="M297" s="3"/>
      <c r="N297" s="3"/>
      <c r="O297" s="3"/>
      <c r="P297" s="3"/>
      <c r="Q297" s="3"/>
      <c r="R297" s="3"/>
      <c r="S297" s="3"/>
    </row>
    <row r="298" spans="7:19" x14ac:dyDescent="0.25">
      <c r="G298" s="3"/>
      <c r="H298" s="3"/>
      <c r="I298" s="3"/>
      <c r="J298" s="105"/>
      <c r="K298" s="3"/>
      <c r="L298" s="3"/>
      <c r="M298" s="3"/>
      <c r="N298" s="3"/>
      <c r="O298" s="3"/>
      <c r="P298" s="3"/>
      <c r="Q298" s="3"/>
      <c r="R298" s="3"/>
      <c r="S298" s="3"/>
    </row>
    <row r="299" spans="7:19" x14ac:dyDescent="0.25">
      <c r="G299" s="3"/>
      <c r="H299" s="3"/>
      <c r="I299" s="3"/>
      <c r="J299" s="105"/>
      <c r="K299" s="3"/>
      <c r="L299" s="3"/>
      <c r="M299" s="3"/>
      <c r="N299" s="3"/>
      <c r="O299" s="3"/>
      <c r="P299" s="3"/>
      <c r="Q299" s="3"/>
      <c r="R299" s="3"/>
      <c r="S299" s="3"/>
    </row>
    <row r="300" spans="7:19" x14ac:dyDescent="0.25">
      <c r="G300" s="3"/>
      <c r="H300" s="3"/>
      <c r="I300" s="3"/>
      <c r="J300" s="105"/>
      <c r="K300" s="3"/>
      <c r="L300" s="3"/>
      <c r="M300" s="3"/>
      <c r="N300" s="3"/>
      <c r="O300" s="3"/>
      <c r="P300" s="3"/>
      <c r="Q300" s="3"/>
      <c r="R300" s="3"/>
      <c r="S300" s="3"/>
    </row>
    <row r="301" spans="7:19" x14ac:dyDescent="0.25">
      <c r="G301" s="3"/>
      <c r="H301" s="3"/>
      <c r="I301" s="3"/>
      <c r="J301" s="105"/>
      <c r="K301" s="3"/>
      <c r="L301" s="3"/>
      <c r="M301" s="3"/>
      <c r="N301" s="3"/>
      <c r="O301" s="3"/>
      <c r="P301" s="3"/>
      <c r="Q301" s="3"/>
      <c r="R301" s="3"/>
      <c r="S301" s="3"/>
    </row>
    <row r="302" spans="7:19" x14ac:dyDescent="0.25">
      <c r="G302" s="3"/>
      <c r="H302" s="3"/>
      <c r="I302" s="3"/>
      <c r="J302" s="105"/>
      <c r="K302" s="3"/>
      <c r="L302" s="3"/>
      <c r="M302" s="3"/>
      <c r="N302" s="3"/>
      <c r="O302" s="3"/>
      <c r="P302" s="3"/>
      <c r="Q302" s="3"/>
      <c r="R302" s="3"/>
      <c r="S302" s="3"/>
    </row>
    <row r="303" spans="7:19" x14ac:dyDescent="0.25">
      <c r="G303" s="3"/>
      <c r="H303" s="3"/>
      <c r="I303" s="3"/>
      <c r="J303" s="105"/>
      <c r="K303" s="3"/>
      <c r="L303" s="3"/>
      <c r="M303" s="3"/>
      <c r="N303" s="3"/>
      <c r="O303" s="3"/>
      <c r="P303" s="3"/>
      <c r="Q303" s="3"/>
      <c r="R303" s="3"/>
      <c r="S303" s="3"/>
    </row>
    <row r="304" spans="7:19" x14ac:dyDescent="0.25">
      <c r="G304" s="3"/>
      <c r="H304" s="3"/>
      <c r="I304" s="3"/>
      <c r="J304" s="105"/>
      <c r="K304" s="3"/>
      <c r="L304" s="3"/>
      <c r="M304" s="3"/>
      <c r="N304" s="3"/>
      <c r="O304" s="3"/>
      <c r="P304" s="3"/>
      <c r="Q304" s="3"/>
      <c r="R304" s="3"/>
      <c r="S304" s="3"/>
    </row>
    <row r="305" spans="7:19" x14ac:dyDescent="0.25">
      <c r="G305" s="3"/>
      <c r="H305" s="3"/>
      <c r="I305" s="3"/>
      <c r="J305" s="105"/>
      <c r="K305" s="3"/>
      <c r="L305" s="3"/>
      <c r="M305" s="3"/>
      <c r="N305" s="3"/>
      <c r="O305" s="3"/>
      <c r="P305" s="3"/>
      <c r="Q305" s="3"/>
      <c r="R305" s="3"/>
      <c r="S305" s="3"/>
    </row>
    <row r="306" spans="7:19" x14ac:dyDescent="0.25">
      <c r="G306" s="3"/>
      <c r="H306" s="3"/>
      <c r="I306" s="3"/>
      <c r="J306" s="105"/>
      <c r="K306" s="3"/>
      <c r="L306" s="3"/>
      <c r="M306" s="3"/>
      <c r="N306" s="3"/>
      <c r="O306" s="3"/>
      <c r="P306" s="3"/>
      <c r="Q306" s="3"/>
      <c r="R306" s="3"/>
      <c r="S306" s="3"/>
    </row>
    <row r="307" spans="7:19" x14ac:dyDescent="0.25">
      <c r="G307" s="3"/>
      <c r="H307" s="3"/>
      <c r="I307" s="3"/>
      <c r="J307" s="105"/>
      <c r="K307" s="3"/>
      <c r="L307" s="3"/>
      <c r="M307" s="3"/>
      <c r="N307" s="3"/>
      <c r="O307" s="3"/>
      <c r="P307" s="3"/>
      <c r="Q307" s="3"/>
      <c r="R307" s="3"/>
      <c r="S307" s="3"/>
    </row>
    <row r="308" spans="7:19" x14ac:dyDescent="0.25">
      <c r="G308" s="3"/>
      <c r="H308" s="3"/>
      <c r="I308" s="3"/>
      <c r="J308" s="105"/>
      <c r="K308" s="3"/>
      <c r="L308" s="3"/>
      <c r="M308" s="3"/>
      <c r="N308" s="3"/>
      <c r="O308" s="3"/>
      <c r="P308" s="3"/>
      <c r="Q308" s="3"/>
      <c r="R308" s="3"/>
      <c r="S308" s="3"/>
    </row>
    <row r="309" spans="7:19" x14ac:dyDescent="0.25">
      <c r="G309" s="3"/>
      <c r="H309" s="3"/>
      <c r="I309" s="3"/>
      <c r="J309" s="105"/>
      <c r="K309" s="3"/>
      <c r="L309" s="3"/>
      <c r="M309" s="3"/>
      <c r="N309" s="3"/>
      <c r="O309" s="3"/>
      <c r="P309" s="3"/>
      <c r="Q309" s="3"/>
      <c r="R309" s="3"/>
      <c r="S309" s="3"/>
    </row>
    <row r="310" spans="7:19" x14ac:dyDescent="0.25">
      <c r="G310" s="3"/>
      <c r="H310" s="3"/>
      <c r="I310" s="3"/>
      <c r="J310" s="105"/>
      <c r="K310" s="3"/>
      <c r="L310" s="3"/>
      <c r="M310" s="3"/>
      <c r="N310" s="3"/>
      <c r="O310" s="3"/>
      <c r="P310" s="3"/>
      <c r="Q310" s="3"/>
      <c r="R310" s="3"/>
      <c r="S310" s="3"/>
    </row>
    <row r="311" spans="7:19" x14ac:dyDescent="0.25">
      <c r="G311" s="3"/>
      <c r="H311" s="3"/>
      <c r="I311" s="3"/>
      <c r="J311" s="105"/>
      <c r="K311" s="3"/>
      <c r="L311" s="3"/>
      <c r="M311" s="3"/>
      <c r="N311" s="3"/>
      <c r="O311" s="3"/>
      <c r="P311" s="3"/>
      <c r="Q311" s="3"/>
      <c r="R311" s="3"/>
      <c r="S311" s="3"/>
    </row>
    <row r="312" spans="7:19" x14ac:dyDescent="0.25">
      <c r="G312" s="3"/>
      <c r="H312" s="3"/>
      <c r="I312" s="3"/>
      <c r="J312" s="105"/>
      <c r="K312" s="3"/>
      <c r="L312" s="3"/>
      <c r="M312" s="3"/>
      <c r="N312" s="3"/>
      <c r="O312" s="3"/>
      <c r="P312" s="3"/>
      <c r="Q312" s="3"/>
      <c r="R312" s="3"/>
      <c r="S312" s="3"/>
    </row>
    <row r="313" spans="7:19" x14ac:dyDescent="0.25">
      <c r="G313" s="3"/>
      <c r="H313" s="3"/>
      <c r="I313" s="3"/>
      <c r="J313" s="105"/>
      <c r="K313" s="3"/>
      <c r="L313" s="3"/>
      <c r="M313" s="3"/>
      <c r="N313" s="3"/>
      <c r="O313" s="3"/>
      <c r="P313" s="3"/>
      <c r="Q313" s="3"/>
      <c r="R313" s="3"/>
      <c r="S313" s="3"/>
    </row>
    <row r="314" spans="7:19" x14ac:dyDescent="0.25">
      <c r="G314" s="3"/>
      <c r="H314" s="3"/>
      <c r="I314" s="3"/>
      <c r="J314" s="105"/>
      <c r="K314" s="3"/>
      <c r="L314" s="3"/>
      <c r="M314" s="3"/>
      <c r="N314" s="3"/>
      <c r="O314" s="3"/>
      <c r="P314" s="3"/>
      <c r="Q314" s="3"/>
      <c r="R314" s="3"/>
      <c r="S314" s="3"/>
    </row>
    <row r="315" spans="7:19" x14ac:dyDescent="0.25">
      <c r="G315" s="3"/>
      <c r="H315" s="3"/>
      <c r="I315" s="3"/>
      <c r="J315" s="105"/>
      <c r="K315" s="3"/>
      <c r="L315" s="3"/>
      <c r="M315" s="3"/>
      <c r="N315" s="3"/>
      <c r="O315" s="3"/>
      <c r="P315" s="3"/>
      <c r="Q315" s="3"/>
      <c r="R315" s="3"/>
      <c r="S315" s="3"/>
    </row>
    <row r="316" spans="7:19" x14ac:dyDescent="0.25">
      <c r="G316" s="3"/>
      <c r="H316" s="3"/>
      <c r="I316" s="3"/>
      <c r="J316" s="105"/>
      <c r="K316" s="3"/>
      <c r="L316" s="3"/>
      <c r="M316" s="3"/>
      <c r="N316" s="3"/>
      <c r="O316" s="3"/>
      <c r="P316" s="3"/>
      <c r="Q316" s="3"/>
      <c r="R316" s="3"/>
      <c r="S316" s="3"/>
    </row>
    <row r="317" spans="7:19" x14ac:dyDescent="0.25">
      <c r="G317" s="3"/>
      <c r="H317" s="3"/>
      <c r="I317" s="3"/>
      <c r="J317" s="105"/>
      <c r="K317" s="3"/>
      <c r="L317" s="3"/>
      <c r="M317" s="3"/>
      <c r="N317" s="3"/>
      <c r="O317" s="3"/>
      <c r="P317" s="3"/>
      <c r="Q317" s="3"/>
      <c r="R317" s="3"/>
      <c r="S317" s="3"/>
    </row>
    <row r="318" spans="7:19" x14ac:dyDescent="0.25">
      <c r="G318" s="3"/>
      <c r="H318" s="3"/>
      <c r="I318" s="3"/>
      <c r="J318" s="105"/>
      <c r="K318" s="3"/>
      <c r="L318" s="3"/>
      <c r="M318" s="3"/>
      <c r="N318" s="3"/>
      <c r="O318" s="3"/>
      <c r="P318" s="3"/>
      <c r="Q318" s="3"/>
      <c r="R318" s="3"/>
      <c r="S318" s="3"/>
    </row>
    <row r="319" spans="7:19" x14ac:dyDescent="0.25">
      <c r="G319" s="3"/>
      <c r="H319" s="3"/>
      <c r="I319" s="3"/>
      <c r="J319" s="105"/>
      <c r="K319" s="3"/>
      <c r="L319" s="3"/>
      <c r="M319" s="3"/>
      <c r="N319" s="3"/>
      <c r="O319" s="3"/>
      <c r="P319" s="3"/>
      <c r="Q319" s="3"/>
      <c r="R319" s="3"/>
      <c r="S319" s="3"/>
    </row>
    <row r="320" spans="7:19" x14ac:dyDescent="0.25">
      <c r="G320" s="3"/>
      <c r="H320" s="3"/>
      <c r="I320" s="3"/>
      <c r="J320" s="105"/>
      <c r="K320" s="3"/>
      <c r="L320" s="3"/>
      <c r="M320" s="3"/>
      <c r="N320" s="3"/>
      <c r="O320" s="3"/>
      <c r="P320" s="3"/>
      <c r="Q320" s="3"/>
      <c r="R320" s="3"/>
      <c r="S320" s="3"/>
    </row>
    <row r="321" spans="7:19" x14ac:dyDescent="0.25">
      <c r="G321" s="3"/>
      <c r="H321" s="3"/>
      <c r="I321" s="3"/>
      <c r="J321" s="105"/>
      <c r="K321" s="3"/>
      <c r="L321" s="3"/>
      <c r="M321" s="3"/>
      <c r="N321" s="3"/>
      <c r="O321" s="3"/>
      <c r="P321" s="3"/>
      <c r="Q321" s="3"/>
      <c r="R321" s="3"/>
      <c r="S321" s="3"/>
    </row>
    <row r="322" spans="7:19" x14ac:dyDescent="0.25">
      <c r="G322" s="3"/>
      <c r="H322" s="3"/>
      <c r="I322" s="3"/>
      <c r="J322" s="105"/>
      <c r="K322" s="3"/>
      <c r="L322" s="3"/>
      <c r="M322" s="3"/>
      <c r="N322" s="3"/>
      <c r="O322" s="3"/>
      <c r="P322" s="3"/>
      <c r="Q322" s="3"/>
      <c r="R322" s="3"/>
      <c r="S322" s="3"/>
    </row>
    <row r="323" spans="7:19" x14ac:dyDescent="0.25">
      <c r="G323" s="3"/>
      <c r="H323" s="3"/>
      <c r="I323" s="3"/>
      <c r="J323" s="105"/>
      <c r="K323" s="3"/>
      <c r="L323" s="3"/>
      <c r="M323" s="3"/>
      <c r="N323" s="3"/>
      <c r="O323" s="3"/>
      <c r="P323" s="3"/>
      <c r="Q323" s="3"/>
      <c r="R323" s="3"/>
      <c r="S323" s="3"/>
    </row>
    <row r="324" spans="7:19" x14ac:dyDescent="0.25">
      <c r="G324" s="3"/>
      <c r="H324" s="3"/>
      <c r="I324" s="3"/>
      <c r="J324" s="105"/>
      <c r="K324" s="3"/>
      <c r="L324" s="3"/>
      <c r="M324" s="3"/>
      <c r="N324" s="3"/>
      <c r="O324" s="3"/>
      <c r="P324" s="3"/>
      <c r="Q324" s="3"/>
      <c r="R324" s="3"/>
      <c r="S324" s="3"/>
    </row>
    <row r="325" spans="7:19" x14ac:dyDescent="0.25">
      <c r="G325" s="3"/>
      <c r="H325" s="3"/>
      <c r="I325" s="3"/>
      <c r="J325" s="105"/>
      <c r="K325" s="3"/>
      <c r="L325" s="3"/>
      <c r="M325" s="3"/>
      <c r="N325" s="3"/>
      <c r="O325" s="3"/>
      <c r="P325" s="3"/>
      <c r="Q325" s="3"/>
      <c r="R325" s="3"/>
      <c r="S325" s="3"/>
    </row>
    <row r="326" spans="7:19" x14ac:dyDescent="0.25">
      <c r="G326" s="3"/>
      <c r="H326" s="3"/>
      <c r="I326" s="3"/>
      <c r="J326" s="105"/>
      <c r="K326" s="3"/>
      <c r="L326" s="3"/>
      <c r="M326" s="3"/>
      <c r="N326" s="3"/>
      <c r="O326" s="3"/>
      <c r="P326" s="3"/>
      <c r="Q326" s="3"/>
      <c r="R326" s="3"/>
      <c r="S326" s="3"/>
    </row>
    <row r="327" spans="7:19" x14ac:dyDescent="0.25">
      <c r="G327" s="3"/>
      <c r="H327" s="3"/>
      <c r="I327" s="3"/>
      <c r="J327" s="105"/>
      <c r="K327" s="3"/>
      <c r="L327" s="3"/>
      <c r="M327" s="3"/>
      <c r="N327" s="3"/>
      <c r="O327" s="3"/>
      <c r="P327" s="3"/>
      <c r="Q327" s="3"/>
      <c r="R327" s="3"/>
      <c r="S327" s="3"/>
    </row>
    <row r="328" spans="7:19" x14ac:dyDescent="0.25">
      <c r="G328" s="3"/>
      <c r="H328" s="3"/>
      <c r="I328" s="3"/>
      <c r="J328" s="105"/>
      <c r="K328" s="3"/>
      <c r="L328" s="3"/>
      <c r="M328" s="3"/>
      <c r="N328" s="3"/>
      <c r="O328" s="3"/>
      <c r="P328" s="3"/>
      <c r="Q328" s="3"/>
      <c r="R328" s="3"/>
      <c r="S328" s="3"/>
    </row>
    <row r="329" spans="7:19" x14ac:dyDescent="0.25">
      <c r="G329" s="3"/>
      <c r="H329" s="3"/>
      <c r="I329" s="3"/>
      <c r="J329" s="105"/>
      <c r="K329" s="3"/>
      <c r="L329" s="3"/>
      <c r="M329" s="3"/>
      <c r="N329" s="3"/>
      <c r="O329" s="3"/>
      <c r="P329" s="3"/>
      <c r="Q329" s="3"/>
      <c r="R329" s="3"/>
      <c r="S329" s="3"/>
    </row>
    <row r="330" spans="7:19" x14ac:dyDescent="0.25">
      <c r="G330" s="3"/>
      <c r="H330" s="3"/>
      <c r="I330" s="3"/>
      <c r="J330" s="105"/>
      <c r="K330" s="3"/>
      <c r="L330" s="3"/>
      <c r="M330" s="3"/>
      <c r="N330" s="3"/>
      <c r="O330" s="3"/>
      <c r="P330" s="3"/>
      <c r="Q330" s="3"/>
      <c r="R330" s="3"/>
      <c r="S330" s="3"/>
    </row>
    <row r="331" spans="7:19" x14ac:dyDescent="0.25">
      <c r="G331" s="3"/>
      <c r="H331" s="3"/>
      <c r="I331" s="3"/>
      <c r="J331" s="105"/>
      <c r="K331" s="3"/>
      <c r="L331" s="3"/>
      <c r="M331" s="3"/>
      <c r="N331" s="3"/>
      <c r="O331" s="3"/>
      <c r="P331" s="3"/>
      <c r="Q331" s="3"/>
      <c r="R331" s="3"/>
      <c r="S331" s="3"/>
    </row>
    <row r="332" spans="7:19" x14ac:dyDescent="0.25">
      <c r="G332" s="3"/>
      <c r="H332" s="3"/>
      <c r="I332" s="3"/>
      <c r="J332" s="105"/>
      <c r="K332" s="3"/>
      <c r="L332" s="3"/>
      <c r="M332" s="3"/>
      <c r="N332" s="3"/>
      <c r="O332" s="3"/>
      <c r="P332" s="3"/>
      <c r="Q332" s="3"/>
      <c r="R332" s="3"/>
      <c r="S332" s="3"/>
    </row>
    <row r="333" spans="7:19" x14ac:dyDescent="0.25">
      <c r="G333" s="3"/>
      <c r="H333" s="3"/>
      <c r="I333" s="3"/>
      <c r="J333" s="105"/>
      <c r="K333" s="3"/>
      <c r="L333" s="3"/>
      <c r="M333" s="3"/>
      <c r="N333" s="3"/>
      <c r="O333" s="3"/>
      <c r="P333" s="3"/>
      <c r="Q333" s="3"/>
      <c r="R333" s="3"/>
      <c r="S333" s="3"/>
    </row>
    <row r="334" spans="7:19" x14ac:dyDescent="0.25">
      <c r="G334" s="3"/>
      <c r="H334" s="3"/>
      <c r="I334" s="3"/>
      <c r="J334" s="105"/>
      <c r="K334" s="3"/>
      <c r="L334" s="3"/>
      <c r="M334" s="3"/>
      <c r="N334" s="3"/>
      <c r="O334" s="3"/>
      <c r="P334" s="3"/>
      <c r="Q334" s="3"/>
      <c r="R334" s="3"/>
      <c r="S334" s="3"/>
    </row>
    <row r="335" spans="7:19" x14ac:dyDescent="0.25">
      <c r="G335" s="3"/>
      <c r="H335" s="3"/>
      <c r="I335" s="3"/>
      <c r="J335" s="105"/>
      <c r="K335" s="3"/>
      <c r="L335" s="3"/>
      <c r="M335" s="3"/>
      <c r="N335" s="3"/>
      <c r="O335" s="3"/>
      <c r="P335" s="3"/>
      <c r="Q335" s="3"/>
      <c r="R335" s="3"/>
      <c r="S335" s="3"/>
    </row>
    <row r="336" spans="7:19" x14ac:dyDescent="0.25">
      <c r="G336" s="3"/>
      <c r="H336" s="3"/>
      <c r="I336" s="3"/>
      <c r="J336" s="105"/>
      <c r="K336" s="3"/>
      <c r="L336" s="3"/>
      <c r="M336" s="3"/>
      <c r="N336" s="3"/>
      <c r="O336" s="3"/>
      <c r="P336" s="3"/>
      <c r="Q336" s="3"/>
      <c r="R336" s="3"/>
      <c r="S336" s="3"/>
    </row>
    <row r="337" spans="7:19" x14ac:dyDescent="0.25">
      <c r="G337" s="3"/>
      <c r="H337" s="3"/>
      <c r="I337" s="3"/>
      <c r="J337" s="105"/>
      <c r="K337" s="3"/>
      <c r="L337" s="3"/>
      <c r="M337" s="3"/>
      <c r="N337" s="3"/>
      <c r="O337" s="3"/>
      <c r="P337" s="3"/>
      <c r="Q337" s="3"/>
      <c r="R337" s="3"/>
      <c r="S337" s="3"/>
    </row>
    <row r="338" spans="7:19" x14ac:dyDescent="0.25">
      <c r="G338" s="3"/>
      <c r="H338" s="3"/>
      <c r="I338" s="3"/>
      <c r="J338" s="105"/>
      <c r="K338" s="3"/>
      <c r="L338" s="3"/>
      <c r="M338" s="3"/>
      <c r="N338" s="3"/>
      <c r="O338" s="3"/>
      <c r="P338" s="3"/>
      <c r="Q338" s="3"/>
      <c r="R338" s="3"/>
      <c r="S338" s="3"/>
    </row>
    <row r="339" spans="7:19" x14ac:dyDescent="0.25">
      <c r="G339" s="3"/>
      <c r="H339" s="3"/>
      <c r="I339" s="3"/>
      <c r="J339" s="105"/>
      <c r="K339" s="3"/>
      <c r="L339" s="3"/>
      <c r="M339" s="3"/>
      <c r="N339" s="3"/>
      <c r="O339" s="3"/>
      <c r="P339" s="3"/>
      <c r="Q339" s="3"/>
      <c r="R339" s="3"/>
      <c r="S339" s="3"/>
    </row>
    <row r="340" spans="7:19" x14ac:dyDescent="0.25">
      <c r="G340" s="3"/>
      <c r="H340" s="3"/>
      <c r="I340" s="3"/>
      <c r="J340" s="105"/>
      <c r="K340" s="3"/>
      <c r="L340" s="3"/>
      <c r="M340" s="3"/>
      <c r="N340" s="3"/>
      <c r="O340" s="3"/>
      <c r="P340" s="3"/>
      <c r="Q340" s="3"/>
      <c r="R340" s="3"/>
      <c r="S340" s="3"/>
    </row>
    <row r="341" spans="7:19" x14ac:dyDescent="0.25">
      <c r="G341" s="3"/>
      <c r="H341" s="3"/>
      <c r="I341" s="3"/>
      <c r="J341" s="105"/>
      <c r="K341" s="3"/>
      <c r="L341" s="3"/>
      <c r="M341" s="3"/>
      <c r="N341" s="3"/>
      <c r="O341" s="3"/>
      <c r="P341" s="3"/>
      <c r="Q341" s="3"/>
      <c r="R341" s="3"/>
      <c r="S341" s="3"/>
    </row>
    <row r="342" spans="7:19" x14ac:dyDescent="0.25">
      <c r="G342" s="3"/>
      <c r="H342" s="3"/>
      <c r="I342" s="3"/>
      <c r="J342" s="105"/>
      <c r="K342" s="3"/>
      <c r="L342" s="3"/>
      <c r="M342" s="3"/>
      <c r="N342" s="3"/>
      <c r="O342" s="3"/>
      <c r="P342" s="3"/>
      <c r="Q342" s="3"/>
      <c r="R342" s="3"/>
      <c r="S342" s="3"/>
    </row>
    <row r="343" spans="7:19" x14ac:dyDescent="0.25">
      <c r="G343" s="3"/>
      <c r="H343" s="3"/>
      <c r="I343" s="3"/>
      <c r="J343" s="105"/>
      <c r="K343" s="3"/>
      <c r="L343" s="3"/>
      <c r="M343" s="3"/>
      <c r="N343" s="3"/>
      <c r="O343" s="3"/>
      <c r="P343" s="3"/>
      <c r="Q343" s="3"/>
      <c r="R343" s="3"/>
      <c r="S343" s="3"/>
    </row>
    <row r="344" spans="7:19" x14ac:dyDescent="0.25">
      <c r="G344" s="3"/>
      <c r="H344" s="3"/>
      <c r="I344" s="3"/>
      <c r="J344" s="105"/>
      <c r="K344" s="3"/>
      <c r="L344" s="3"/>
      <c r="M344" s="3"/>
      <c r="N344" s="3"/>
      <c r="O344" s="3"/>
      <c r="P344" s="3"/>
      <c r="Q344" s="3"/>
      <c r="R344" s="3"/>
      <c r="S344" s="3"/>
    </row>
    <row r="345" spans="7:19" x14ac:dyDescent="0.25">
      <c r="G345" s="3"/>
      <c r="H345" s="3"/>
      <c r="I345" s="3"/>
      <c r="J345" s="105"/>
      <c r="K345" s="3"/>
      <c r="L345" s="3"/>
      <c r="M345" s="3"/>
      <c r="N345" s="3"/>
      <c r="O345" s="3"/>
      <c r="P345" s="3"/>
      <c r="Q345" s="3"/>
      <c r="R345" s="3"/>
      <c r="S345" s="3"/>
    </row>
    <row r="346" spans="7:19" x14ac:dyDescent="0.25">
      <c r="G346" s="3"/>
      <c r="H346" s="3"/>
      <c r="I346" s="3"/>
      <c r="J346" s="105"/>
      <c r="K346" s="3"/>
      <c r="L346" s="3"/>
      <c r="M346" s="3"/>
      <c r="N346" s="3"/>
      <c r="O346" s="3"/>
      <c r="P346" s="3"/>
      <c r="Q346" s="3"/>
      <c r="R346" s="3"/>
      <c r="S346" s="3"/>
    </row>
    <row r="347" spans="7:19" x14ac:dyDescent="0.25">
      <c r="G347" s="3"/>
      <c r="H347" s="3"/>
      <c r="I347" s="3"/>
      <c r="J347" s="105"/>
      <c r="K347" s="3"/>
      <c r="L347" s="3"/>
      <c r="M347" s="3"/>
      <c r="N347" s="3"/>
      <c r="O347" s="3"/>
      <c r="P347" s="3"/>
      <c r="Q347" s="3"/>
      <c r="R347" s="3"/>
      <c r="S347" s="3"/>
    </row>
    <row r="348" spans="7:19" x14ac:dyDescent="0.25">
      <c r="G348" s="3"/>
      <c r="H348" s="3"/>
      <c r="I348" s="3"/>
      <c r="J348" s="105"/>
      <c r="K348" s="3"/>
      <c r="L348" s="3"/>
      <c r="M348" s="3"/>
      <c r="N348" s="3"/>
      <c r="O348" s="3"/>
      <c r="P348" s="3"/>
      <c r="Q348" s="3"/>
      <c r="R348" s="3"/>
      <c r="S348" s="3"/>
    </row>
    <row r="349" spans="7:19" x14ac:dyDescent="0.25">
      <c r="G349" s="3"/>
      <c r="H349" s="3"/>
      <c r="I349" s="3"/>
      <c r="J349" s="105"/>
      <c r="K349" s="3"/>
      <c r="L349" s="3"/>
      <c r="M349" s="3"/>
      <c r="N349" s="3"/>
      <c r="O349" s="3"/>
      <c r="P349" s="3"/>
      <c r="Q349" s="3"/>
      <c r="R349" s="3"/>
      <c r="S349" s="3"/>
    </row>
    <row r="350" spans="7:19" x14ac:dyDescent="0.25">
      <c r="G350" s="3"/>
      <c r="H350" s="3"/>
      <c r="I350" s="3"/>
      <c r="J350" s="105"/>
      <c r="K350" s="3"/>
      <c r="L350" s="3"/>
      <c r="M350" s="3"/>
      <c r="N350" s="3"/>
      <c r="O350" s="3"/>
      <c r="P350" s="3"/>
      <c r="Q350" s="3"/>
      <c r="R350" s="3"/>
      <c r="S350" s="3"/>
    </row>
    <row r="351" spans="7:19" x14ac:dyDescent="0.25">
      <c r="G351" s="3"/>
      <c r="H351" s="3"/>
      <c r="I351" s="3"/>
      <c r="J351" s="105"/>
      <c r="K351" s="3"/>
      <c r="L351" s="3"/>
      <c r="M351" s="3"/>
      <c r="N351" s="3"/>
      <c r="O351" s="3"/>
      <c r="P351" s="3"/>
      <c r="Q351" s="3"/>
      <c r="R351" s="3"/>
      <c r="S351" s="3"/>
    </row>
    <row r="352" spans="7:19" x14ac:dyDescent="0.25">
      <c r="G352" s="3"/>
      <c r="H352" s="3"/>
      <c r="I352" s="3"/>
      <c r="J352" s="105"/>
      <c r="K352" s="3"/>
      <c r="L352" s="3"/>
      <c r="M352" s="3"/>
      <c r="N352" s="3"/>
      <c r="O352" s="3"/>
      <c r="P352" s="3"/>
      <c r="Q352" s="3"/>
      <c r="R352" s="3"/>
      <c r="S352" s="3"/>
    </row>
    <row r="353" spans="7:19" x14ac:dyDescent="0.25">
      <c r="G353" s="3"/>
      <c r="H353" s="3"/>
      <c r="I353" s="3"/>
      <c r="J353" s="105"/>
      <c r="K353" s="3"/>
      <c r="L353" s="3"/>
      <c r="M353" s="3"/>
      <c r="N353" s="3"/>
      <c r="O353" s="3"/>
      <c r="P353" s="3"/>
      <c r="Q353" s="3"/>
      <c r="R353" s="3"/>
      <c r="S353" s="3"/>
    </row>
    <row r="354" spans="7:19" x14ac:dyDescent="0.25">
      <c r="G354" s="3"/>
      <c r="H354" s="3"/>
      <c r="I354" s="3"/>
      <c r="J354" s="105"/>
      <c r="K354" s="3"/>
      <c r="L354" s="3"/>
      <c r="M354" s="3"/>
      <c r="N354" s="3"/>
      <c r="O354" s="3"/>
      <c r="P354" s="3"/>
      <c r="Q354" s="3"/>
      <c r="R354" s="3"/>
      <c r="S354" s="3"/>
    </row>
    <row r="355" spans="7:19" x14ac:dyDescent="0.25">
      <c r="G355" s="3"/>
      <c r="H355" s="3"/>
      <c r="I355" s="3"/>
      <c r="J355" s="105"/>
      <c r="K355" s="3"/>
      <c r="L355" s="3"/>
      <c r="M355" s="3"/>
      <c r="N355" s="3"/>
      <c r="O355" s="3"/>
      <c r="P355" s="3"/>
      <c r="Q355" s="3"/>
      <c r="R355" s="3"/>
      <c r="S355" s="3"/>
    </row>
    <row r="356" spans="7:19" x14ac:dyDescent="0.25">
      <c r="G356" s="3"/>
      <c r="H356" s="3"/>
      <c r="I356" s="3"/>
      <c r="J356" s="105"/>
      <c r="K356" s="3"/>
      <c r="L356" s="3"/>
      <c r="M356" s="3"/>
      <c r="N356" s="3"/>
      <c r="O356" s="3"/>
      <c r="P356" s="3"/>
      <c r="Q356" s="3"/>
      <c r="R356" s="3"/>
      <c r="S356" s="3"/>
    </row>
    <row r="357" spans="7:19" x14ac:dyDescent="0.25">
      <c r="G357" s="3"/>
      <c r="H357" s="3"/>
      <c r="I357" s="3"/>
      <c r="J357" s="105"/>
      <c r="K357" s="3"/>
      <c r="L357" s="3"/>
      <c r="M357" s="3"/>
      <c r="N357" s="3"/>
      <c r="O357" s="3"/>
      <c r="P357" s="3"/>
      <c r="Q357" s="3"/>
      <c r="R357" s="3"/>
      <c r="S357" s="3"/>
    </row>
    <row r="358" spans="7:19" x14ac:dyDescent="0.25">
      <c r="G358" s="3"/>
      <c r="H358" s="3"/>
      <c r="I358" s="3"/>
      <c r="J358" s="105"/>
      <c r="K358" s="3"/>
      <c r="L358" s="3"/>
      <c r="M358" s="3"/>
      <c r="N358" s="3"/>
      <c r="O358" s="3"/>
      <c r="P358" s="3"/>
      <c r="Q358" s="3"/>
      <c r="R358" s="3"/>
      <c r="S358" s="3"/>
    </row>
    <row r="359" spans="7:19" x14ac:dyDescent="0.25">
      <c r="G359" s="3"/>
      <c r="H359" s="3"/>
      <c r="I359" s="3"/>
      <c r="J359" s="105"/>
      <c r="K359" s="3"/>
      <c r="L359" s="3"/>
      <c r="M359" s="3"/>
      <c r="N359" s="3"/>
      <c r="O359" s="3"/>
      <c r="P359" s="3"/>
      <c r="Q359" s="3"/>
      <c r="R359" s="3"/>
      <c r="S359" s="3"/>
    </row>
    <row r="360" spans="7:19" x14ac:dyDescent="0.25">
      <c r="G360" s="3"/>
      <c r="H360" s="3"/>
      <c r="I360" s="3"/>
      <c r="J360" s="105"/>
      <c r="K360" s="3"/>
      <c r="L360" s="3"/>
      <c r="M360" s="3"/>
      <c r="N360" s="3"/>
      <c r="O360" s="3"/>
      <c r="P360" s="3"/>
      <c r="Q360" s="3"/>
      <c r="R360" s="3"/>
      <c r="S360" s="3"/>
    </row>
    <row r="361" spans="7:19" x14ac:dyDescent="0.25">
      <c r="G361" s="3"/>
      <c r="H361" s="3"/>
      <c r="I361" s="3"/>
      <c r="J361" s="105"/>
      <c r="K361" s="3"/>
      <c r="L361" s="3"/>
      <c r="M361" s="3"/>
      <c r="N361" s="3"/>
      <c r="O361" s="3"/>
      <c r="P361" s="3"/>
      <c r="Q361" s="3"/>
      <c r="R361" s="3"/>
      <c r="S361" s="3"/>
    </row>
    <row r="362" spans="7:19" x14ac:dyDescent="0.25">
      <c r="G362" s="3"/>
      <c r="H362" s="3"/>
      <c r="I362" s="3"/>
      <c r="J362" s="105"/>
      <c r="K362" s="3"/>
      <c r="L362" s="3"/>
      <c r="M362" s="3"/>
      <c r="N362" s="3"/>
      <c r="O362" s="3"/>
      <c r="P362" s="3"/>
      <c r="Q362" s="3"/>
      <c r="R362" s="3"/>
      <c r="S362" s="3"/>
    </row>
    <row r="363" spans="7:19" x14ac:dyDescent="0.25">
      <c r="G363" s="3"/>
      <c r="H363" s="3"/>
      <c r="I363" s="3"/>
      <c r="J363" s="105"/>
      <c r="K363" s="3"/>
      <c r="L363" s="3"/>
      <c r="M363" s="3"/>
      <c r="N363" s="3"/>
      <c r="O363" s="3"/>
      <c r="P363" s="3"/>
      <c r="Q363" s="3"/>
      <c r="R363" s="3"/>
      <c r="S363" s="3"/>
    </row>
    <row r="364" spans="7:19" x14ac:dyDescent="0.25">
      <c r="G364" s="3"/>
      <c r="H364" s="3"/>
      <c r="I364" s="3"/>
      <c r="J364" s="105"/>
      <c r="K364" s="3"/>
      <c r="L364" s="3"/>
      <c r="M364" s="3"/>
      <c r="N364" s="3"/>
      <c r="O364" s="3"/>
      <c r="P364" s="3"/>
      <c r="Q364" s="3"/>
      <c r="R364" s="3"/>
      <c r="S364" s="3"/>
    </row>
    <row r="365" spans="7:19" x14ac:dyDescent="0.25">
      <c r="G365" s="3"/>
      <c r="H365" s="3"/>
      <c r="I365" s="3"/>
      <c r="J365" s="105"/>
      <c r="K365" s="3"/>
      <c r="L365" s="3"/>
      <c r="M365" s="3"/>
      <c r="N365" s="3"/>
      <c r="O365" s="3"/>
      <c r="P365" s="3"/>
      <c r="Q365" s="3"/>
      <c r="R365" s="3"/>
      <c r="S365" s="3"/>
    </row>
    <row r="366" spans="7:19" x14ac:dyDescent="0.25">
      <c r="G366" s="3"/>
      <c r="H366" s="3"/>
      <c r="I366" s="3"/>
      <c r="J366" s="105"/>
      <c r="K366" s="3"/>
      <c r="L366" s="3"/>
      <c r="M366" s="3"/>
      <c r="N366" s="3"/>
      <c r="O366" s="3"/>
      <c r="P366" s="3"/>
      <c r="Q366" s="3"/>
      <c r="R366" s="3"/>
      <c r="S366" s="3"/>
    </row>
    <row r="367" spans="7:19" x14ac:dyDescent="0.25">
      <c r="G367" s="3"/>
      <c r="H367" s="3"/>
      <c r="I367" s="3"/>
      <c r="J367" s="105"/>
      <c r="K367" s="3"/>
      <c r="L367" s="3"/>
      <c r="M367" s="3"/>
      <c r="N367" s="3"/>
      <c r="O367" s="3"/>
      <c r="P367" s="3"/>
      <c r="Q367" s="3"/>
      <c r="R367" s="3"/>
      <c r="S367" s="3"/>
    </row>
    <row r="368" spans="7:19" x14ac:dyDescent="0.25">
      <c r="G368" s="3"/>
      <c r="H368" s="3"/>
      <c r="I368" s="3"/>
      <c r="J368" s="105"/>
      <c r="K368" s="3"/>
      <c r="L368" s="3"/>
      <c r="M368" s="3"/>
      <c r="N368" s="3"/>
      <c r="O368" s="3"/>
      <c r="P368" s="3"/>
      <c r="Q368" s="3"/>
      <c r="R368" s="3"/>
      <c r="S368" s="3"/>
    </row>
    <row r="369" spans="7:19" x14ac:dyDescent="0.25">
      <c r="G369" s="3"/>
      <c r="H369" s="3"/>
      <c r="I369" s="3"/>
      <c r="J369" s="105"/>
      <c r="K369" s="3"/>
      <c r="L369" s="3"/>
      <c r="M369" s="3"/>
      <c r="N369" s="3"/>
      <c r="O369" s="3"/>
      <c r="P369" s="3"/>
      <c r="Q369" s="3"/>
      <c r="R369" s="3"/>
      <c r="S369" s="3"/>
    </row>
    <row r="370" spans="7:19" x14ac:dyDescent="0.25">
      <c r="G370" s="3"/>
      <c r="H370" s="3"/>
      <c r="I370" s="3"/>
      <c r="J370" s="105"/>
      <c r="K370" s="3"/>
      <c r="L370" s="3"/>
      <c r="M370" s="3"/>
      <c r="N370" s="3"/>
      <c r="O370" s="3"/>
      <c r="P370" s="3"/>
      <c r="Q370" s="3"/>
      <c r="R370" s="3"/>
      <c r="S370" s="3"/>
    </row>
    <row r="371" spans="7:19" x14ac:dyDescent="0.25">
      <c r="G371" s="3"/>
      <c r="H371" s="3"/>
      <c r="I371" s="3"/>
      <c r="J371" s="105"/>
      <c r="K371" s="3"/>
      <c r="L371" s="3"/>
      <c r="M371" s="3"/>
      <c r="N371" s="3"/>
      <c r="O371" s="3"/>
      <c r="P371" s="3"/>
      <c r="Q371" s="3"/>
      <c r="R371" s="3"/>
      <c r="S371" s="3"/>
    </row>
    <row r="372" spans="7:19" x14ac:dyDescent="0.25">
      <c r="G372" s="3"/>
      <c r="H372" s="3"/>
      <c r="I372" s="3"/>
      <c r="J372" s="105"/>
      <c r="K372" s="3"/>
      <c r="L372" s="3"/>
      <c r="M372" s="3"/>
      <c r="N372" s="3"/>
      <c r="O372" s="3"/>
      <c r="P372" s="3"/>
      <c r="Q372" s="3"/>
      <c r="R372" s="3"/>
      <c r="S372" s="3"/>
    </row>
    <row r="373" spans="7:19" x14ac:dyDescent="0.25">
      <c r="G373" s="3"/>
      <c r="H373" s="3"/>
      <c r="I373" s="3"/>
      <c r="J373" s="105"/>
      <c r="K373" s="3"/>
      <c r="L373" s="3"/>
      <c r="M373" s="3"/>
      <c r="N373" s="3"/>
      <c r="O373" s="3"/>
      <c r="P373" s="3"/>
      <c r="Q373" s="3"/>
      <c r="R373" s="3"/>
      <c r="S373" s="3"/>
    </row>
    <row r="374" spans="7:19" x14ac:dyDescent="0.25">
      <c r="G374" s="3"/>
      <c r="H374" s="3"/>
      <c r="I374" s="3"/>
      <c r="J374" s="105"/>
      <c r="K374" s="3"/>
      <c r="L374" s="3"/>
      <c r="M374" s="3"/>
      <c r="N374" s="3"/>
      <c r="O374" s="3"/>
      <c r="P374" s="3"/>
      <c r="Q374" s="3"/>
      <c r="R374" s="3"/>
      <c r="S374" s="3"/>
    </row>
    <row r="375" spans="7:19" x14ac:dyDescent="0.25">
      <c r="G375" s="3"/>
      <c r="H375" s="3"/>
      <c r="I375" s="3"/>
      <c r="J375" s="105"/>
      <c r="K375" s="3"/>
      <c r="L375" s="3"/>
      <c r="M375" s="3"/>
      <c r="N375" s="3"/>
      <c r="O375" s="3"/>
      <c r="P375" s="3"/>
      <c r="Q375" s="3"/>
      <c r="R375" s="3"/>
      <c r="S375" s="3"/>
    </row>
    <row r="376" spans="7:19" x14ac:dyDescent="0.25">
      <c r="G376" s="3"/>
      <c r="H376" s="3"/>
      <c r="I376" s="3"/>
      <c r="J376" s="105"/>
      <c r="K376" s="3"/>
      <c r="L376" s="3"/>
      <c r="M376" s="3"/>
      <c r="N376" s="3"/>
      <c r="O376" s="3"/>
      <c r="P376" s="3"/>
      <c r="Q376" s="3"/>
      <c r="R376" s="3"/>
      <c r="S376" s="3"/>
    </row>
    <row r="377" spans="7:19" x14ac:dyDescent="0.25">
      <c r="G377" s="3"/>
      <c r="H377" s="3"/>
      <c r="I377" s="3"/>
      <c r="J377" s="105"/>
      <c r="K377" s="3"/>
      <c r="L377" s="3"/>
      <c r="M377" s="3"/>
      <c r="N377" s="3"/>
      <c r="O377" s="3"/>
      <c r="P377" s="3"/>
      <c r="Q377" s="3"/>
      <c r="R377" s="3"/>
      <c r="S377" s="3"/>
    </row>
    <row r="378" spans="7:19" x14ac:dyDescent="0.25">
      <c r="G378" s="3"/>
      <c r="H378" s="3"/>
      <c r="I378" s="3"/>
      <c r="J378" s="105"/>
      <c r="K378" s="3"/>
      <c r="L378" s="3"/>
      <c r="M378" s="3"/>
      <c r="N378" s="3"/>
      <c r="O378" s="3"/>
      <c r="P378" s="3"/>
      <c r="Q378" s="3"/>
      <c r="R378" s="3"/>
      <c r="S378" s="3"/>
    </row>
    <row r="379" spans="7:19" x14ac:dyDescent="0.25">
      <c r="G379" s="3"/>
      <c r="H379" s="3"/>
      <c r="I379" s="3"/>
      <c r="J379" s="105"/>
      <c r="K379" s="3"/>
      <c r="L379" s="3"/>
      <c r="M379" s="3"/>
      <c r="N379" s="3"/>
      <c r="O379" s="3"/>
      <c r="P379" s="3"/>
      <c r="Q379" s="3"/>
      <c r="R379" s="3"/>
      <c r="S379" s="3"/>
    </row>
    <row r="380" spans="7:19" x14ac:dyDescent="0.25">
      <c r="G380" s="3"/>
      <c r="H380" s="3"/>
      <c r="I380" s="3"/>
      <c r="J380" s="105"/>
      <c r="K380" s="3"/>
      <c r="L380" s="3"/>
      <c r="M380" s="3"/>
      <c r="N380" s="3"/>
      <c r="O380" s="3"/>
      <c r="P380" s="3"/>
      <c r="Q380" s="3"/>
      <c r="R380" s="3"/>
      <c r="S380" s="3"/>
    </row>
    <row r="381" spans="7:19" x14ac:dyDescent="0.25">
      <c r="G381" s="3"/>
      <c r="H381" s="3"/>
      <c r="I381" s="3"/>
      <c r="J381" s="105"/>
      <c r="K381" s="3"/>
      <c r="L381" s="3"/>
      <c r="M381" s="3"/>
      <c r="N381" s="3"/>
      <c r="O381" s="3"/>
      <c r="P381" s="3"/>
      <c r="Q381" s="3"/>
      <c r="R381" s="3"/>
      <c r="S381" s="3"/>
    </row>
    <row r="382" spans="7:19" x14ac:dyDescent="0.25">
      <c r="G382" s="3"/>
      <c r="H382" s="3"/>
      <c r="I382" s="3"/>
      <c r="J382" s="105"/>
      <c r="K382" s="3"/>
      <c r="L382" s="3"/>
      <c r="M382" s="3"/>
      <c r="N382" s="3"/>
      <c r="O382" s="3"/>
      <c r="P382" s="3"/>
      <c r="Q382" s="3"/>
      <c r="R382" s="3"/>
      <c r="S382" s="3"/>
    </row>
    <row r="383" spans="7:19" x14ac:dyDescent="0.25">
      <c r="G383" s="3"/>
      <c r="H383" s="3"/>
      <c r="I383" s="3"/>
      <c r="J383" s="105"/>
      <c r="K383" s="3"/>
      <c r="L383" s="3"/>
      <c r="M383" s="3"/>
      <c r="N383" s="3"/>
      <c r="O383" s="3"/>
      <c r="P383" s="3"/>
      <c r="Q383" s="3"/>
      <c r="R383" s="3"/>
      <c r="S383" s="3"/>
    </row>
    <row r="384" spans="7:19" x14ac:dyDescent="0.25">
      <c r="G384" s="3"/>
      <c r="H384" s="3"/>
      <c r="I384" s="3"/>
      <c r="J384" s="105"/>
      <c r="K384" s="3"/>
      <c r="L384" s="3"/>
      <c r="M384" s="3"/>
      <c r="N384" s="3"/>
      <c r="O384" s="3"/>
      <c r="P384" s="3"/>
      <c r="Q384" s="3"/>
      <c r="R384" s="3"/>
      <c r="S384" s="3"/>
    </row>
    <row r="385" spans="7:19" x14ac:dyDescent="0.25">
      <c r="G385" s="3"/>
      <c r="H385" s="3"/>
      <c r="I385" s="3"/>
      <c r="J385" s="105"/>
      <c r="K385" s="3"/>
      <c r="L385" s="3"/>
      <c r="M385" s="3"/>
      <c r="N385" s="3"/>
      <c r="O385" s="3"/>
      <c r="P385" s="3"/>
      <c r="Q385" s="3"/>
      <c r="R385" s="3"/>
      <c r="S385" s="3"/>
    </row>
    <row r="386" spans="7:19" x14ac:dyDescent="0.25">
      <c r="G386" s="3"/>
      <c r="H386" s="3"/>
      <c r="I386" s="3"/>
      <c r="J386" s="105"/>
      <c r="K386" s="3"/>
      <c r="L386" s="3"/>
      <c r="M386" s="3"/>
      <c r="N386" s="3"/>
      <c r="O386" s="3"/>
      <c r="P386" s="3"/>
      <c r="Q386" s="3"/>
      <c r="R386" s="3"/>
      <c r="S386" s="3"/>
    </row>
    <row r="387" spans="7:19" x14ac:dyDescent="0.25">
      <c r="G387" s="3"/>
      <c r="H387" s="3"/>
      <c r="I387" s="3"/>
      <c r="J387" s="105"/>
      <c r="K387" s="3"/>
      <c r="L387" s="3"/>
      <c r="M387" s="3"/>
      <c r="N387" s="3"/>
      <c r="O387" s="3"/>
      <c r="P387" s="3"/>
      <c r="Q387" s="3"/>
      <c r="R387" s="3"/>
      <c r="S387" s="3"/>
    </row>
    <row r="388" spans="7:19" x14ac:dyDescent="0.25">
      <c r="G388" s="3"/>
      <c r="H388" s="3"/>
      <c r="I388" s="3"/>
      <c r="J388" s="105"/>
      <c r="K388" s="3"/>
      <c r="L388" s="3"/>
      <c r="M388" s="3"/>
      <c r="N388" s="3"/>
      <c r="O388" s="3"/>
      <c r="P388" s="3"/>
      <c r="Q388" s="3"/>
      <c r="R388" s="3"/>
      <c r="S388" s="3"/>
    </row>
    <row r="389" spans="7:19" x14ac:dyDescent="0.25">
      <c r="G389" s="3"/>
      <c r="H389" s="3"/>
      <c r="I389" s="3"/>
      <c r="J389" s="105"/>
      <c r="K389" s="3"/>
      <c r="L389" s="3"/>
      <c r="M389" s="3"/>
      <c r="N389" s="3"/>
      <c r="O389" s="3"/>
      <c r="P389" s="3"/>
      <c r="Q389" s="3"/>
      <c r="R389" s="3"/>
      <c r="S389" s="3"/>
    </row>
    <row r="390" spans="7:19" x14ac:dyDescent="0.25">
      <c r="G390" s="3"/>
      <c r="H390" s="3"/>
      <c r="I390" s="3"/>
      <c r="J390" s="105"/>
      <c r="K390" s="3"/>
      <c r="L390" s="3"/>
      <c r="M390" s="3"/>
      <c r="N390" s="3"/>
      <c r="O390" s="3"/>
      <c r="P390" s="3"/>
      <c r="Q390" s="3"/>
      <c r="R390" s="3"/>
      <c r="S390" s="3"/>
    </row>
    <row r="391" spans="7:19" x14ac:dyDescent="0.25">
      <c r="G391" s="3"/>
      <c r="H391" s="3"/>
      <c r="I391" s="3"/>
      <c r="J391" s="105"/>
      <c r="K391" s="3"/>
      <c r="L391" s="3"/>
      <c r="M391" s="3"/>
      <c r="N391" s="3"/>
      <c r="O391" s="3"/>
      <c r="P391" s="3"/>
      <c r="Q391" s="3"/>
      <c r="R391" s="3"/>
      <c r="S391" s="3"/>
    </row>
    <row r="392" spans="7:19" x14ac:dyDescent="0.25">
      <c r="G392" s="3"/>
      <c r="H392" s="3"/>
      <c r="I392" s="3"/>
      <c r="J392" s="105"/>
      <c r="K392" s="3"/>
      <c r="L392" s="3"/>
      <c r="M392" s="3"/>
      <c r="N392" s="3"/>
      <c r="O392" s="3"/>
      <c r="P392" s="3"/>
      <c r="Q392" s="3"/>
      <c r="R392" s="3"/>
      <c r="S392" s="3"/>
    </row>
    <row r="393" spans="7:19" x14ac:dyDescent="0.25">
      <c r="G393" s="3"/>
      <c r="H393" s="3"/>
      <c r="I393" s="3"/>
      <c r="J393" s="105"/>
      <c r="K393" s="3"/>
      <c r="L393" s="3"/>
      <c r="M393" s="3"/>
      <c r="N393" s="3"/>
      <c r="O393" s="3"/>
      <c r="P393" s="3"/>
      <c r="Q393" s="3"/>
      <c r="R393" s="3"/>
      <c r="S393" s="3"/>
    </row>
    <row r="394" spans="7:19" x14ac:dyDescent="0.25">
      <c r="G394" s="3"/>
      <c r="H394" s="3"/>
      <c r="I394" s="3"/>
      <c r="J394" s="105"/>
      <c r="K394" s="3"/>
      <c r="L394" s="3"/>
      <c r="M394" s="3"/>
      <c r="N394" s="3"/>
      <c r="O394" s="3"/>
      <c r="P394" s="3"/>
      <c r="Q394" s="3"/>
      <c r="R394" s="3"/>
      <c r="S394" s="3"/>
    </row>
    <row r="395" spans="7:19" x14ac:dyDescent="0.25">
      <c r="G395" s="3"/>
      <c r="H395" s="3"/>
      <c r="I395" s="3"/>
      <c r="J395" s="105"/>
      <c r="K395" s="3"/>
      <c r="L395" s="3"/>
      <c r="M395" s="3"/>
      <c r="N395" s="3"/>
      <c r="O395" s="3"/>
      <c r="P395" s="3"/>
      <c r="Q395" s="3"/>
      <c r="R395" s="3"/>
      <c r="S395" s="3"/>
    </row>
    <row r="396" spans="7:19" x14ac:dyDescent="0.25">
      <c r="G396" s="3"/>
      <c r="H396" s="3"/>
      <c r="I396" s="3"/>
      <c r="J396" s="105"/>
      <c r="K396" s="3"/>
      <c r="L396" s="3"/>
      <c r="M396" s="3"/>
      <c r="N396" s="3"/>
      <c r="O396" s="3"/>
      <c r="P396" s="3"/>
      <c r="Q396" s="3"/>
      <c r="R396" s="3"/>
      <c r="S396" s="3"/>
    </row>
    <row r="397" spans="7:19" x14ac:dyDescent="0.25">
      <c r="G397" s="3"/>
      <c r="H397" s="3"/>
      <c r="I397" s="3"/>
      <c r="J397" s="105"/>
      <c r="K397" s="3"/>
      <c r="L397" s="3"/>
      <c r="M397" s="3"/>
      <c r="N397" s="3"/>
      <c r="O397" s="3"/>
      <c r="P397" s="3"/>
      <c r="Q397" s="3"/>
      <c r="R397" s="3"/>
      <c r="S397" s="3"/>
    </row>
    <row r="398" spans="7:19" x14ac:dyDescent="0.25">
      <c r="G398" s="3"/>
      <c r="H398" s="3"/>
      <c r="I398" s="3"/>
      <c r="J398" s="105"/>
      <c r="K398" s="3"/>
      <c r="L398" s="3"/>
      <c r="M398" s="3"/>
      <c r="N398" s="3"/>
      <c r="O398" s="3"/>
      <c r="P398" s="3"/>
      <c r="Q398" s="3"/>
      <c r="R398" s="3"/>
      <c r="S398" s="3"/>
    </row>
    <row r="399" spans="7:19" x14ac:dyDescent="0.25">
      <c r="G399" s="3"/>
      <c r="H399" s="3"/>
      <c r="I399" s="3"/>
      <c r="J399" s="105"/>
      <c r="K399" s="3"/>
      <c r="L399" s="3"/>
      <c r="M399" s="3"/>
      <c r="N399" s="3"/>
      <c r="O399" s="3"/>
      <c r="P399" s="3"/>
      <c r="Q399" s="3"/>
      <c r="R399" s="3"/>
      <c r="S399" s="3"/>
    </row>
    <row r="400" spans="7:19" x14ac:dyDescent="0.25">
      <c r="G400" s="3"/>
      <c r="H400" s="3"/>
      <c r="I400" s="3"/>
      <c r="J400" s="105"/>
      <c r="K400" s="3"/>
      <c r="L400" s="3"/>
      <c r="M400" s="3"/>
      <c r="N400" s="3"/>
      <c r="O400" s="3"/>
      <c r="P400" s="3"/>
      <c r="Q400" s="3"/>
      <c r="R400" s="3"/>
      <c r="S400" s="3"/>
    </row>
    <row r="401" spans="7:19" x14ac:dyDescent="0.25">
      <c r="G401" s="3"/>
      <c r="H401" s="3"/>
      <c r="I401" s="3"/>
      <c r="J401" s="105"/>
      <c r="K401" s="3"/>
      <c r="L401" s="3"/>
      <c r="M401" s="3"/>
      <c r="N401" s="3"/>
      <c r="O401" s="3"/>
      <c r="P401" s="3"/>
      <c r="Q401" s="3"/>
      <c r="R401" s="3"/>
      <c r="S401" s="3"/>
    </row>
    <row r="402" spans="7:19" x14ac:dyDescent="0.25">
      <c r="G402" s="3"/>
      <c r="H402" s="3"/>
      <c r="I402" s="3"/>
      <c r="J402" s="105"/>
      <c r="K402" s="3"/>
      <c r="L402" s="3"/>
      <c r="M402" s="3"/>
      <c r="N402" s="3"/>
      <c r="O402" s="3"/>
      <c r="P402" s="3"/>
      <c r="Q402" s="3"/>
      <c r="R402" s="3"/>
      <c r="S402" s="3"/>
    </row>
    <row r="403" spans="7:19" x14ac:dyDescent="0.25">
      <c r="G403" s="3"/>
      <c r="H403" s="3"/>
      <c r="I403" s="3"/>
      <c r="J403" s="105"/>
      <c r="K403" s="3"/>
      <c r="L403" s="3"/>
      <c r="M403" s="3"/>
      <c r="N403" s="3"/>
      <c r="O403" s="3"/>
      <c r="P403" s="3"/>
      <c r="Q403" s="3"/>
      <c r="R403" s="3"/>
      <c r="S403" s="3"/>
    </row>
    <row r="404" spans="7:19" x14ac:dyDescent="0.25">
      <c r="G404" s="3"/>
      <c r="H404" s="3"/>
      <c r="I404" s="3"/>
      <c r="J404" s="105"/>
      <c r="K404" s="3"/>
      <c r="L404" s="3"/>
      <c r="M404" s="3"/>
      <c r="N404" s="3"/>
      <c r="O404" s="3"/>
      <c r="P404" s="3"/>
      <c r="Q404" s="3"/>
      <c r="R404" s="3"/>
      <c r="S404" s="3"/>
    </row>
    <row r="405" spans="7:19" x14ac:dyDescent="0.25">
      <c r="G405" s="3"/>
      <c r="H405" s="3"/>
      <c r="I405" s="3"/>
      <c r="J405" s="105"/>
      <c r="K405" s="3"/>
      <c r="L405" s="3"/>
      <c r="M405" s="3"/>
      <c r="N405" s="3"/>
      <c r="O405" s="3"/>
      <c r="P405" s="3"/>
      <c r="Q405" s="3"/>
      <c r="R405" s="3"/>
      <c r="S405" s="3"/>
    </row>
    <row r="406" spans="7:19" x14ac:dyDescent="0.25">
      <c r="G406" s="3"/>
      <c r="H406" s="3"/>
      <c r="I406" s="3"/>
      <c r="J406" s="105"/>
      <c r="K406" s="3"/>
      <c r="L406" s="3"/>
      <c r="M406" s="3"/>
      <c r="N406" s="3"/>
      <c r="O406" s="3"/>
      <c r="P406" s="3"/>
      <c r="Q406" s="3"/>
      <c r="R406" s="3"/>
      <c r="S406" s="3"/>
    </row>
    <row r="407" spans="7:19" x14ac:dyDescent="0.25">
      <c r="G407" s="3"/>
      <c r="H407" s="3"/>
      <c r="I407" s="3"/>
      <c r="J407" s="105"/>
      <c r="K407" s="3"/>
      <c r="L407" s="3"/>
      <c r="M407" s="3"/>
      <c r="N407" s="3"/>
      <c r="O407" s="3"/>
      <c r="P407" s="3"/>
      <c r="Q407" s="3"/>
      <c r="R407" s="3"/>
      <c r="S407" s="3"/>
    </row>
    <row r="408" spans="7:19" x14ac:dyDescent="0.25">
      <c r="G408" s="3"/>
      <c r="H408" s="3"/>
      <c r="I408" s="3"/>
      <c r="J408" s="105"/>
      <c r="K408" s="3"/>
      <c r="L408" s="3"/>
      <c r="M408" s="3"/>
      <c r="N408" s="3"/>
      <c r="O408" s="3"/>
      <c r="P408" s="3"/>
      <c r="Q408" s="3"/>
      <c r="R408" s="3"/>
      <c r="S408" s="3"/>
    </row>
    <row r="409" spans="7:19" x14ac:dyDescent="0.25">
      <c r="G409" s="3"/>
      <c r="H409" s="3"/>
      <c r="I409" s="3"/>
      <c r="J409" s="105"/>
      <c r="K409" s="3"/>
      <c r="L409" s="3"/>
      <c r="M409" s="3"/>
      <c r="N409" s="3"/>
      <c r="O409" s="3"/>
      <c r="P409" s="3"/>
      <c r="Q409" s="3"/>
      <c r="R409" s="3"/>
      <c r="S409" s="3"/>
    </row>
    <row r="410" spans="7:19" x14ac:dyDescent="0.25">
      <c r="G410" s="3"/>
      <c r="H410" s="3"/>
      <c r="I410" s="3"/>
      <c r="J410" s="105"/>
      <c r="K410" s="3"/>
      <c r="L410" s="3"/>
      <c r="M410" s="3"/>
      <c r="N410" s="3"/>
      <c r="O410" s="3"/>
      <c r="P410" s="3"/>
      <c r="Q410" s="3"/>
      <c r="R410" s="3"/>
      <c r="S410" s="3"/>
    </row>
    <row r="411" spans="7:19" x14ac:dyDescent="0.25">
      <c r="G411" s="3"/>
      <c r="H411" s="3"/>
      <c r="I411" s="3"/>
      <c r="J411" s="105"/>
      <c r="K411" s="3"/>
      <c r="L411" s="3"/>
      <c r="M411" s="3"/>
      <c r="N411" s="3"/>
      <c r="O411" s="3"/>
      <c r="P411" s="3"/>
      <c r="Q411" s="3"/>
      <c r="R411" s="3"/>
      <c r="S411" s="3"/>
    </row>
    <row r="412" spans="7:19" x14ac:dyDescent="0.25">
      <c r="G412" s="3"/>
      <c r="H412" s="3"/>
      <c r="I412" s="3"/>
      <c r="J412" s="105"/>
      <c r="K412" s="3"/>
      <c r="L412" s="3"/>
      <c r="M412" s="3"/>
      <c r="N412" s="3"/>
      <c r="O412" s="3"/>
      <c r="P412" s="3"/>
      <c r="Q412" s="3"/>
      <c r="R412" s="3"/>
      <c r="S412" s="3"/>
    </row>
    <row r="413" spans="7:19" x14ac:dyDescent="0.25">
      <c r="G413" s="3"/>
      <c r="H413" s="3"/>
      <c r="I413" s="3"/>
      <c r="J413" s="105"/>
      <c r="K413" s="3"/>
      <c r="L413" s="3"/>
      <c r="M413" s="3"/>
      <c r="N413" s="3"/>
      <c r="O413" s="3"/>
      <c r="P413" s="3"/>
      <c r="Q413" s="3"/>
      <c r="R413" s="3"/>
      <c r="S413" s="3"/>
    </row>
    <row r="414" spans="7:19" x14ac:dyDescent="0.25">
      <c r="G414" s="3"/>
      <c r="H414" s="3"/>
      <c r="I414" s="3"/>
      <c r="J414" s="105"/>
      <c r="K414" s="3"/>
      <c r="L414" s="3"/>
      <c r="M414" s="3"/>
      <c r="N414" s="3"/>
      <c r="O414" s="3"/>
      <c r="P414" s="3"/>
      <c r="Q414" s="3"/>
      <c r="R414" s="3"/>
      <c r="S414" s="3"/>
    </row>
    <row r="415" spans="7:19" x14ac:dyDescent="0.25">
      <c r="G415" s="3"/>
      <c r="H415" s="3"/>
      <c r="I415" s="3"/>
      <c r="J415" s="105"/>
      <c r="K415" s="3"/>
      <c r="L415" s="3"/>
      <c r="M415" s="3"/>
      <c r="N415" s="3"/>
      <c r="O415" s="3"/>
      <c r="P415" s="3"/>
      <c r="Q415" s="3"/>
      <c r="R415" s="3"/>
      <c r="S415" s="3"/>
    </row>
    <row r="416" spans="7:19" x14ac:dyDescent="0.25">
      <c r="G416" s="3"/>
      <c r="H416" s="3"/>
      <c r="I416" s="3"/>
      <c r="J416" s="105"/>
      <c r="K416" s="3"/>
      <c r="L416" s="3"/>
      <c r="M416" s="3"/>
      <c r="N416" s="3"/>
      <c r="O416" s="3"/>
      <c r="P416" s="3"/>
      <c r="Q416" s="3"/>
      <c r="R416" s="3"/>
      <c r="S416" s="3"/>
    </row>
    <row r="417" spans="7:19" x14ac:dyDescent="0.25">
      <c r="G417" s="3"/>
      <c r="H417" s="3"/>
      <c r="I417" s="3"/>
      <c r="J417" s="105"/>
      <c r="K417" s="3"/>
      <c r="L417" s="3"/>
      <c r="M417" s="3"/>
      <c r="N417" s="3"/>
      <c r="O417" s="3"/>
      <c r="P417" s="3"/>
      <c r="Q417" s="3"/>
      <c r="R417" s="3"/>
      <c r="S417" s="3"/>
    </row>
    <row r="418" spans="7:19" x14ac:dyDescent="0.25">
      <c r="G418" s="3"/>
      <c r="H418" s="3"/>
      <c r="I418" s="3"/>
      <c r="J418" s="105"/>
      <c r="K418" s="3"/>
      <c r="L418" s="3"/>
      <c r="M418" s="3"/>
      <c r="N418" s="3"/>
      <c r="O418" s="3"/>
      <c r="P418" s="3"/>
      <c r="Q418" s="3"/>
      <c r="R418" s="3"/>
      <c r="S418" s="3"/>
    </row>
    <row r="419" spans="7:19" x14ac:dyDescent="0.25">
      <c r="G419" s="3"/>
      <c r="H419" s="3"/>
      <c r="I419" s="3"/>
      <c r="J419" s="105"/>
      <c r="K419" s="3"/>
      <c r="L419" s="3"/>
      <c r="M419" s="3"/>
      <c r="N419" s="3"/>
      <c r="O419" s="3"/>
      <c r="P419" s="3"/>
      <c r="Q419" s="3"/>
      <c r="R419" s="3"/>
      <c r="S419" s="3"/>
    </row>
    <row r="420" spans="7:19" x14ac:dyDescent="0.25">
      <c r="G420" s="3"/>
      <c r="H420" s="3"/>
      <c r="I420" s="3"/>
      <c r="J420" s="105"/>
      <c r="K420" s="3"/>
      <c r="L420" s="3"/>
      <c r="M420" s="3"/>
      <c r="N420" s="3"/>
      <c r="O420" s="3"/>
      <c r="P420" s="3"/>
      <c r="Q420" s="3"/>
      <c r="R420" s="3"/>
      <c r="S420" s="3"/>
    </row>
    <row r="421" spans="7:19" x14ac:dyDescent="0.25">
      <c r="G421" s="3"/>
      <c r="H421" s="3"/>
      <c r="I421" s="3"/>
      <c r="J421" s="105"/>
      <c r="K421" s="3"/>
      <c r="L421" s="3"/>
      <c r="M421" s="3"/>
      <c r="N421" s="3"/>
      <c r="O421" s="3"/>
      <c r="P421" s="3"/>
      <c r="Q421" s="3"/>
      <c r="R421" s="3"/>
      <c r="S421" s="3"/>
    </row>
    <row r="422" spans="7:19" x14ac:dyDescent="0.25">
      <c r="G422" s="3"/>
      <c r="H422" s="3"/>
      <c r="I422" s="3"/>
      <c r="J422" s="105"/>
      <c r="K422" s="3"/>
      <c r="L422" s="3"/>
      <c r="M422" s="3"/>
      <c r="N422" s="3"/>
      <c r="O422" s="3"/>
      <c r="P422" s="3"/>
      <c r="Q422" s="3"/>
      <c r="R422" s="3"/>
      <c r="S422" s="3"/>
    </row>
    <row r="423" spans="7:19" x14ac:dyDescent="0.25">
      <c r="G423" s="3"/>
      <c r="H423" s="3"/>
      <c r="I423" s="3"/>
      <c r="J423" s="105"/>
      <c r="K423" s="3"/>
      <c r="L423" s="3"/>
      <c r="M423" s="3"/>
      <c r="N423" s="3"/>
      <c r="O423" s="3"/>
      <c r="P423" s="3"/>
      <c r="Q423" s="3"/>
      <c r="R423" s="3"/>
      <c r="S423" s="3"/>
    </row>
    <row r="424" spans="7:19" x14ac:dyDescent="0.25">
      <c r="G424" s="3"/>
      <c r="H424" s="3"/>
      <c r="I424" s="3"/>
      <c r="J424" s="105"/>
      <c r="K424" s="3"/>
      <c r="L424" s="3"/>
      <c r="M424" s="3"/>
      <c r="N424" s="3"/>
      <c r="O424" s="3"/>
      <c r="P424" s="3"/>
      <c r="Q424" s="3"/>
      <c r="R424" s="3"/>
      <c r="S424" s="3"/>
    </row>
    <row r="425" spans="7:19" x14ac:dyDescent="0.25">
      <c r="G425" s="3"/>
      <c r="H425" s="3"/>
      <c r="I425" s="3"/>
      <c r="J425" s="105"/>
      <c r="K425" s="3"/>
      <c r="L425" s="3"/>
      <c r="M425" s="3"/>
      <c r="N425" s="3"/>
      <c r="O425" s="3"/>
      <c r="P425" s="3"/>
      <c r="Q425" s="3"/>
      <c r="R425" s="3"/>
      <c r="S425" s="3"/>
    </row>
    <row r="426" spans="7:19" x14ac:dyDescent="0.25">
      <c r="G426" s="3"/>
      <c r="H426" s="3"/>
      <c r="I426" s="3"/>
      <c r="J426" s="105"/>
      <c r="K426" s="3"/>
      <c r="L426" s="3"/>
      <c r="M426" s="3"/>
      <c r="N426" s="3"/>
      <c r="O426" s="3"/>
      <c r="P426" s="3"/>
      <c r="Q426" s="3"/>
      <c r="R426" s="3"/>
      <c r="S426" s="3"/>
    </row>
    <row r="427" spans="7:19" x14ac:dyDescent="0.25">
      <c r="G427" s="3"/>
      <c r="H427" s="3"/>
      <c r="I427" s="3"/>
      <c r="J427" s="105"/>
      <c r="K427" s="3"/>
      <c r="L427" s="3"/>
      <c r="M427" s="3"/>
      <c r="N427" s="3"/>
      <c r="O427" s="3"/>
      <c r="P427" s="3"/>
      <c r="Q427" s="3"/>
      <c r="R427" s="3"/>
      <c r="S427" s="3"/>
    </row>
    <row r="428" spans="7:19" x14ac:dyDescent="0.25">
      <c r="G428" s="3"/>
      <c r="H428" s="3"/>
      <c r="I428" s="3"/>
      <c r="J428" s="105"/>
      <c r="K428" s="3"/>
      <c r="L428" s="3"/>
      <c r="M428" s="3"/>
      <c r="N428" s="3"/>
      <c r="O428" s="3"/>
      <c r="P428" s="3"/>
      <c r="Q428" s="3"/>
      <c r="R428" s="3"/>
      <c r="S428" s="3"/>
    </row>
    <row r="429" spans="7:19" x14ac:dyDescent="0.25">
      <c r="G429" s="3"/>
      <c r="H429" s="3"/>
      <c r="I429" s="3"/>
      <c r="J429" s="105"/>
      <c r="K429" s="3"/>
      <c r="L429" s="3"/>
      <c r="M429" s="3"/>
      <c r="N429" s="3"/>
      <c r="O429" s="3"/>
      <c r="P429" s="3"/>
      <c r="Q429" s="3"/>
      <c r="R429" s="3"/>
      <c r="S429" s="3"/>
    </row>
    <row r="430" spans="7:19" x14ac:dyDescent="0.25">
      <c r="G430" s="3"/>
      <c r="H430" s="3"/>
      <c r="I430" s="3"/>
      <c r="J430" s="105"/>
      <c r="K430" s="3"/>
      <c r="L430" s="3"/>
      <c r="M430" s="3"/>
      <c r="N430" s="3"/>
      <c r="O430" s="3"/>
      <c r="P430" s="3"/>
      <c r="Q430" s="3"/>
      <c r="R430" s="3"/>
      <c r="S430" s="3"/>
    </row>
    <row r="431" spans="7:19" x14ac:dyDescent="0.25">
      <c r="G431" s="3"/>
      <c r="H431" s="3"/>
      <c r="I431" s="3"/>
      <c r="J431" s="105"/>
      <c r="K431" s="3"/>
      <c r="L431" s="3"/>
      <c r="M431" s="3"/>
      <c r="N431" s="3"/>
      <c r="O431" s="3"/>
      <c r="P431" s="3"/>
      <c r="Q431" s="3"/>
      <c r="R431" s="3"/>
      <c r="S431" s="3"/>
    </row>
    <row r="432" spans="7:19" x14ac:dyDescent="0.25">
      <c r="G432" s="3"/>
      <c r="H432" s="3"/>
      <c r="I432" s="3"/>
      <c r="J432" s="105"/>
      <c r="K432" s="3"/>
      <c r="L432" s="3"/>
      <c r="M432" s="3"/>
      <c r="N432" s="3"/>
      <c r="O432" s="3"/>
      <c r="P432" s="3"/>
      <c r="Q432" s="3"/>
      <c r="R432" s="3"/>
      <c r="S432" s="3"/>
    </row>
    <row r="433" spans="7:19" x14ac:dyDescent="0.25">
      <c r="G433" s="3"/>
      <c r="H433" s="3"/>
      <c r="I433" s="3"/>
      <c r="J433" s="105"/>
      <c r="K433" s="3"/>
      <c r="L433" s="3"/>
      <c r="M433" s="3"/>
      <c r="N433" s="3"/>
      <c r="O433" s="3"/>
      <c r="P433" s="3"/>
      <c r="Q433" s="3"/>
      <c r="R433" s="3"/>
      <c r="S433" s="3"/>
    </row>
    <row r="434" spans="7:19" x14ac:dyDescent="0.25">
      <c r="G434" s="3"/>
      <c r="H434" s="3"/>
      <c r="I434" s="3"/>
      <c r="J434" s="105"/>
      <c r="K434" s="3"/>
      <c r="L434" s="3"/>
      <c r="M434" s="3"/>
      <c r="N434" s="3"/>
      <c r="O434" s="3"/>
      <c r="P434" s="3"/>
      <c r="Q434" s="3"/>
      <c r="R434" s="3"/>
      <c r="S434" s="3"/>
    </row>
    <row r="435" spans="7:19" x14ac:dyDescent="0.25">
      <c r="G435" s="3"/>
      <c r="H435" s="3"/>
      <c r="I435" s="3"/>
      <c r="J435" s="105"/>
      <c r="K435" s="3"/>
      <c r="L435" s="3"/>
      <c r="M435" s="3"/>
      <c r="N435" s="3"/>
      <c r="O435" s="3"/>
      <c r="P435" s="3"/>
      <c r="Q435" s="3"/>
      <c r="R435" s="3"/>
      <c r="S435" s="3"/>
    </row>
    <row r="436" spans="7:19" x14ac:dyDescent="0.25">
      <c r="G436" s="3"/>
      <c r="H436" s="3"/>
      <c r="I436" s="3"/>
      <c r="J436" s="105"/>
      <c r="K436" s="3"/>
      <c r="L436" s="3"/>
      <c r="M436" s="3"/>
      <c r="N436" s="3"/>
      <c r="O436" s="3"/>
      <c r="P436" s="3"/>
      <c r="Q436" s="3"/>
      <c r="R436" s="3"/>
      <c r="S436" s="3"/>
    </row>
    <row r="437" spans="7:19" x14ac:dyDescent="0.25">
      <c r="G437" s="3"/>
      <c r="H437" s="3"/>
      <c r="I437" s="3"/>
      <c r="J437" s="105"/>
      <c r="K437" s="3"/>
      <c r="L437" s="3"/>
      <c r="M437" s="3"/>
      <c r="N437" s="3"/>
      <c r="O437" s="3"/>
      <c r="P437" s="3"/>
      <c r="Q437" s="3"/>
      <c r="R437" s="3"/>
      <c r="S437" s="3"/>
    </row>
    <row r="438" spans="7:19" x14ac:dyDescent="0.25">
      <c r="G438" s="3"/>
      <c r="H438" s="3"/>
      <c r="I438" s="3"/>
      <c r="J438" s="105"/>
      <c r="K438" s="3"/>
      <c r="L438" s="3"/>
      <c r="M438" s="3"/>
      <c r="N438" s="3"/>
      <c r="O438" s="3"/>
      <c r="P438" s="3"/>
      <c r="Q438" s="3"/>
      <c r="R438" s="3"/>
      <c r="S438" s="3"/>
    </row>
    <row r="439" spans="7:19" x14ac:dyDescent="0.25">
      <c r="G439" s="3"/>
      <c r="H439" s="3"/>
      <c r="I439" s="3"/>
      <c r="J439" s="105"/>
      <c r="K439" s="3"/>
      <c r="L439" s="3"/>
      <c r="M439" s="3"/>
      <c r="N439" s="3"/>
      <c r="O439" s="3"/>
      <c r="P439" s="3"/>
      <c r="Q439" s="3"/>
      <c r="R439" s="3"/>
      <c r="S439" s="3"/>
    </row>
    <row r="440" spans="7:19" x14ac:dyDescent="0.25">
      <c r="G440" s="3"/>
      <c r="H440" s="3"/>
      <c r="I440" s="3"/>
      <c r="J440" s="105"/>
      <c r="K440" s="3"/>
      <c r="L440" s="3"/>
      <c r="M440" s="3"/>
      <c r="N440" s="3"/>
      <c r="O440" s="3"/>
      <c r="P440" s="3"/>
      <c r="Q440" s="3"/>
      <c r="R440" s="3"/>
      <c r="S440" s="3"/>
    </row>
    <row r="441" spans="7:19" x14ac:dyDescent="0.25">
      <c r="G441" s="3"/>
      <c r="H441" s="3"/>
      <c r="I441" s="3"/>
      <c r="J441" s="105"/>
      <c r="K441" s="3"/>
      <c r="L441" s="3"/>
      <c r="M441" s="3"/>
      <c r="N441" s="3"/>
      <c r="O441" s="3"/>
      <c r="P441" s="3"/>
      <c r="Q441" s="3"/>
      <c r="R441" s="3"/>
      <c r="S441" s="3"/>
    </row>
    <row r="442" spans="7:19" x14ac:dyDescent="0.25">
      <c r="G442" s="3"/>
      <c r="H442" s="3"/>
      <c r="I442" s="3"/>
      <c r="J442" s="105"/>
      <c r="K442" s="3"/>
      <c r="L442" s="3"/>
      <c r="M442" s="3"/>
      <c r="N442" s="3"/>
      <c r="O442" s="3"/>
      <c r="P442" s="3"/>
      <c r="Q442" s="3"/>
      <c r="R442" s="3"/>
      <c r="S442" s="3"/>
    </row>
    <row r="443" spans="7:19" x14ac:dyDescent="0.25">
      <c r="G443" s="3"/>
      <c r="H443" s="3"/>
      <c r="I443" s="3"/>
      <c r="J443" s="105"/>
      <c r="K443" s="3"/>
      <c r="L443" s="3"/>
      <c r="M443" s="3"/>
      <c r="N443" s="3"/>
      <c r="O443" s="3"/>
      <c r="P443" s="3"/>
      <c r="Q443" s="3"/>
      <c r="R443" s="3"/>
      <c r="S443" s="3"/>
    </row>
    <row r="444" spans="7:19" x14ac:dyDescent="0.25">
      <c r="G444" s="3"/>
      <c r="H444" s="3"/>
      <c r="I444" s="3"/>
      <c r="J444" s="105"/>
      <c r="K444" s="3"/>
      <c r="L444" s="3"/>
      <c r="M444" s="3"/>
      <c r="N444" s="3"/>
      <c r="O444" s="3"/>
      <c r="P444" s="3"/>
      <c r="Q444" s="3"/>
      <c r="R444" s="3"/>
      <c r="S444" s="3"/>
    </row>
    <row r="445" spans="7:19" x14ac:dyDescent="0.25">
      <c r="G445" s="3"/>
      <c r="H445" s="3"/>
      <c r="I445" s="3"/>
      <c r="J445" s="105"/>
      <c r="K445" s="3"/>
      <c r="L445" s="3"/>
      <c r="M445" s="3"/>
      <c r="N445" s="3"/>
      <c r="O445" s="3"/>
      <c r="P445" s="3"/>
      <c r="Q445" s="3"/>
      <c r="R445" s="3"/>
      <c r="S445" s="3"/>
    </row>
    <row r="446" spans="7:19" x14ac:dyDescent="0.25">
      <c r="G446" s="3"/>
      <c r="H446" s="3"/>
      <c r="I446" s="3"/>
      <c r="J446" s="105"/>
      <c r="K446" s="3"/>
      <c r="L446" s="3"/>
      <c r="M446" s="3"/>
      <c r="N446" s="3"/>
      <c r="O446" s="3"/>
      <c r="P446" s="3"/>
      <c r="Q446" s="3"/>
      <c r="R446" s="3"/>
      <c r="S446" s="3"/>
    </row>
    <row r="447" spans="7:19" x14ac:dyDescent="0.25">
      <c r="G447" s="3"/>
      <c r="H447" s="3"/>
      <c r="I447" s="3"/>
      <c r="J447" s="105"/>
      <c r="K447" s="3"/>
      <c r="L447" s="3"/>
      <c r="M447" s="3"/>
      <c r="N447" s="3"/>
      <c r="O447" s="3"/>
      <c r="P447" s="3"/>
      <c r="Q447" s="3"/>
      <c r="R447" s="3"/>
      <c r="S447" s="3"/>
    </row>
    <row r="448" spans="7:19" x14ac:dyDescent="0.25">
      <c r="G448" s="3"/>
      <c r="H448" s="3"/>
      <c r="I448" s="3"/>
      <c r="J448" s="105"/>
      <c r="K448" s="3"/>
      <c r="L448" s="3"/>
      <c r="M448" s="3"/>
      <c r="N448" s="3"/>
      <c r="O448" s="3"/>
      <c r="P448" s="3"/>
      <c r="Q448" s="3"/>
      <c r="R448" s="3"/>
      <c r="S448" s="3"/>
    </row>
    <row r="449" spans="7:19" x14ac:dyDescent="0.25">
      <c r="G449" s="3"/>
      <c r="H449" s="3"/>
      <c r="I449" s="3"/>
      <c r="J449" s="105"/>
      <c r="K449" s="3"/>
      <c r="L449" s="3"/>
      <c r="M449" s="3"/>
      <c r="N449" s="3"/>
      <c r="O449" s="3"/>
      <c r="P449" s="3"/>
      <c r="Q449" s="3"/>
      <c r="R449" s="3"/>
      <c r="S449" s="3"/>
    </row>
    <row r="450" spans="7:19" x14ac:dyDescent="0.25">
      <c r="G450" s="3"/>
      <c r="H450" s="3"/>
      <c r="I450" s="3"/>
      <c r="J450" s="105"/>
      <c r="K450" s="3"/>
      <c r="L450" s="3"/>
      <c r="M450" s="3"/>
      <c r="N450" s="3"/>
      <c r="O450" s="3"/>
      <c r="P450" s="3"/>
      <c r="Q450" s="3"/>
      <c r="R450" s="3"/>
      <c r="S450" s="3"/>
    </row>
    <row r="451" spans="7:19" x14ac:dyDescent="0.25">
      <c r="G451" s="3"/>
      <c r="H451" s="3"/>
      <c r="I451" s="3"/>
      <c r="J451" s="105"/>
      <c r="K451" s="3"/>
      <c r="L451" s="3"/>
      <c r="M451" s="3"/>
      <c r="N451" s="3"/>
      <c r="O451" s="3"/>
      <c r="P451" s="3"/>
      <c r="Q451" s="3"/>
      <c r="R451" s="3"/>
      <c r="S451" s="3"/>
    </row>
    <row r="452" spans="7:19" x14ac:dyDescent="0.25">
      <c r="G452" s="3"/>
      <c r="H452" s="3"/>
      <c r="I452" s="3"/>
      <c r="J452" s="105"/>
      <c r="K452" s="3"/>
      <c r="L452" s="3"/>
      <c r="M452" s="3"/>
      <c r="N452" s="3"/>
      <c r="O452" s="3"/>
      <c r="P452" s="3"/>
      <c r="Q452" s="3"/>
      <c r="R452" s="3"/>
      <c r="S452" s="3"/>
    </row>
    <row r="453" spans="7:19" x14ac:dyDescent="0.25">
      <c r="G453" s="3"/>
      <c r="H453" s="3"/>
      <c r="I453" s="3"/>
      <c r="J453" s="105"/>
      <c r="K453" s="3"/>
      <c r="L453" s="3"/>
      <c r="M453" s="3"/>
      <c r="N453" s="3"/>
      <c r="O453" s="3"/>
      <c r="P453" s="3"/>
      <c r="Q453" s="3"/>
      <c r="R453" s="3"/>
      <c r="S453" s="3"/>
    </row>
    <row r="454" spans="7:19" x14ac:dyDescent="0.25">
      <c r="G454" s="3"/>
      <c r="H454" s="3"/>
      <c r="I454" s="3"/>
      <c r="J454" s="105"/>
      <c r="K454" s="3"/>
      <c r="L454" s="3"/>
      <c r="M454" s="3"/>
      <c r="N454" s="3"/>
      <c r="O454" s="3"/>
      <c r="P454" s="3"/>
      <c r="Q454" s="3"/>
      <c r="R454" s="3"/>
      <c r="S454" s="3"/>
    </row>
    <row r="455" spans="7:19" x14ac:dyDescent="0.25">
      <c r="G455" s="3"/>
      <c r="H455" s="3"/>
      <c r="I455" s="3"/>
      <c r="J455" s="105"/>
      <c r="K455" s="3"/>
      <c r="L455" s="3"/>
      <c r="M455" s="3"/>
      <c r="N455" s="3"/>
      <c r="O455" s="3"/>
      <c r="P455" s="3"/>
      <c r="Q455" s="3"/>
      <c r="R455" s="3"/>
      <c r="S455" s="3"/>
    </row>
    <row r="456" spans="7:19" x14ac:dyDescent="0.25">
      <c r="G456" s="3"/>
      <c r="H456" s="3"/>
      <c r="I456" s="3"/>
      <c r="J456" s="105"/>
      <c r="K456" s="3"/>
      <c r="L456" s="3"/>
      <c r="M456" s="3"/>
      <c r="N456" s="3"/>
      <c r="O456" s="3"/>
      <c r="P456" s="3"/>
      <c r="Q456" s="3"/>
      <c r="R456" s="3"/>
      <c r="S456" s="3"/>
    </row>
    <row r="457" spans="7:19" x14ac:dyDescent="0.25">
      <c r="G457" s="3"/>
      <c r="H457" s="3"/>
      <c r="I457" s="3"/>
      <c r="J457" s="105"/>
      <c r="K457" s="3"/>
      <c r="L457" s="3"/>
      <c r="M457" s="3"/>
      <c r="N457" s="3"/>
      <c r="O457" s="3"/>
      <c r="P457" s="3"/>
      <c r="Q457" s="3"/>
      <c r="R457" s="3"/>
      <c r="S457" s="3"/>
    </row>
    <row r="458" spans="7:19" x14ac:dyDescent="0.25">
      <c r="G458" s="3"/>
      <c r="H458" s="3"/>
      <c r="I458" s="3"/>
      <c r="J458" s="105"/>
      <c r="K458" s="3"/>
      <c r="L458" s="3"/>
      <c r="M458" s="3"/>
      <c r="N458" s="3"/>
      <c r="O458" s="3"/>
      <c r="P458" s="3"/>
      <c r="Q458" s="3"/>
      <c r="R458" s="3"/>
      <c r="S458" s="3"/>
    </row>
    <row r="459" spans="7:19" x14ac:dyDescent="0.25">
      <c r="G459" s="3"/>
      <c r="H459" s="3"/>
      <c r="I459" s="3"/>
      <c r="J459" s="105"/>
      <c r="K459" s="3"/>
      <c r="L459" s="3"/>
      <c r="M459" s="3"/>
      <c r="N459" s="3"/>
      <c r="O459" s="3"/>
      <c r="P459" s="3"/>
      <c r="Q459" s="3"/>
      <c r="R459" s="3"/>
      <c r="S459" s="3"/>
    </row>
    <row r="460" spans="7:19" x14ac:dyDescent="0.25">
      <c r="G460" s="3"/>
      <c r="H460" s="3"/>
      <c r="I460" s="3"/>
      <c r="J460" s="105"/>
      <c r="K460" s="3"/>
      <c r="L460" s="3"/>
      <c r="M460" s="3"/>
      <c r="N460" s="3"/>
      <c r="O460" s="3"/>
      <c r="P460" s="3"/>
      <c r="Q460" s="3"/>
      <c r="R460" s="3"/>
      <c r="S460" s="3"/>
    </row>
    <row r="461" spans="7:19" x14ac:dyDescent="0.25">
      <c r="G461" s="3"/>
      <c r="H461" s="3"/>
      <c r="I461" s="3"/>
      <c r="J461" s="105"/>
      <c r="K461" s="3"/>
      <c r="L461" s="3"/>
      <c r="M461" s="3"/>
      <c r="N461" s="3"/>
      <c r="O461" s="3"/>
      <c r="P461" s="3"/>
      <c r="Q461" s="3"/>
      <c r="R461" s="3"/>
      <c r="S461" s="3"/>
    </row>
    <row r="462" spans="7:19" x14ac:dyDescent="0.25">
      <c r="G462" s="3"/>
      <c r="H462" s="3"/>
      <c r="I462" s="3"/>
      <c r="J462" s="105"/>
      <c r="K462" s="3"/>
      <c r="L462" s="3"/>
      <c r="M462" s="3"/>
      <c r="N462" s="3"/>
      <c r="O462" s="3"/>
      <c r="P462" s="3"/>
      <c r="Q462" s="3"/>
      <c r="R462" s="3"/>
      <c r="S462" s="3"/>
    </row>
    <row r="463" spans="7:19" x14ac:dyDescent="0.25">
      <c r="G463" s="3"/>
      <c r="H463" s="3"/>
      <c r="I463" s="3"/>
      <c r="J463" s="105"/>
      <c r="K463" s="3"/>
      <c r="L463" s="3"/>
      <c r="M463" s="3"/>
      <c r="N463" s="3"/>
      <c r="O463" s="3"/>
      <c r="P463" s="3"/>
      <c r="Q463" s="3"/>
      <c r="R463" s="3"/>
      <c r="S463" s="3"/>
    </row>
    <row r="464" spans="7:19" x14ac:dyDescent="0.25">
      <c r="G464" s="3"/>
      <c r="H464" s="3"/>
      <c r="I464" s="3"/>
      <c r="J464" s="105"/>
      <c r="K464" s="3"/>
      <c r="L464" s="3"/>
      <c r="M464" s="3"/>
      <c r="N464" s="3"/>
      <c r="O464" s="3"/>
      <c r="P464" s="3"/>
      <c r="Q464" s="3"/>
      <c r="R464" s="3"/>
      <c r="S464" s="3"/>
    </row>
    <row r="465" spans="7:19" x14ac:dyDescent="0.25">
      <c r="G465" s="3"/>
      <c r="H465" s="3"/>
      <c r="I465" s="3"/>
      <c r="J465" s="105"/>
      <c r="K465" s="3"/>
      <c r="L465" s="3"/>
      <c r="M465" s="3"/>
      <c r="N465" s="3"/>
      <c r="O465" s="3"/>
      <c r="P465" s="3"/>
      <c r="Q465" s="3"/>
      <c r="R465" s="3"/>
      <c r="S465" s="3"/>
    </row>
    <row r="466" spans="7:19" x14ac:dyDescent="0.25">
      <c r="G466" s="3"/>
      <c r="H466" s="3"/>
      <c r="I466" s="3"/>
      <c r="J466" s="105"/>
      <c r="K466" s="3"/>
      <c r="L466" s="3"/>
      <c r="M466" s="3"/>
      <c r="N466" s="3"/>
      <c r="O466" s="3"/>
      <c r="P466" s="3"/>
      <c r="Q466" s="3"/>
      <c r="R466" s="3"/>
      <c r="S466" s="3"/>
    </row>
    <row r="467" spans="7:19" x14ac:dyDescent="0.25">
      <c r="G467" s="3"/>
      <c r="H467" s="3"/>
      <c r="I467" s="3"/>
      <c r="J467" s="105"/>
      <c r="K467" s="3"/>
      <c r="L467" s="3"/>
      <c r="M467" s="3"/>
      <c r="N467" s="3"/>
      <c r="O467" s="3"/>
      <c r="P467" s="3"/>
      <c r="Q467" s="3"/>
      <c r="R467" s="3"/>
      <c r="S467" s="3"/>
    </row>
    <row r="468" spans="7:19" x14ac:dyDescent="0.25">
      <c r="G468" s="3"/>
      <c r="H468" s="3"/>
      <c r="I468" s="3"/>
      <c r="J468" s="105"/>
      <c r="K468" s="3"/>
      <c r="L468" s="3"/>
      <c r="M468" s="3"/>
      <c r="N468" s="3"/>
      <c r="O468" s="3"/>
      <c r="P468" s="3"/>
      <c r="Q468" s="3"/>
      <c r="R468" s="3"/>
      <c r="S468" s="3"/>
    </row>
    <row r="469" spans="7:19" x14ac:dyDescent="0.25">
      <c r="G469" s="3"/>
      <c r="H469" s="3"/>
      <c r="I469" s="3"/>
      <c r="J469" s="105"/>
      <c r="K469" s="3"/>
      <c r="L469" s="3"/>
      <c r="M469" s="3"/>
      <c r="N469" s="3"/>
      <c r="O469" s="3"/>
      <c r="P469" s="3"/>
      <c r="Q469" s="3"/>
      <c r="R469" s="3"/>
      <c r="S469" s="3"/>
    </row>
    <row r="470" spans="7:19" x14ac:dyDescent="0.25">
      <c r="G470" s="3"/>
      <c r="H470" s="3"/>
      <c r="I470" s="3"/>
      <c r="J470" s="105"/>
      <c r="K470" s="3"/>
      <c r="L470" s="3"/>
      <c r="M470" s="3"/>
      <c r="N470" s="3"/>
      <c r="O470" s="3"/>
      <c r="P470" s="3"/>
      <c r="Q470" s="3"/>
      <c r="R470" s="3"/>
      <c r="S470" s="3"/>
    </row>
    <row r="471" spans="7:19" x14ac:dyDescent="0.25">
      <c r="G471" s="3"/>
      <c r="H471" s="3"/>
      <c r="I471" s="3"/>
      <c r="J471" s="105"/>
      <c r="K471" s="3"/>
      <c r="L471" s="3"/>
      <c r="M471" s="3"/>
      <c r="N471" s="3"/>
      <c r="O471" s="3"/>
      <c r="P471" s="3"/>
      <c r="Q471" s="3"/>
      <c r="R471" s="3"/>
      <c r="S471" s="3"/>
    </row>
    <row r="472" spans="7:19" x14ac:dyDescent="0.25">
      <c r="G472" s="3"/>
      <c r="H472" s="3"/>
      <c r="I472" s="3"/>
      <c r="J472" s="105"/>
      <c r="K472" s="3"/>
      <c r="L472" s="3"/>
      <c r="M472" s="3"/>
      <c r="N472" s="3"/>
      <c r="O472" s="3"/>
      <c r="P472" s="3"/>
      <c r="Q472" s="3"/>
      <c r="R472" s="3"/>
      <c r="S472" s="3"/>
    </row>
    <row r="473" spans="7:19" x14ac:dyDescent="0.25">
      <c r="G473" s="3"/>
      <c r="H473" s="3"/>
      <c r="I473" s="3"/>
      <c r="J473" s="105"/>
      <c r="K473" s="3"/>
      <c r="L473" s="3"/>
      <c r="M473" s="3"/>
      <c r="N473" s="3"/>
      <c r="O473" s="3"/>
      <c r="P473" s="3"/>
      <c r="Q473" s="3"/>
      <c r="R473" s="3"/>
      <c r="S473" s="3"/>
    </row>
    <row r="474" spans="7:19" x14ac:dyDescent="0.25">
      <c r="G474" s="3"/>
      <c r="H474" s="3"/>
      <c r="I474" s="3"/>
      <c r="J474" s="105"/>
      <c r="K474" s="3"/>
      <c r="L474" s="3"/>
      <c r="M474" s="3"/>
      <c r="N474" s="3"/>
      <c r="O474" s="3"/>
      <c r="P474" s="3"/>
      <c r="Q474" s="3"/>
      <c r="R474" s="3"/>
      <c r="S474" s="3"/>
    </row>
    <row r="475" spans="7:19" x14ac:dyDescent="0.25">
      <c r="G475" s="3"/>
      <c r="H475" s="3"/>
      <c r="I475" s="3"/>
      <c r="J475" s="105"/>
      <c r="K475" s="3"/>
      <c r="L475" s="3"/>
      <c r="M475" s="3"/>
      <c r="N475" s="3"/>
      <c r="O475" s="3"/>
      <c r="P475" s="3"/>
      <c r="Q475" s="3"/>
      <c r="R475" s="3"/>
      <c r="S475" s="3"/>
    </row>
    <row r="476" spans="7:19" x14ac:dyDescent="0.25">
      <c r="G476" s="3"/>
      <c r="H476" s="3"/>
      <c r="I476" s="3"/>
      <c r="J476" s="105"/>
      <c r="K476" s="3"/>
      <c r="L476" s="3"/>
      <c r="M476" s="3"/>
      <c r="N476" s="3"/>
      <c r="O476" s="3"/>
      <c r="P476" s="3"/>
      <c r="Q476" s="3"/>
      <c r="R476" s="3"/>
      <c r="S476" s="3"/>
    </row>
    <row r="477" spans="7:19" x14ac:dyDescent="0.25">
      <c r="G477" s="3"/>
      <c r="H477" s="3"/>
      <c r="I477" s="3"/>
      <c r="J477" s="105"/>
      <c r="K477" s="3"/>
      <c r="L477" s="3"/>
      <c r="M477" s="3"/>
      <c r="N477" s="3"/>
      <c r="O477" s="3"/>
      <c r="P477" s="3"/>
      <c r="Q477" s="3"/>
      <c r="R477" s="3"/>
      <c r="S477" s="3"/>
    </row>
    <row r="478" spans="7:19" x14ac:dyDescent="0.25">
      <c r="G478" s="3"/>
      <c r="H478" s="3"/>
      <c r="I478" s="3"/>
      <c r="J478" s="105"/>
      <c r="K478" s="3"/>
      <c r="L478" s="3"/>
      <c r="M478" s="3"/>
      <c r="N478" s="3"/>
      <c r="O478" s="3"/>
      <c r="P478" s="3"/>
      <c r="Q478" s="3"/>
      <c r="R478" s="3"/>
      <c r="S478" s="3"/>
    </row>
    <row r="479" spans="7:19" x14ac:dyDescent="0.25">
      <c r="G479" s="3"/>
      <c r="H479" s="3"/>
      <c r="I479" s="3"/>
      <c r="J479" s="105"/>
      <c r="K479" s="3"/>
      <c r="L479" s="3"/>
      <c r="M479" s="3"/>
      <c r="N479" s="3"/>
      <c r="O479" s="3"/>
      <c r="P479" s="3"/>
      <c r="Q479" s="3"/>
      <c r="R479" s="3"/>
      <c r="S479" s="3"/>
    </row>
    <row r="480" spans="7:19" x14ac:dyDescent="0.25">
      <c r="G480" s="3"/>
      <c r="H480" s="3"/>
      <c r="I480" s="3"/>
      <c r="J480" s="105"/>
      <c r="K480" s="3"/>
      <c r="L480" s="3"/>
      <c r="M480" s="3"/>
      <c r="N480" s="3"/>
      <c r="O480" s="3"/>
      <c r="P480" s="3"/>
      <c r="Q480" s="3"/>
      <c r="R480" s="3"/>
      <c r="S480" s="3"/>
    </row>
    <row r="481" spans="7:19" x14ac:dyDescent="0.25">
      <c r="G481" s="3"/>
      <c r="H481" s="3"/>
      <c r="I481" s="3"/>
      <c r="J481" s="105"/>
      <c r="K481" s="3"/>
      <c r="L481" s="3"/>
      <c r="M481" s="3"/>
      <c r="N481" s="3"/>
      <c r="O481" s="3"/>
      <c r="P481" s="3"/>
      <c r="Q481" s="3"/>
      <c r="R481" s="3"/>
      <c r="S481" s="3"/>
    </row>
    <row r="482" spans="7:19" x14ac:dyDescent="0.25">
      <c r="G482" s="3"/>
      <c r="H482" s="3"/>
      <c r="I482" s="3"/>
      <c r="J482" s="105"/>
      <c r="K482" s="3"/>
      <c r="L482" s="3"/>
      <c r="M482" s="3"/>
      <c r="N482" s="3"/>
      <c r="O482" s="3"/>
      <c r="P482" s="3"/>
      <c r="Q482" s="3"/>
      <c r="R482" s="3"/>
      <c r="S482" s="3"/>
    </row>
    <row r="483" spans="7:19" x14ac:dyDescent="0.25">
      <c r="G483" s="3"/>
      <c r="H483" s="3"/>
      <c r="I483" s="3"/>
      <c r="J483" s="105"/>
      <c r="K483" s="3"/>
      <c r="L483" s="3"/>
      <c r="M483" s="3"/>
      <c r="N483" s="3"/>
      <c r="O483" s="3"/>
      <c r="P483" s="3"/>
      <c r="Q483" s="3"/>
      <c r="R483" s="3"/>
      <c r="S483" s="3"/>
    </row>
    <row r="484" spans="7:19" x14ac:dyDescent="0.25">
      <c r="G484" s="3"/>
      <c r="H484" s="3"/>
      <c r="I484" s="3"/>
      <c r="J484" s="105"/>
      <c r="K484" s="3"/>
      <c r="L484" s="3"/>
      <c r="M484" s="3"/>
      <c r="N484" s="3"/>
      <c r="O484" s="3"/>
      <c r="P484" s="3"/>
      <c r="Q484" s="3"/>
      <c r="R484" s="3"/>
      <c r="S484" s="3"/>
    </row>
    <row r="485" spans="7:19" x14ac:dyDescent="0.25">
      <c r="G485" s="3"/>
      <c r="H485" s="3"/>
      <c r="I485" s="3"/>
      <c r="J485" s="105"/>
      <c r="K485" s="3"/>
      <c r="L485" s="3"/>
      <c r="M485" s="3"/>
      <c r="N485" s="3"/>
      <c r="O485" s="3"/>
      <c r="P485" s="3"/>
      <c r="Q485" s="3"/>
      <c r="R485" s="3"/>
      <c r="S485" s="3"/>
    </row>
    <row r="486" spans="7:19" x14ac:dyDescent="0.25">
      <c r="G486" s="3"/>
      <c r="H486" s="3"/>
      <c r="I486" s="3"/>
      <c r="J486" s="105"/>
      <c r="K486" s="3"/>
      <c r="L486" s="3"/>
      <c r="M486" s="3"/>
      <c r="N486" s="3"/>
      <c r="O486" s="3"/>
      <c r="P486" s="3"/>
      <c r="Q486" s="3"/>
      <c r="R486" s="3"/>
      <c r="S486" s="3"/>
    </row>
    <row r="487" spans="7:19" x14ac:dyDescent="0.25">
      <c r="G487" s="3"/>
      <c r="H487" s="3"/>
      <c r="I487" s="3"/>
      <c r="J487" s="105"/>
      <c r="K487" s="3"/>
      <c r="L487" s="3"/>
      <c r="M487" s="3"/>
      <c r="N487" s="3"/>
      <c r="O487" s="3"/>
      <c r="P487" s="3"/>
      <c r="Q487" s="3"/>
      <c r="R487" s="3"/>
      <c r="S487" s="3"/>
    </row>
    <row r="488" spans="7:19" x14ac:dyDescent="0.25">
      <c r="G488" s="3"/>
      <c r="H488" s="3"/>
      <c r="I488" s="3"/>
      <c r="J488" s="105"/>
      <c r="K488" s="3"/>
      <c r="L488" s="3"/>
      <c r="M488" s="3"/>
      <c r="N488" s="3"/>
      <c r="O488" s="3"/>
      <c r="P488" s="3"/>
      <c r="Q488" s="3"/>
      <c r="R488" s="3"/>
      <c r="S488" s="3"/>
    </row>
    <row r="489" spans="7:19" x14ac:dyDescent="0.25">
      <c r="G489" s="3"/>
      <c r="H489" s="3"/>
      <c r="I489" s="3"/>
      <c r="J489" s="105"/>
      <c r="K489" s="3"/>
      <c r="L489" s="3"/>
      <c r="M489" s="3"/>
      <c r="N489" s="3"/>
      <c r="O489" s="3"/>
      <c r="P489" s="3"/>
      <c r="Q489" s="3"/>
      <c r="R489" s="3"/>
      <c r="S489" s="3"/>
    </row>
    <row r="490" spans="7:19" x14ac:dyDescent="0.25">
      <c r="G490" s="3"/>
      <c r="H490" s="3"/>
      <c r="I490" s="3"/>
      <c r="J490" s="105"/>
      <c r="K490" s="3"/>
      <c r="L490" s="3"/>
      <c r="M490" s="3"/>
      <c r="N490" s="3"/>
      <c r="O490" s="3"/>
      <c r="P490" s="3"/>
      <c r="Q490" s="3"/>
      <c r="R490" s="3"/>
      <c r="S490" s="3"/>
    </row>
    <row r="491" spans="7:19" x14ac:dyDescent="0.25">
      <c r="G491" s="3"/>
      <c r="H491" s="3"/>
      <c r="I491" s="3"/>
      <c r="J491" s="105"/>
      <c r="K491" s="3"/>
      <c r="L491" s="3"/>
      <c r="M491" s="3"/>
      <c r="N491" s="3"/>
      <c r="O491" s="3"/>
      <c r="P491" s="3"/>
      <c r="Q491" s="3"/>
      <c r="R491" s="3"/>
      <c r="S491" s="3"/>
    </row>
    <row r="492" spans="7:19" x14ac:dyDescent="0.25">
      <c r="G492" s="3"/>
      <c r="H492" s="3"/>
      <c r="I492" s="3"/>
      <c r="J492" s="105"/>
      <c r="K492" s="3"/>
      <c r="L492" s="3"/>
      <c r="M492" s="3"/>
      <c r="N492" s="3"/>
      <c r="O492" s="3"/>
      <c r="P492" s="3"/>
      <c r="Q492" s="3"/>
      <c r="R492" s="3"/>
      <c r="S492" s="3"/>
    </row>
    <row r="493" spans="7:19" x14ac:dyDescent="0.25">
      <c r="G493" s="3"/>
      <c r="H493" s="3"/>
      <c r="I493" s="3"/>
      <c r="J493" s="105"/>
      <c r="K493" s="3"/>
      <c r="L493" s="3"/>
      <c r="M493" s="3"/>
      <c r="N493" s="3"/>
      <c r="O493" s="3"/>
      <c r="P493" s="3"/>
      <c r="Q493" s="3"/>
      <c r="R493" s="3"/>
      <c r="S493" s="3"/>
    </row>
    <row r="494" spans="7:19" x14ac:dyDescent="0.25">
      <c r="G494" s="3"/>
      <c r="H494" s="3"/>
      <c r="I494" s="3"/>
      <c r="J494" s="105"/>
      <c r="K494" s="3"/>
      <c r="L494" s="3"/>
      <c r="M494" s="3"/>
      <c r="N494" s="3"/>
      <c r="O494" s="3"/>
      <c r="P494" s="3"/>
      <c r="Q494" s="3"/>
      <c r="R494" s="3"/>
      <c r="S494" s="3"/>
    </row>
    <row r="495" spans="7:19" x14ac:dyDescent="0.25">
      <c r="G495" s="3"/>
      <c r="H495" s="3"/>
      <c r="I495" s="3"/>
      <c r="J495" s="105"/>
      <c r="K495" s="3"/>
      <c r="L495" s="3"/>
      <c r="M495" s="3"/>
      <c r="N495" s="3"/>
      <c r="O495" s="3"/>
      <c r="P495" s="3"/>
      <c r="Q495" s="3"/>
      <c r="R495" s="3"/>
      <c r="S495" s="3"/>
    </row>
    <row r="496" spans="7:19" x14ac:dyDescent="0.25">
      <c r="G496" s="3"/>
      <c r="H496" s="3"/>
      <c r="I496" s="3"/>
      <c r="J496" s="105"/>
      <c r="K496" s="3"/>
      <c r="L496" s="3"/>
      <c r="M496" s="3"/>
      <c r="N496" s="3"/>
      <c r="O496" s="3"/>
      <c r="P496" s="3"/>
      <c r="Q496" s="3"/>
      <c r="R496" s="3"/>
      <c r="S496" s="3"/>
    </row>
    <row r="497" spans="7:19" x14ac:dyDescent="0.25">
      <c r="G497" s="3"/>
      <c r="H497" s="3"/>
      <c r="I497" s="3"/>
      <c r="J497" s="105"/>
      <c r="K497" s="3"/>
      <c r="L497" s="3"/>
      <c r="M497" s="3"/>
      <c r="N497" s="3"/>
      <c r="O497" s="3"/>
      <c r="P497" s="3"/>
      <c r="Q497" s="3"/>
      <c r="R497" s="3"/>
      <c r="S497" s="3"/>
    </row>
    <row r="498" spans="7:19" x14ac:dyDescent="0.25">
      <c r="G498" s="3"/>
      <c r="H498" s="3"/>
      <c r="I498" s="3"/>
      <c r="J498" s="105"/>
      <c r="K498" s="3"/>
      <c r="L498" s="3"/>
      <c r="M498" s="3"/>
      <c r="N498" s="3"/>
      <c r="O498" s="3"/>
      <c r="P498" s="3"/>
      <c r="Q498" s="3"/>
      <c r="R498" s="3"/>
      <c r="S498" s="3"/>
    </row>
    <row r="499" spans="7:19" x14ac:dyDescent="0.25">
      <c r="G499" s="3"/>
      <c r="H499" s="3"/>
      <c r="I499" s="3"/>
      <c r="J499" s="105"/>
      <c r="K499" s="3"/>
      <c r="L499" s="3"/>
      <c r="M499" s="3"/>
      <c r="N499" s="3"/>
      <c r="O499" s="3"/>
      <c r="P499" s="3"/>
      <c r="Q499" s="3"/>
      <c r="R499" s="3"/>
      <c r="S499" s="3"/>
    </row>
    <row r="500" spans="7:19" x14ac:dyDescent="0.25">
      <c r="G500" s="3"/>
      <c r="H500" s="3"/>
      <c r="I500" s="3"/>
      <c r="J500" s="105"/>
      <c r="K500" s="3"/>
      <c r="L500" s="3"/>
      <c r="M500" s="3"/>
      <c r="N500" s="3"/>
      <c r="O500" s="3"/>
      <c r="P500" s="3"/>
      <c r="Q500" s="3"/>
      <c r="R500" s="3"/>
      <c r="S500" s="3"/>
    </row>
    <row r="501" spans="7:19" x14ac:dyDescent="0.25">
      <c r="G501" s="3"/>
      <c r="H501" s="3"/>
      <c r="I501" s="3"/>
      <c r="J501" s="105"/>
      <c r="K501" s="3"/>
      <c r="L501" s="3"/>
      <c r="M501" s="3"/>
      <c r="N501" s="3"/>
      <c r="O501" s="3"/>
      <c r="P501" s="3"/>
      <c r="Q501" s="3"/>
      <c r="R501" s="3"/>
      <c r="S501" s="3"/>
    </row>
    <row r="502" spans="7:19" x14ac:dyDescent="0.25">
      <c r="G502" s="3"/>
      <c r="H502" s="3"/>
      <c r="I502" s="3"/>
      <c r="J502" s="105"/>
      <c r="K502" s="3"/>
      <c r="L502" s="3"/>
      <c r="M502" s="3"/>
      <c r="N502" s="3"/>
      <c r="O502" s="3"/>
      <c r="P502" s="3"/>
      <c r="Q502" s="3"/>
      <c r="R502" s="3"/>
      <c r="S502" s="3"/>
    </row>
    <row r="503" spans="7:19" x14ac:dyDescent="0.25">
      <c r="G503" s="3"/>
      <c r="H503" s="3"/>
      <c r="I503" s="3"/>
      <c r="J503" s="105"/>
      <c r="K503" s="3"/>
      <c r="L503" s="3"/>
      <c r="M503" s="3"/>
      <c r="N503" s="3"/>
      <c r="O503" s="3"/>
      <c r="P503" s="3"/>
      <c r="Q503" s="3"/>
      <c r="R503" s="3"/>
      <c r="S503" s="3"/>
    </row>
    <row r="504" spans="7:19" x14ac:dyDescent="0.25">
      <c r="G504" s="3"/>
      <c r="H504" s="3"/>
      <c r="I504" s="3"/>
      <c r="J504" s="105"/>
      <c r="K504" s="3"/>
      <c r="L504" s="3"/>
      <c r="M504" s="3"/>
      <c r="N504" s="3"/>
      <c r="O504" s="3"/>
      <c r="P504" s="3"/>
      <c r="Q504" s="3"/>
      <c r="R504" s="3"/>
      <c r="S504" s="3"/>
    </row>
    <row r="505" spans="7:19" x14ac:dyDescent="0.25">
      <c r="G505" s="3"/>
      <c r="H505" s="3"/>
      <c r="I505" s="3"/>
      <c r="J505" s="105"/>
      <c r="K505" s="3"/>
      <c r="L505" s="3"/>
      <c r="M505" s="3"/>
      <c r="N505" s="3"/>
      <c r="O505" s="3"/>
      <c r="P505" s="3"/>
      <c r="Q505" s="3"/>
      <c r="R505" s="3"/>
      <c r="S505" s="3"/>
    </row>
    <row r="506" spans="7:19" x14ac:dyDescent="0.25">
      <c r="G506" s="3"/>
      <c r="H506" s="3"/>
      <c r="I506" s="3"/>
      <c r="J506" s="105"/>
      <c r="K506" s="3"/>
      <c r="L506" s="3"/>
      <c r="M506" s="3"/>
      <c r="N506" s="3"/>
      <c r="O506" s="3"/>
      <c r="P506" s="3"/>
      <c r="Q506" s="3"/>
      <c r="R506" s="3"/>
      <c r="S506" s="3"/>
    </row>
    <row r="507" spans="7:19" x14ac:dyDescent="0.25">
      <c r="G507" s="3"/>
      <c r="H507" s="3"/>
      <c r="I507" s="3"/>
      <c r="J507" s="105"/>
      <c r="K507" s="3"/>
      <c r="L507" s="3"/>
      <c r="M507" s="3"/>
      <c r="N507" s="3"/>
      <c r="O507" s="3"/>
      <c r="P507" s="3"/>
      <c r="Q507" s="3"/>
      <c r="R507" s="3"/>
      <c r="S507" s="3"/>
    </row>
    <row r="508" spans="7:19" x14ac:dyDescent="0.25">
      <c r="G508" s="3"/>
      <c r="H508" s="3"/>
      <c r="I508" s="3"/>
      <c r="J508" s="105"/>
      <c r="K508" s="3"/>
      <c r="L508" s="3"/>
      <c r="M508" s="3"/>
      <c r="N508" s="3"/>
      <c r="O508" s="3"/>
      <c r="P508" s="3"/>
      <c r="Q508" s="3"/>
      <c r="R508" s="3"/>
      <c r="S508" s="3"/>
    </row>
    <row r="509" spans="7:19" x14ac:dyDescent="0.25">
      <c r="G509" s="3"/>
      <c r="H509" s="3"/>
      <c r="I509" s="3"/>
      <c r="J509" s="105"/>
      <c r="K509" s="3"/>
      <c r="L509" s="3"/>
      <c r="M509" s="3"/>
      <c r="N509" s="3"/>
      <c r="O509" s="3"/>
      <c r="P509" s="3"/>
      <c r="Q509" s="3"/>
      <c r="R509" s="3"/>
      <c r="S509" s="3"/>
    </row>
    <row r="510" spans="7:19" x14ac:dyDescent="0.25">
      <c r="G510" s="3"/>
      <c r="H510" s="3"/>
      <c r="I510" s="3"/>
      <c r="J510" s="105"/>
      <c r="K510" s="3"/>
      <c r="L510" s="3"/>
      <c r="M510" s="3"/>
      <c r="N510" s="3"/>
      <c r="O510" s="3"/>
      <c r="P510" s="3"/>
      <c r="Q510" s="3"/>
      <c r="R510" s="3"/>
      <c r="S510" s="3"/>
    </row>
    <row r="511" spans="7:19" x14ac:dyDescent="0.25">
      <c r="G511" s="3"/>
      <c r="H511" s="3"/>
      <c r="I511" s="3"/>
      <c r="J511" s="105"/>
      <c r="K511" s="3"/>
      <c r="L511" s="3"/>
      <c r="M511" s="3"/>
      <c r="N511" s="3"/>
      <c r="O511" s="3"/>
      <c r="P511" s="3"/>
      <c r="Q511" s="3"/>
      <c r="R511" s="3"/>
      <c r="S511" s="3"/>
    </row>
    <row r="512" spans="7:19" x14ac:dyDescent="0.25">
      <c r="G512" s="3"/>
      <c r="H512" s="3"/>
      <c r="I512" s="3"/>
      <c r="J512" s="105"/>
      <c r="K512" s="3"/>
      <c r="L512" s="3"/>
      <c r="M512" s="3"/>
      <c r="N512" s="3"/>
      <c r="O512" s="3"/>
      <c r="P512" s="3"/>
      <c r="Q512" s="3"/>
      <c r="R512" s="3"/>
      <c r="S512" s="3"/>
    </row>
    <row r="513" spans="7:19" x14ac:dyDescent="0.25">
      <c r="G513" s="3"/>
      <c r="H513" s="3"/>
      <c r="I513" s="3"/>
      <c r="J513" s="105"/>
      <c r="K513" s="3"/>
      <c r="L513" s="3"/>
      <c r="M513" s="3"/>
      <c r="N513" s="3"/>
      <c r="O513" s="3"/>
      <c r="P513" s="3"/>
      <c r="Q513" s="3"/>
      <c r="R513" s="3"/>
      <c r="S513" s="3"/>
    </row>
    <row r="514" spans="7:19" x14ac:dyDescent="0.25">
      <c r="G514" s="3"/>
      <c r="H514" s="3"/>
      <c r="I514" s="3"/>
      <c r="J514" s="105"/>
      <c r="K514" s="3"/>
      <c r="L514" s="3"/>
      <c r="M514" s="3"/>
      <c r="N514" s="3"/>
      <c r="O514" s="3"/>
      <c r="P514" s="3"/>
      <c r="Q514" s="3"/>
      <c r="R514" s="3"/>
      <c r="S514" s="3"/>
    </row>
    <row r="515" spans="7:19" x14ac:dyDescent="0.25">
      <c r="G515" s="3"/>
      <c r="H515" s="3"/>
      <c r="I515" s="3"/>
      <c r="J515" s="105"/>
      <c r="K515" s="3"/>
      <c r="L515" s="3"/>
      <c r="M515" s="3"/>
      <c r="N515" s="3"/>
      <c r="O515" s="3"/>
      <c r="P515" s="3"/>
      <c r="Q515" s="3"/>
      <c r="R515" s="3"/>
      <c r="S515" s="3"/>
    </row>
    <row r="516" spans="7:19" x14ac:dyDescent="0.25">
      <c r="G516" s="3"/>
      <c r="H516" s="3"/>
      <c r="I516" s="3"/>
      <c r="J516" s="105"/>
      <c r="K516" s="3"/>
      <c r="L516" s="3"/>
      <c r="M516" s="3"/>
      <c r="N516" s="3"/>
      <c r="O516" s="3"/>
      <c r="P516" s="3"/>
      <c r="Q516" s="3"/>
      <c r="R516" s="3"/>
      <c r="S516" s="3"/>
    </row>
    <row r="517" spans="7:19" x14ac:dyDescent="0.25">
      <c r="G517" s="3"/>
      <c r="H517" s="3"/>
      <c r="I517" s="3"/>
      <c r="J517" s="105"/>
      <c r="K517" s="3"/>
      <c r="L517" s="3"/>
      <c r="M517" s="3"/>
      <c r="N517" s="3"/>
      <c r="O517" s="3"/>
      <c r="P517" s="3"/>
      <c r="Q517" s="3"/>
      <c r="R517" s="3"/>
      <c r="S517" s="3"/>
    </row>
    <row r="518" spans="7:19" x14ac:dyDescent="0.25">
      <c r="G518" s="3"/>
      <c r="H518" s="3"/>
      <c r="I518" s="3"/>
      <c r="J518" s="105"/>
      <c r="K518" s="3"/>
      <c r="L518" s="3"/>
      <c r="M518" s="3"/>
      <c r="N518" s="3"/>
      <c r="O518" s="3"/>
      <c r="P518" s="3"/>
      <c r="Q518" s="3"/>
      <c r="R518" s="3"/>
      <c r="S518" s="3"/>
    </row>
    <row r="519" spans="7:19" x14ac:dyDescent="0.25">
      <c r="G519" s="3"/>
      <c r="H519" s="3"/>
      <c r="I519" s="3"/>
      <c r="J519" s="105"/>
      <c r="K519" s="3"/>
      <c r="L519" s="3"/>
      <c r="M519" s="3"/>
      <c r="N519" s="3"/>
      <c r="O519" s="3"/>
      <c r="P519" s="3"/>
      <c r="Q519" s="3"/>
      <c r="R519" s="3"/>
      <c r="S519" s="3"/>
    </row>
    <row r="520" spans="7:19" x14ac:dyDescent="0.25">
      <c r="G520" s="3"/>
      <c r="H520" s="3"/>
      <c r="I520" s="3"/>
      <c r="J520" s="105"/>
      <c r="K520" s="3"/>
      <c r="L520" s="3"/>
      <c r="M520" s="3"/>
      <c r="N520" s="3"/>
      <c r="O520" s="3"/>
      <c r="P520" s="3"/>
      <c r="Q520" s="3"/>
      <c r="R520" s="3"/>
      <c r="S520" s="3"/>
    </row>
    <row r="521" spans="7:19" x14ac:dyDescent="0.25">
      <c r="G521" s="3"/>
      <c r="H521" s="3"/>
      <c r="I521" s="3"/>
      <c r="J521" s="105"/>
      <c r="K521" s="3"/>
      <c r="L521" s="3"/>
      <c r="M521" s="3"/>
      <c r="N521" s="3"/>
      <c r="O521" s="3"/>
      <c r="P521" s="3"/>
      <c r="Q521" s="3"/>
      <c r="R521" s="3"/>
      <c r="S521" s="3"/>
    </row>
    <row r="522" spans="7:19" x14ac:dyDescent="0.25">
      <c r="G522" s="3"/>
      <c r="H522" s="3"/>
      <c r="I522" s="3"/>
      <c r="J522" s="105"/>
      <c r="K522" s="3"/>
      <c r="L522" s="3"/>
      <c r="M522" s="3"/>
      <c r="N522" s="3"/>
      <c r="O522" s="3"/>
      <c r="P522" s="3"/>
      <c r="Q522" s="3"/>
      <c r="R522" s="3"/>
      <c r="S522" s="3"/>
    </row>
    <row r="523" spans="7:19" x14ac:dyDescent="0.25">
      <c r="G523" s="3"/>
      <c r="H523" s="3"/>
      <c r="I523" s="3"/>
      <c r="J523" s="105"/>
      <c r="K523" s="3"/>
      <c r="L523" s="3"/>
      <c r="M523" s="3"/>
      <c r="N523" s="3"/>
      <c r="O523" s="3"/>
      <c r="P523" s="3"/>
      <c r="Q523" s="3"/>
      <c r="R523" s="3"/>
      <c r="S523" s="3"/>
    </row>
    <row r="524" spans="7:19" x14ac:dyDescent="0.25">
      <c r="G524" s="3"/>
      <c r="H524" s="3"/>
      <c r="I524" s="3"/>
      <c r="J524" s="105"/>
      <c r="K524" s="3"/>
      <c r="L524" s="3"/>
      <c r="M524" s="3"/>
      <c r="N524" s="3"/>
      <c r="O524" s="3"/>
      <c r="P524" s="3"/>
      <c r="Q524" s="3"/>
      <c r="R524" s="3"/>
      <c r="S524" s="3"/>
    </row>
    <row r="525" spans="7:19" x14ac:dyDescent="0.25">
      <c r="G525" s="3"/>
      <c r="H525" s="3"/>
      <c r="I525" s="3"/>
      <c r="J525" s="105"/>
      <c r="K525" s="3"/>
      <c r="L525" s="3"/>
      <c r="M525" s="3"/>
      <c r="N525" s="3"/>
      <c r="O525" s="3"/>
      <c r="P525" s="3"/>
      <c r="Q525" s="3"/>
      <c r="R525" s="3"/>
      <c r="S525" s="3"/>
    </row>
    <row r="526" spans="7:19" x14ac:dyDescent="0.25">
      <c r="G526" s="3"/>
      <c r="H526" s="3"/>
      <c r="I526" s="3"/>
      <c r="J526" s="105"/>
      <c r="K526" s="3"/>
      <c r="L526" s="3"/>
      <c r="M526" s="3"/>
      <c r="N526" s="3"/>
      <c r="O526" s="3"/>
      <c r="P526" s="3"/>
      <c r="Q526" s="3"/>
      <c r="R526" s="3"/>
      <c r="S526" s="3"/>
    </row>
    <row r="527" spans="7:19" x14ac:dyDescent="0.25">
      <c r="G527" s="3"/>
      <c r="H527" s="3"/>
      <c r="I527" s="3"/>
      <c r="J527" s="105"/>
      <c r="K527" s="3"/>
      <c r="L527" s="3"/>
      <c r="M527" s="3"/>
      <c r="N527" s="3"/>
      <c r="O527" s="3"/>
      <c r="P527" s="3"/>
      <c r="Q527" s="3"/>
      <c r="R527" s="3"/>
      <c r="S527" s="3"/>
    </row>
    <row r="528" spans="7:19" x14ac:dyDescent="0.25">
      <c r="G528" s="3"/>
      <c r="H528" s="3"/>
      <c r="I528" s="3"/>
      <c r="J528" s="105"/>
      <c r="K528" s="3"/>
      <c r="L528" s="3"/>
      <c r="M528" s="3"/>
      <c r="N528" s="3"/>
      <c r="O528" s="3"/>
      <c r="P528" s="3"/>
      <c r="Q528" s="3"/>
      <c r="R528" s="3"/>
      <c r="S528" s="3"/>
    </row>
    <row r="529" spans="7:19" x14ac:dyDescent="0.25">
      <c r="G529" s="3"/>
      <c r="H529" s="3"/>
      <c r="I529" s="3"/>
      <c r="J529" s="105"/>
      <c r="K529" s="3"/>
      <c r="L529" s="3"/>
      <c r="M529" s="3"/>
      <c r="N529" s="3"/>
      <c r="O529" s="3"/>
      <c r="P529" s="3"/>
      <c r="Q529" s="3"/>
      <c r="R529" s="3"/>
      <c r="S529" s="3"/>
    </row>
    <row r="530" spans="7:19" x14ac:dyDescent="0.25">
      <c r="G530" s="3"/>
      <c r="H530" s="3"/>
      <c r="I530" s="3"/>
      <c r="J530" s="105"/>
      <c r="K530" s="3"/>
      <c r="L530" s="3"/>
      <c r="M530" s="3"/>
      <c r="N530" s="3"/>
      <c r="O530" s="3"/>
      <c r="P530" s="3"/>
      <c r="Q530" s="3"/>
      <c r="R530" s="3"/>
      <c r="S530" s="3"/>
    </row>
    <row r="531" spans="7:19" x14ac:dyDescent="0.25">
      <c r="G531" s="3"/>
      <c r="H531" s="3"/>
      <c r="I531" s="3"/>
      <c r="J531" s="105"/>
      <c r="K531" s="3"/>
      <c r="L531" s="3"/>
      <c r="M531" s="3"/>
      <c r="N531" s="3"/>
      <c r="O531" s="3"/>
      <c r="P531" s="3"/>
      <c r="Q531" s="3"/>
      <c r="R531" s="3"/>
      <c r="S531" s="3"/>
    </row>
    <row r="532" spans="7:19" x14ac:dyDescent="0.25">
      <c r="G532" s="3"/>
      <c r="H532" s="3"/>
      <c r="I532" s="3"/>
      <c r="J532" s="105"/>
      <c r="K532" s="3"/>
      <c r="L532" s="3"/>
      <c r="M532" s="3"/>
      <c r="N532" s="3"/>
      <c r="O532" s="3"/>
      <c r="P532" s="3"/>
      <c r="Q532" s="3"/>
      <c r="R532" s="3"/>
      <c r="S532" s="3"/>
    </row>
    <row r="533" spans="7:19" x14ac:dyDescent="0.25">
      <c r="G533" s="3"/>
      <c r="H533" s="3"/>
      <c r="I533" s="3"/>
      <c r="J533" s="105"/>
      <c r="K533" s="3"/>
      <c r="L533" s="3"/>
      <c r="M533" s="3"/>
      <c r="N533" s="3"/>
      <c r="O533" s="3"/>
      <c r="P533" s="3"/>
      <c r="Q533" s="3"/>
      <c r="R533" s="3"/>
      <c r="S533" s="3"/>
    </row>
    <row r="534" spans="7:19" x14ac:dyDescent="0.25">
      <c r="G534" s="3"/>
      <c r="H534" s="3"/>
      <c r="I534" s="3"/>
      <c r="J534" s="105"/>
      <c r="K534" s="3"/>
      <c r="L534" s="3"/>
      <c r="M534" s="3"/>
      <c r="N534" s="3"/>
      <c r="O534" s="3"/>
      <c r="P534" s="3"/>
      <c r="Q534" s="3"/>
      <c r="R534" s="3"/>
      <c r="S534" s="3"/>
    </row>
    <row r="535" spans="7:19" x14ac:dyDescent="0.25">
      <c r="G535" s="3"/>
      <c r="H535" s="3"/>
      <c r="I535" s="3"/>
      <c r="J535" s="105"/>
      <c r="K535" s="3"/>
      <c r="L535" s="3"/>
      <c r="M535" s="3"/>
      <c r="N535" s="3"/>
      <c r="O535" s="3"/>
      <c r="P535" s="3"/>
      <c r="Q535" s="3"/>
      <c r="R535" s="3"/>
      <c r="S535" s="3"/>
    </row>
    <row r="536" spans="7:19" x14ac:dyDescent="0.25">
      <c r="G536" s="3"/>
      <c r="H536" s="3"/>
      <c r="I536" s="3"/>
      <c r="J536" s="105"/>
      <c r="K536" s="3"/>
      <c r="L536" s="3"/>
      <c r="M536" s="3"/>
      <c r="N536" s="3"/>
      <c r="O536" s="3"/>
      <c r="P536" s="3"/>
      <c r="Q536" s="3"/>
      <c r="R536" s="3"/>
      <c r="S536" s="3"/>
    </row>
    <row r="537" spans="7:19" x14ac:dyDescent="0.25">
      <c r="G537" s="3"/>
      <c r="H537" s="3"/>
      <c r="I537" s="3"/>
      <c r="J537" s="105"/>
      <c r="K537" s="3"/>
      <c r="L537" s="3"/>
      <c r="M537" s="3"/>
      <c r="N537" s="3"/>
      <c r="O537" s="3"/>
      <c r="P537" s="3"/>
      <c r="Q537" s="3"/>
      <c r="R537" s="3"/>
      <c r="S537" s="3"/>
    </row>
    <row r="538" spans="7:19" x14ac:dyDescent="0.25">
      <c r="G538" s="3"/>
      <c r="H538" s="3"/>
      <c r="I538" s="3"/>
      <c r="J538" s="105"/>
      <c r="K538" s="3"/>
      <c r="L538" s="3"/>
      <c r="M538" s="3"/>
      <c r="N538" s="3"/>
      <c r="O538" s="3"/>
      <c r="P538" s="3"/>
      <c r="Q538" s="3"/>
      <c r="R538" s="3"/>
      <c r="S538" s="3"/>
    </row>
    <row r="539" spans="7:19" x14ac:dyDescent="0.25">
      <c r="G539" s="3"/>
      <c r="H539" s="3"/>
      <c r="I539" s="3"/>
      <c r="J539" s="105"/>
      <c r="K539" s="3"/>
      <c r="L539" s="3"/>
      <c r="M539" s="3"/>
      <c r="N539" s="3"/>
      <c r="O539" s="3"/>
      <c r="P539" s="3"/>
      <c r="Q539" s="3"/>
      <c r="R539" s="3"/>
      <c r="S539" s="3"/>
    </row>
    <row r="540" spans="7:19" x14ac:dyDescent="0.25">
      <c r="G540" s="3"/>
      <c r="H540" s="3"/>
      <c r="I540" s="3"/>
      <c r="J540" s="105"/>
      <c r="K540" s="3"/>
      <c r="L540" s="3"/>
      <c r="M540" s="3"/>
      <c r="N540" s="3"/>
      <c r="O540" s="3"/>
      <c r="P540" s="3"/>
      <c r="Q540" s="3"/>
      <c r="R540" s="3"/>
      <c r="S540" s="3"/>
    </row>
    <row r="541" spans="7:19" x14ac:dyDescent="0.25">
      <c r="G541" s="3"/>
      <c r="H541" s="3"/>
      <c r="I541" s="3"/>
      <c r="J541" s="105"/>
      <c r="K541" s="3"/>
      <c r="L541" s="3"/>
      <c r="M541" s="3"/>
      <c r="N541" s="3"/>
      <c r="O541" s="3"/>
      <c r="P541" s="3"/>
      <c r="Q541" s="3"/>
      <c r="R541" s="3"/>
      <c r="S541" s="3"/>
    </row>
    <row r="542" spans="7:19" x14ac:dyDescent="0.25">
      <c r="G542" s="3"/>
      <c r="H542" s="3"/>
      <c r="I542" s="3"/>
      <c r="J542" s="105"/>
      <c r="K542" s="3"/>
      <c r="L542" s="3"/>
      <c r="M542" s="3"/>
      <c r="N542" s="3"/>
      <c r="O542" s="3"/>
      <c r="P542" s="3"/>
      <c r="Q542" s="3"/>
      <c r="R542" s="3"/>
      <c r="S542" s="3"/>
    </row>
    <row r="543" spans="7:19" x14ac:dyDescent="0.25">
      <c r="G543" s="3"/>
      <c r="H543" s="3"/>
      <c r="I543" s="3"/>
      <c r="J543" s="105"/>
      <c r="K543" s="3"/>
      <c r="L543" s="3"/>
      <c r="M543" s="3"/>
      <c r="N543" s="3"/>
      <c r="O543" s="3"/>
      <c r="P543" s="3"/>
      <c r="Q543" s="3"/>
      <c r="R543" s="3"/>
      <c r="S543" s="3"/>
    </row>
    <row r="544" spans="7:19" x14ac:dyDescent="0.25">
      <c r="G544" s="3"/>
      <c r="H544" s="3"/>
      <c r="I544" s="3"/>
      <c r="J544" s="105"/>
      <c r="K544" s="3"/>
      <c r="L544" s="3"/>
      <c r="M544" s="3"/>
      <c r="N544" s="3"/>
      <c r="O544" s="3"/>
      <c r="P544" s="3"/>
      <c r="Q544" s="3"/>
      <c r="R544" s="3"/>
      <c r="S544" s="3"/>
    </row>
    <row r="545" spans="7:19" x14ac:dyDescent="0.25">
      <c r="G545" s="3"/>
      <c r="H545" s="3"/>
      <c r="I545" s="3"/>
      <c r="J545" s="105"/>
      <c r="K545" s="3"/>
      <c r="L545" s="3"/>
      <c r="M545" s="3"/>
      <c r="N545" s="3"/>
      <c r="O545" s="3"/>
      <c r="P545" s="3"/>
      <c r="Q545" s="3"/>
      <c r="R545" s="3"/>
      <c r="S545" s="3"/>
    </row>
    <row r="546" spans="7:19" x14ac:dyDescent="0.25">
      <c r="G546" s="3"/>
      <c r="H546" s="3"/>
      <c r="I546" s="3"/>
      <c r="J546" s="105"/>
      <c r="K546" s="3"/>
      <c r="L546" s="3"/>
      <c r="M546" s="3"/>
      <c r="N546" s="3"/>
      <c r="O546" s="3"/>
      <c r="P546" s="3"/>
      <c r="Q546" s="3"/>
      <c r="R546" s="3"/>
      <c r="S546" s="3"/>
    </row>
    <row r="547" spans="7:19" x14ac:dyDescent="0.25">
      <c r="G547" s="3"/>
      <c r="H547" s="3"/>
      <c r="I547" s="3"/>
      <c r="J547" s="105"/>
      <c r="K547" s="3"/>
      <c r="L547" s="3"/>
      <c r="M547" s="3"/>
      <c r="N547" s="3"/>
      <c r="O547" s="3"/>
      <c r="P547" s="3"/>
      <c r="Q547" s="3"/>
      <c r="R547" s="3"/>
      <c r="S547" s="3"/>
    </row>
    <row r="548" spans="7:19" x14ac:dyDescent="0.25">
      <c r="G548" s="3"/>
      <c r="H548" s="3"/>
      <c r="I548" s="3"/>
      <c r="J548" s="105"/>
      <c r="K548" s="3"/>
      <c r="L548" s="3"/>
      <c r="M548" s="3"/>
      <c r="N548" s="3"/>
      <c r="O548" s="3"/>
      <c r="P548" s="3"/>
      <c r="Q548" s="3"/>
      <c r="R548" s="3"/>
      <c r="S548" s="3"/>
    </row>
    <row r="549" spans="7:19" x14ac:dyDescent="0.25">
      <c r="G549" s="3"/>
      <c r="H549" s="3"/>
      <c r="I549" s="3"/>
      <c r="J549" s="105"/>
      <c r="K549" s="3"/>
      <c r="L549" s="3"/>
      <c r="M549" s="3"/>
      <c r="N549" s="3"/>
      <c r="O549" s="3"/>
      <c r="P549" s="3"/>
      <c r="Q549" s="3"/>
      <c r="R549" s="3"/>
      <c r="S549" s="3"/>
    </row>
    <row r="550" spans="7:19" x14ac:dyDescent="0.25">
      <c r="G550" s="3"/>
      <c r="H550" s="3"/>
      <c r="I550" s="3"/>
      <c r="J550" s="105"/>
      <c r="K550" s="3"/>
      <c r="L550" s="3"/>
      <c r="M550" s="3"/>
      <c r="N550" s="3"/>
      <c r="O550" s="3"/>
      <c r="P550" s="3"/>
      <c r="Q550" s="3"/>
      <c r="R550" s="3"/>
      <c r="S550" s="3"/>
    </row>
    <row r="551" spans="7:19" x14ac:dyDescent="0.25">
      <c r="G551" s="3"/>
      <c r="H551" s="3"/>
      <c r="I551" s="3"/>
      <c r="J551" s="105"/>
      <c r="K551" s="3"/>
      <c r="L551" s="3"/>
      <c r="M551" s="3"/>
      <c r="N551" s="3"/>
      <c r="O551" s="3"/>
      <c r="P551" s="3"/>
      <c r="Q551" s="3"/>
      <c r="R551" s="3"/>
      <c r="S551" s="3"/>
    </row>
    <row r="552" spans="7:19" x14ac:dyDescent="0.25">
      <c r="G552" s="3"/>
      <c r="H552" s="3"/>
      <c r="I552" s="3"/>
      <c r="J552" s="105"/>
      <c r="K552" s="3"/>
      <c r="L552" s="3"/>
      <c r="M552" s="3"/>
      <c r="N552" s="3"/>
      <c r="O552" s="3"/>
      <c r="P552" s="3"/>
      <c r="Q552" s="3"/>
      <c r="R552" s="3"/>
      <c r="S552" s="3"/>
    </row>
    <row r="553" spans="7:19" x14ac:dyDescent="0.25">
      <c r="G553" s="3"/>
      <c r="H553" s="3"/>
      <c r="I553" s="3"/>
      <c r="J553" s="105"/>
      <c r="K553" s="3"/>
      <c r="L553" s="3"/>
      <c r="M553" s="3"/>
      <c r="N553" s="3"/>
      <c r="O553" s="3"/>
      <c r="P553" s="3"/>
      <c r="Q553" s="3"/>
      <c r="R553" s="3"/>
      <c r="S553" s="3"/>
    </row>
    <row r="554" spans="7:19" x14ac:dyDescent="0.25">
      <c r="G554" s="3"/>
      <c r="H554" s="3"/>
      <c r="I554" s="3"/>
      <c r="J554" s="105"/>
      <c r="K554" s="3"/>
      <c r="L554" s="3"/>
      <c r="M554" s="3"/>
      <c r="N554" s="3"/>
      <c r="O554" s="3"/>
      <c r="P554" s="3"/>
      <c r="Q554" s="3"/>
      <c r="R554" s="3"/>
      <c r="S554" s="3"/>
    </row>
    <row r="555" spans="7:19" x14ac:dyDescent="0.25">
      <c r="G555" s="3"/>
      <c r="H555" s="3"/>
      <c r="I555" s="3"/>
      <c r="J555" s="105"/>
      <c r="K555" s="3"/>
      <c r="L555" s="3"/>
      <c r="M555" s="3"/>
      <c r="N555" s="3"/>
      <c r="O555" s="3"/>
      <c r="P555" s="3"/>
      <c r="Q555" s="3"/>
      <c r="R555" s="3"/>
      <c r="S555" s="3"/>
    </row>
    <row r="556" spans="7:19" x14ac:dyDescent="0.25">
      <c r="G556" s="3"/>
      <c r="H556" s="3"/>
      <c r="I556" s="3"/>
      <c r="J556" s="105"/>
      <c r="K556" s="3"/>
      <c r="L556" s="3"/>
      <c r="M556" s="3"/>
      <c r="N556" s="3"/>
      <c r="O556" s="3"/>
      <c r="P556" s="3"/>
      <c r="Q556" s="3"/>
      <c r="R556" s="3"/>
      <c r="S556" s="3"/>
    </row>
    <row r="557" spans="7:19" x14ac:dyDescent="0.25">
      <c r="G557" s="3"/>
      <c r="H557" s="3"/>
      <c r="I557" s="3"/>
      <c r="J557" s="105"/>
      <c r="K557" s="3"/>
      <c r="L557" s="3"/>
      <c r="M557" s="3"/>
      <c r="N557" s="3"/>
      <c r="O557" s="3"/>
      <c r="P557" s="3"/>
      <c r="Q557" s="3"/>
      <c r="R557" s="3"/>
      <c r="S557" s="3"/>
    </row>
    <row r="558" spans="7:19" x14ac:dyDescent="0.25">
      <c r="G558" s="3"/>
      <c r="H558" s="3"/>
      <c r="I558" s="3"/>
      <c r="J558" s="105"/>
      <c r="K558" s="3"/>
      <c r="L558" s="3"/>
      <c r="M558" s="3"/>
      <c r="N558" s="3"/>
      <c r="O558" s="3"/>
      <c r="P558" s="3"/>
      <c r="Q558" s="3"/>
      <c r="R558" s="3"/>
      <c r="S558" s="3"/>
    </row>
    <row r="559" spans="7:19" x14ac:dyDescent="0.25">
      <c r="G559" s="3"/>
      <c r="H559" s="3"/>
      <c r="I559" s="3"/>
      <c r="J559" s="105"/>
      <c r="K559" s="3"/>
      <c r="L559" s="3"/>
      <c r="M559" s="3"/>
      <c r="N559" s="3"/>
      <c r="O559" s="3"/>
      <c r="P559" s="3"/>
      <c r="Q559" s="3"/>
      <c r="R559" s="3"/>
      <c r="S559" s="3"/>
    </row>
    <row r="560" spans="7:19" x14ac:dyDescent="0.25">
      <c r="G560" s="3"/>
      <c r="H560" s="3"/>
      <c r="I560" s="3"/>
      <c r="J560" s="105"/>
      <c r="K560" s="3"/>
      <c r="L560" s="3"/>
      <c r="M560" s="3"/>
      <c r="N560" s="3"/>
      <c r="O560" s="3"/>
      <c r="P560" s="3"/>
      <c r="Q560" s="3"/>
      <c r="R560" s="3"/>
      <c r="S560" s="3"/>
    </row>
    <row r="561" spans="7:19" x14ac:dyDescent="0.25">
      <c r="G561" s="3"/>
      <c r="H561" s="3"/>
      <c r="I561" s="3"/>
      <c r="J561" s="105"/>
      <c r="K561" s="3"/>
      <c r="L561" s="3"/>
      <c r="M561" s="3"/>
      <c r="N561" s="3"/>
      <c r="O561" s="3"/>
      <c r="P561" s="3"/>
      <c r="Q561" s="3"/>
      <c r="R561" s="3"/>
      <c r="S561" s="3"/>
    </row>
    <row r="562" spans="7:19" x14ac:dyDescent="0.25">
      <c r="G562" s="3"/>
      <c r="H562" s="3"/>
      <c r="I562" s="3"/>
      <c r="J562" s="105"/>
      <c r="K562" s="3"/>
      <c r="L562" s="3"/>
      <c r="M562" s="3"/>
      <c r="N562" s="3"/>
      <c r="O562" s="3"/>
      <c r="P562" s="3"/>
      <c r="Q562" s="3"/>
      <c r="R562" s="3"/>
      <c r="S562" s="3"/>
    </row>
    <row r="563" spans="7:19" x14ac:dyDescent="0.25">
      <c r="G563" s="3"/>
      <c r="H563" s="3"/>
      <c r="I563" s="3"/>
      <c r="J563" s="105"/>
      <c r="K563" s="3"/>
      <c r="L563" s="3"/>
      <c r="M563" s="3"/>
      <c r="N563" s="3"/>
      <c r="O563" s="3"/>
      <c r="P563" s="3"/>
      <c r="Q563" s="3"/>
      <c r="R563" s="3"/>
      <c r="S563" s="3"/>
    </row>
    <row r="564" spans="7:19" x14ac:dyDescent="0.25">
      <c r="G564" s="3"/>
      <c r="H564" s="3"/>
      <c r="I564" s="3"/>
      <c r="J564" s="105"/>
      <c r="K564" s="3"/>
      <c r="L564" s="3"/>
      <c r="M564" s="3"/>
      <c r="N564" s="3"/>
      <c r="O564" s="3"/>
      <c r="P564" s="3"/>
      <c r="Q564" s="3"/>
      <c r="R564" s="3"/>
      <c r="S564" s="3"/>
    </row>
    <row r="565" spans="7:19" x14ac:dyDescent="0.25">
      <c r="G565" s="3"/>
      <c r="H565" s="3"/>
      <c r="I565" s="3"/>
      <c r="J565" s="105"/>
      <c r="K565" s="3"/>
      <c r="L565" s="3"/>
      <c r="M565" s="3"/>
      <c r="N565" s="3"/>
      <c r="O565" s="3"/>
      <c r="P565" s="3"/>
      <c r="Q565" s="3"/>
      <c r="R565" s="3"/>
      <c r="S565" s="3"/>
    </row>
    <row r="566" spans="7:19" x14ac:dyDescent="0.25">
      <c r="G566" s="3"/>
      <c r="H566" s="3"/>
      <c r="I566" s="3"/>
      <c r="J566" s="105"/>
      <c r="K566" s="3"/>
      <c r="L566" s="3"/>
      <c r="M566" s="3"/>
      <c r="N566" s="3"/>
      <c r="O566" s="3"/>
      <c r="P566" s="3"/>
      <c r="Q566" s="3"/>
      <c r="R566" s="3"/>
      <c r="S566" s="3"/>
    </row>
    <row r="567" spans="7:19" x14ac:dyDescent="0.25">
      <c r="G567" s="3"/>
      <c r="H567" s="3"/>
      <c r="I567" s="3"/>
      <c r="J567" s="105"/>
      <c r="K567" s="3"/>
      <c r="L567" s="3"/>
      <c r="M567" s="3"/>
      <c r="N567" s="3"/>
      <c r="O567" s="3"/>
      <c r="P567" s="3"/>
      <c r="Q567" s="3"/>
      <c r="R567" s="3"/>
      <c r="S567" s="3"/>
    </row>
    <row r="568" spans="7:19" x14ac:dyDescent="0.25">
      <c r="G568" s="3"/>
      <c r="H568" s="3"/>
      <c r="I568" s="3"/>
      <c r="J568" s="105"/>
      <c r="K568" s="3"/>
      <c r="L568" s="3"/>
      <c r="M568" s="3"/>
      <c r="N568" s="3"/>
      <c r="O568" s="3"/>
      <c r="P568" s="3"/>
      <c r="Q568" s="3"/>
      <c r="R568" s="3"/>
      <c r="S568" s="3"/>
    </row>
    <row r="569" spans="7:19" x14ac:dyDescent="0.25">
      <c r="G569" s="3"/>
      <c r="H569" s="3"/>
      <c r="I569" s="3"/>
      <c r="J569" s="105"/>
      <c r="K569" s="3"/>
      <c r="L569" s="3"/>
      <c r="M569" s="3"/>
      <c r="N569" s="3"/>
      <c r="O569" s="3"/>
      <c r="P569" s="3"/>
      <c r="Q569" s="3"/>
      <c r="R569" s="3"/>
      <c r="S569" s="3"/>
    </row>
    <row r="570" spans="7:19" x14ac:dyDescent="0.25">
      <c r="G570" s="3"/>
      <c r="H570" s="3"/>
      <c r="I570" s="3"/>
      <c r="J570" s="105"/>
      <c r="K570" s="3"/>
      <c r="L570" s="3"/>
      <c r="M570" s="3"/>
      <c r="N570" s="3"/>
      <c r="O570" s="3"/>
      <c r="P570" s="3"/>
      <c r="Q570" s="3"/>
      <c r="R570" s="3"/>
      <c r="S570" s="3"/>
    </row>
    <row r="571" spans="7:19" x14ac:dyDescent="0.25">
      <c r="G571" s="3"/>
      <c r="H571" s="3"/>
      <c r="I571" s="3"/>
      <c r="J571" s="105"/>
      <c r="K571" s="3"/>
      <c r="L571" s="3"/>
      <c r="M571" s="3"/>
      <c r="N571" s="3"/>
      <c r="O571" s="3"/>
      <c r="P571" s="3"/>
      <c r="Q571" s="3"/>
      <c r="R571" s="3"/>
      <c r="S571" s="3"/>
    </row>
    <row r="572" spans="7:19" x14ac:dyDescent="0.25">
      <c r="G572" s="3"/>
      <c r="H572" s="3"/>
      <c r="I572" s="3"/>
      <c r="J572" s="105"/>
      <c r="K572" s="3"/>
      <c r="L572" s="3"/>
      <c r="M572" s="3"/>
      <c r="N572" s="3"/>
      <c r="O572" s="3"/>
      <c r="P572" s="3"/>
      <c r="Q572" s="3"/>
      <c r="R572" s="3"/>
      <c r="S572" s="3"/>
    </row>
    <row r="573" spans="7:19" x14ac:dyDescent="0.25">
      <c r="G573" s="3"/>
      <c r="H573" s="3"/>
      <c r="I573" s="3"/>
      <c r="J573" s="105"/>
      <c r="K573" s="3"/>
      <c r="L573" s="3"/>
      <c r="M573" s="3"/>
      <c r="N573" s="3"/>
      <c r="O573" s="3"/>
      <c r="P573" s="3"/>
      <c r="Q573" s="3"/>
      <c r="R573" s="3"/>
      <c r="S573" s="3"/>
    </row>
    <row r="574" spans="7:19" x14ac:dyDescent="0.25">
      <c r="G574" s="3"/>
      <c r="H574" s="3"/>
      <c r="I574" s="3"/>
      <c r="J574" s="105"/>
      <c r="K574" s="3"/>
      <c r="L574" s="3"/>
      <c r="M574" s="3"/>
      <c r="N574" s="3"/>
      <c r="O574" s="3"/>
      <c r="P574" s="3"/>
      <c r="Q574" s="3"/>
      <c r="R574" s="3"/>
      <c r="S574" s="3"/>
    </row>
    <row r="575" spans="7:19" x14ac:dyDescent="0.25">
      <c r="G575" s="3"/>
      <c r="H575" s="3"/>
      <c r="I575" s="3"/>
      <c r="J575" s="105"/>
      <c r="K575" s="3"/>
      <c r="L575" s="3"/>
      <c r="M575" s="3"/>
      <c r="N575" s="3"/>
      <c r="O575" s="3"/>
      <c r="P575" s="3"/>
      <c r="Q575" s="3"/>
      <c r="R575" s="3"/>
      <c r="S575" s="3"/>
    </row>
    <row r="576" spans="7:19" x14ac:dyDescent="0.25">
      <c r="G576" s="3"/>
      <c r="H576" s="3"/>
      <c r="I576" s="3"/>
      <c r="J576" s="105"/>
      <c r="K576" s="3"/>
      <c r="L576" s="3"/>
      <c r="M576" s="3"/>
      <c r="N576" s="3"/>
      <c r="O576" s="3"/>
      <c r="P576" s="3"/>
      <c r="Q576" s="3"/>
      <c r="R576" s="3"/>
      <c r="S576" s="3"/>
    </row>
    <row r="577" spans="7:19" x14ac:dyDescent="0.25">
      <c r="G577" s="3"/>
      <c r="H577" s="3"/>
      <c r="I577" s="3"/>
      <c r="J577" s="105"/>
      <c r="K577" s="3"/>
      <c r="L577" s="3"/>
      <c r="M577" s="3"/>
      <c r="N577" s="3"/>
      <c r="O577" s="3"/>
      <c r="P577" s="3"/>
      <c r="Q577" s="3"/>
      <c r="R577" s="3"/>
      <c r="S577" s="3"/>
    </row>
    <row r="578" spans="7:19" x14ac:dyDescent="0.25">
      <c r="G578" s="3"/>
      <c r="H578" s="3"/>
      <c r="I578" s="3"/>
      <c r="J578" s="105"/>
      <c r="K578" s="3"/>
      <c r="L578" s="3"/>
      <c r="M578" s="3"/>
      <c r="N578" s="3"/>
      <c r="O578" s="3"/>
      <c r="P578" s="3"/>
      <c r="Q578" s="3"/>
      <c r="R578" s="3"/>
      <c r="S578" s="3"/>
    </row>
    <row r="579" spans="7:19" x14ac:dyDescent="0.25">
      <c r="G579" s="3"/>
      <c r="H579" s="3"/>
      <c r="I579" s="3"/>
      <c r="J579" s="105"/>
      <c r="K579" s="3"/>
      <c r="L579" s="3"/>
      <c r="M579" s="3"/>
      <c r="N579" s="3"/>
      <c r="O579" s="3"/>
      <c r="P579" s="3"/>
      <c r="Q579" s="3"/>
      <c r="R579" s="3"/>
      <c r="S579" s="3"/>
    </row>
    <row r="580" spans="7:19" x14ac:dyDescent="0.25">
      <c r="G580" s="3"/>
      <c r="H580" s="3"/>
      <c r="I580" s="3"/>
      <c r="J580" s="105"/>
      <c r="K580" s="3"/>
      <c r="L580" s="3"/>
      <c r="M580" s="3"/>
      <c r="N580" s="3"/>
      <c r="O580" s="3"/>
      <c r="P580" s="3"/>
      <c r="Q580" s="3"/>
      <c r="R580" s="3"/>
      <c r="S580" s="3"/>
    </row>
    <row r="581" spans="7:19" x14ac:dyDescent="0.25">
      <c r="G581" s="3"/>
      <c r="H581" s="3"/>
      <c r="I581" s="3"/>
      <c r="J581" s="105"/>
      <c r="K581" s="3"/>
      <c r="L581" s="3"/>
      <c r="M581" s="3"/>
      <c r="N581" s="3"/>
      <c r="O581" s="3"/>
      <c r="P581" s="3"/>
      <c r="Q581" s="3"/>
      <c r="R581" s="3"/>
      <c r="S581" s="3"/>
    </row>
    <row r="582" spans="7:19" x14ac:dyDescent="0.25">
      <c r="G582" s="3"/>
      <c r="H582" s="3"/>
      <c r="I582" s="3"/>
      <c r="J582" s="105"/>
      <c r="K582" s="3"/>
      <c r="L582" s="3"/>
      <c r="M582" s="3"/>
      <c r="N582" s="3"/>
      <c r="O582" s="3"/>
      <c r="P582" s="3"/>
      <c r="Q582" s="3"/>
      <c r="R582" s="3"/>
      <c r="S582" s="3"/>
    </row>
    <row r="583" spans="7:19" x14ac:dyDescent="0.25">
      <c r="G583" s="3"/>
      <c r="H583" s="3"/>
      <c r="I583" s="3"/>
      <c r="J583" s="105"/>
      <c r="K583" s="3"/>
      <c r="L583" s="3"/>
      <c r="M583" s="3"/>
      <c r="N583" s="3"/>
      <c r="O583" s="3"/>
      <c r="P583" s="3"/>
      <c r="Q583" s="3"/>
      <c r="R583" s="3"/>
      <c r="S583" s="3"/>
    </row>
    <row r="584" spans="7:19" x14ac:dyDescent="0.25">
      <c r="G584" s="3"/>
      <c r="H584" s="3"/>
      <c r="I584" s="3"/>
      <c r="J584" s="105"/>
      <c r="K584" s="3"/>
      <c r="L584" s="3"/>
      <c r="M584" s="3"/>
      <c r="N584" s="3"/>
      <c r="O584" s="3"/>
      <c r="P584" s="3"/>
      <c r="Q584" s="3"/>
      <c r="R584" s="3"/>
      <c r="S584" s="3"/>
    </row>
    <row r="585" spans="7:19" x14ac:dyDescent="0.25">
      <c r="G585" s="3"/>
      <c r="H585" s="3"/>
      <c r="I585" s="3"/>
      <c r="J585" s="105"/>
      <c r="K585" s="3"/>
      <c r="L585" s="3"/>
      <c r="M585" s="3"/>
      <c r="N585" s="3"/>
      <c r="O585" s="3"/>
      <c r="P585" s="3"/>
      <c r="Q585" s="3"/>
      <c r="R585" s="3"/>
      <c r="S585" s="3"/>
    </row>
    <row r="586" spans="7:19" x14ac:dyDescent="0.25">
      <c r="G586" s="3"/>
      <c r="H586" s="3"/>
      <c r="I586" s="3"/>
      <c r="J586" s="105"/>
      <c r="K586" s="3"/>
      <c r="L586" s="3"/>
      <c r="M586" s="3"/>
      <c r="N586" s="3"/>
      <c r="O586" s="3"/>
      <c r="P586" s="3"/>
      <c r="Q586" s="3"/>
      <c r="R586" s="3"/>
      <c r="S586" s="3"/>
    </row>
    <row r="587" spans="7:19" x14ac:dyDescent="0.25">
      <c r="G587" s="3"/>
      <c r="H587" s="3"/>
      <c r="I587" s="3"/>
      <c r="J587" s="105"/>
      <c r="K587" s="3"/>
      <c r="L587" s="3"/>
      <c r="M587" s="3"/>
      <c r="N587" s="3"/>
      <c r="O587" s="3"/>
      <c r="P587" s="3"/>
      <c r="Q587" s="3"/>
      <c r="R587" s="3"/>
      <c r="S587" s="3"/>
    </row>
    <row r="588" spans="7:19" x14ac:dyDescent="0.25">
      <c r="G588" s="3"/>
      <c r="H588" s="3"/>
      <c r="I588" s="3"/>
      <c r="J588" s="105"/>
      <c r="K588" s="3"/>
      <c r="L588" s="3"/>
      <c r="M588" s="3"/>
      <c r="N588" s="3"/>
      <c r="O588" s="3"/>
      <c r="P588" s="3"/>
      <c r="Q588" s="3"/>
      <c r="R588" s="3"/>
      <c r="S588" s="3"/>
    </row>
    <row r="589" spans="7:19" x14ac:dyDescent="0.25">
      <c r="G589" s="3"/>
      <c r="H589" s="3"/>
      <c r="I589" s="3"/>
      <c r="J589" s="105"/>
      <c r="K589" s="3"/>
      <c r="L589" s="3"/>
      <c r="M589" s="3"/>
      <c r="N589" s="3"/>
      <c r="O589" s="3"/>
      <c r="P589" s="3"/>
      <c r="Q589" s="3"/>
      <c r="R589" s="3"/>
      <c r="S589" s="3"/>
    </row>
    <row r="590" spans="7:19" x14ac:dyDescent="0.25">
      <c r="G590" s="3"/>
      <c r="H590" s="3"/>
      <c r="I590" s="3"/>
      <c r="J590" s="105"/>
      <c r="K590" s="3"/>
      <c r="L590" s="3"/>
      <c r="M590" s="3"/>
      <c r="N590" s="3"/>
      <c r="O590" s="3"/>
      <c r="P590" s="3"/>
      <c r="Q590" s="3"/>
      <c r="R590" s="3"/>
      <c r="S590" s="3"/>
    </row>
    <row r="591" spans="7:19" x14ac:dyDescent="0.25">
      <c r="G591" s="3"/>
      <c r="H591" s="3"/>
      <c r="I591" s="3"/>
      <c r="J591" s="105"/>
      <c r="K591" s="3"/>
      <c r="L591" s="3"/>
      <c r="M591" s="3"/>
      <c r="N591" s="3"/>
      <c r="O591" s="3"/>
      <c r="P591" s="3"/>
      <c r="Q591" s="3"/>
      <c r="R591" s="3"/>
      <c r="S591" s="3"/>
    </row>
    <row r="592" spans="7:19" x14ac:dyDescent="0.25">
      <c r="G592" s="3"/>
      <c r="H592" s="3"/>
      <c r="I592" s="3"/>
      <c r="J592" s="105"/>
      <c r="K592" s="3"/>
      <c r="L592" s="3"/>
      <c r="M592" s="3"/>
      <c r="N592" s="3"/>
      <c r="O592" s="3"/>
      <c r="P592" s="3"/>
      <c r="Q592" s="3"/>
      <c r="R592" s="3"/>
      <c r="S592" s="3"/>
    </row>
    <row r="593" spans="7:19" x14ac:dyDescent="0.25">
      <c r="G593" s="3"/>
      <c r="H593" s="3"/>
      <c r="I593" s="3"/>
      <c r="J593" s="105"/>
      <c r="K593" s="3"/>
      <c r="L593" s="3"/>
      <c r="M593" s="3"/>
      <c r="N593" s="3"/>
      <c r="O593" s="3"/>
      <c r="P593" s="3"/>
      <c r="Q593" s="3"/>
      <c r="R593" s="3"/>
      <c r="S593" s="3"/>
    </row>
    <row r="594" spans="7:19" x14ac:dyDescent="0.25">
      <c r="G594" s="3"/>
      <c r="H594" s="3"/>
      <c r="I594" s="3"/>
      <c r="J594" s="105"/>
      <c r="K594" s="3"/>
      <c r="L594" s="3"/>
      <c r="M594" s="3"/>
      <c r="N594" s="3"/>
      <c r="O594" s="3"/>
      <c r="P594" s="3"/>
      <c r="Q594" s="3"/>
      <c r="R594" s="3"/>
      <c r="S594" s="3"/>
    </row>
    <row r="595" spans="7:19" x14ac:dyDescent="0.25">
      <c r="G595" s="3"/>
      <c r="H595" s="3"/>
      <c r="I595" s="3"/>
      <c r="J595" s="105"/>
      <c r="K595" s="3"/>
      <c r="L595" s="3"/>
      <c r="M595" s="3"/>
      <c r="N595" s="3"/>
      <c r="O595" s="3"/>
      <c r="P595" s="3"/>
      <c r="Q595" s="3"/>
      <c r="R595" s="3"/>
      <c r="S595" s="3"/>
    </row>
    <row r="596" spans="7:19" x14ac:dyDescent="0.25">
      <c r="G596" s="3"/>
      <c r="H596" s="3"/>
      <c r="I596" s="3"/>
      <c r="J596" s="105"/>
      <c r="K596" s="3"/>
      <c r="L596" s="3"/>
      <c r="M596" s="3"/>
      <c r="N596" s="3"/>
      <c r="O596" s="3"/>
      <c r="P596" s="3"/>
      <c r="Q596" s="3"/>
      <c r="R596" s="3"/>
      <c r="S596" s="3"/>
    </row>
    <row r="597" spans="7:19" x14ac:dyDescent="0.25">
      <c r="G597" s="3"/>
      <c r="H597" s="3"/>
      <c r="I597" s="3"/>
      <c r="J597" s="105"/>
      <c r="K597" s="3"/>
      <c r="L597" s="3"/>
      <c r="M597" s="3"/>
      <c r="N597" s="3"/>
      <c r="O597" s="3"/>
      <c r="P597" s="3"/>
      <c r="Q597" s="3"/>
      <c r="R597" s="3"/>
      <c r="S597" s="3"/>
    </row>
    <row r="598" spans="7:19" x14ac:dyDescent="0.25">
      <c r="G598" s="3"/>
      <c r="H598" s="3"/>
      <c r="I598" s="3"/>
      <c r="J598" s="105"/>
      <c r="K598" s="3"/>
      <c r="L598" s="3"/>
      <c r="M598" s="3"/>
      <c r="N598" s="3"/>
      <c r="O598" s="3"/>
      <c r="P598" s="3"/>
      <c r="Q598" s="3"/>
      <c r="R598" s="3"/>
      <c r="S598" s="3"/>
    </row>
    <row r="599" spans="7:19" x14ac:dyDescent="0.25">
      <c r="G599" s="3"/>
      <c r="H599" s="3"/>
      <c r="I599" s="3"/>
      <c r="J599" s="105"/>
      <c r="K599" s="3"/>
      <c r="L599" s="3"/>
      <c r="M599" s="3"/>
      <c r="N599" s="3"/>
      <c r="O599" s="3"/>
      <c r="P599" s="3"/>
      <c r="Q599" s="3"/>
      <c r="R599" s="3"/>
      <c r="S599" s="3"/>
    </row>
    <row r="600" spans="7:19" x14ac:dyDescent="0.25">
      <c r="G600" s="3"/>
      <c r="H600" s="3"/>
      <c r="I600" s="3"/>
      <c r="J600" s="105"/>
      <c r="K600" s="3"/>
      <c r="L600" s="3"/>
      <c r="M600" s="3"/>
      <c r="N600" s="3"/>
      <c r="O600" s="3"/>
      <c r="P600" s="3"/>
      <c r="Q600" s="3"/>
      <c r="R600" s="3"/>
      <c r="S600" s="3"/>
    </row>
    <row r="601" spans="7:19" x14ac:dyDescent="0.25">
      <c r="G601" s="3"/>
      <c r="H601" s="3"/>
      <c r="I601" s="3"/>
      <c r="J601" s="105"/>
      <c r="K601" s="3"/>
      <c r="L601" s="3"/>
      <c r="M601" s="3"/>
      <c r="N601" s="3"/>
      <c r="O601" s="3"/>
      <c r="P601" s="3"/>
      <c r="Q601" s="3"/>
      <c r="R601" s="3"/>
      <c r="S601" s="3"/>
    </row>
    <row r="602" spans="7:19" x14ac:dyDescent="0.25">
      <c r="G602" s="3"/>
      <c r="H602" s="3"/>
      <c r="I602" s="3"/>
      <c r="J602" s="105"/>
      <c r="K602" s="3"/>
      <c r="L602" s="3"/>
      <c r="M602" s="3"/>
      <c r="N602" s="3"/>
      <c r="O602" s="3"/>
      <c r="P602" s="3"/>
      <c r="Q602" s="3"/>
      <c r="R602" s="3"/>
      <c r="S602" s="3"/>
    </row>
    <row r="603" spans="7:19" x14ac:dyDescent="0.25">
      <c r="G603" s="3"/>
      <c r="H603" s="3"/>
      <c r="I603" s="3"/>
      <c r="J603" s="105"/>
      <c r="K603" s="3"/>
      <c r="L603" s="3"/>
      <c r="M603" s="3"/>
      <c r="N603" s="3"/>
      <c r="O603" s="3"/>
      <c r="P603" s="3"/>
      <c r="Q603" s="3"/>
      <c r="R603" s="3"/>
      <c r="S603" s="3"/>
    </row>
    <row r="604" spans="7:19" x14ac:dyDescent="0.25">
      <c r="G604" s="3"/>
      <c r="H604" s="3"/>
      <c r="I604" s="3"/>
      <c r="J604" s="105"/>
      <c r="K604" s="3"/>
      <c r="L604" s="3"/>
      <c r="M604" s="3"/>
      <c r="N604" s="3"/>
      <c r="O604" s="3"/>
      <c r="P604" s="3"/>
      <c r="Q604" s="3"/>
      <c r="R604" s="3"/>
      <c r="S604" s="3"/>
    </row>
    <row r="605" spans="7:19" x14ac:dyDescent="0.25">
      <c r="G605" s="3"/>
      <c r="H605" s="3"/>
      <c r="I605" s="3"/>
      <c r="J605" s="105"/>
      <c r="K605" s="3"/>
      <c r="L605" s="3"/>
      <c r="M605" s="3"/>
      <c r="N605" s="3"/>
      <c r="O605" s="3"/>
      <c r="P605" s="3"/>
      <c r="Q605" s="3"/>
      <c r="R605" s="3"/>
      <c r="S605" s="3"/>
    </row>
    <row r="606" spans="7:19" x14ac:dyDescent="0.25">
      <c r="G606" s="3"/>
      <c r="H606" s="3"/>
      <c r="I606" s="3"/>
      <c r="J606" s="105"/>
      <c r="K606" s="3"/>
      <c r="L606" s="3"/>
      <c r="M606" s="3"/>
      <c r="N606" s="3"/>
      <c r="O606" s="3"/>
      <c r="P606" s="3"/>
      <c r="Q606" s="3"/>
      <c r="R606" s="3"/>
      <c r="S606" s="3"/>
    </row>
    <row r="607" spans="7:19" x14ac:dyDescent="0.25">
      <c r="G607" s="3"/>
      <c r="H607" s="3"/>
      <c r="I607" s="3"/>
      <c r="J607" s="105"/>
      <c r="K607" s="3"/>
      <c r="L607" s="3"/>
      <c r="M607" s="3"/>
      <c r="N607" s="3"/>
      <c r="O607" s="3"/>
      <c r="P607" s="3"/>
      <c r="Q607" s="3"/>
      <c r="R607" s="3"/>
      <c r="S607" s="3"/>
    </row>
    <row r="608" spans="7:19" x14ac:dyDescent="0.25">
      <c r="G608" s="3"/>
      <c r="H608" s="3"/>
      <c r="I608" s="3"/>
      <c r="J608" s="105"/>
      <c r="K608" s="3"/>
      <c r="L608" s="3"/>
      <c r="M608" s="3"/>
      <c r="N608" s="3"/>
      <c r="O608" s="3"/>
      <c r="P608" s="3"/>
      <c r="Q608" s="3"/>
      <c r="R608" s="3"/>
      <c r="S608" s="3"/>
    </row>
    <row r="609" spans="7:19" x14ac:dyDescent="0.25">
      <c r="G609" s="3"/>
      <c r="H609" s="3"/>
      <c r="I609" s="3"/>
      <c r="J609" s="105"/>
      <c r="K609" s="3"/>
      <c r="L609" s="3"/>
      <c r="M609" s="3"/>
      <c r="N609" s="3"/>
      <c r="O609" s="3"/>
      <c r="P609" s="3"/>
      <c r="Q609" s="3"/>
      <c r="R609" s="3"/>
      <c r="S609" s="3"/>
    </row>
    <row r="610" spans="7:19" x14ac:dyDescent="0.25">
      <c r="G610" s="3"/>
      <c r="H610" s="3"/>
      <c r="I610" s="3"/>
      <c r="J610" s="105"/>
      <c r="K610" s="3"/>
      <c r="L610" s="3"/>
      <c r="M610" s="3"/>
      <c r="N610" s="3"/>
      <c r="O610" s="3"/>
      <c r="P610" s="3"/>
      <c r="Q610" s="3"/>
      <c r="R610" s="3"/>
      <c r="S610" s="3"/>
    </row>
    <row r="611" spans="7:19" x14ac:dyDescent="0.25">
      <c r="G611" s="3"/>
      <c r="H611" s="3"/>
      <c r="I611" s="3"/>
      <c r="J611" s="105"/>
      <c r="K611" s="3"/>
      <c r="L611" s="3"/>
      <c r="M611" s="3"/>
      <c r="N611" s="3"/>
      <c r="O611" s="3"/>
      <c r="P611" s="3"/>
      <c r="Q611" s="3"/>
      <c r="R611" s="3"/>
      <c r="S611" s="3"/>
    </row>
    <row r="612" spans="7:19" x14ac:dyDescent="0.25">
      <c r="G612" s="3"/>
      <c r="H612" s="3"/>
      <c r="I612" s="3"/>
      <c r="J612" s="105"/>
      <c r="K612" s="3"/>
      <c r="L612" s="3"/>
      <c r="M612" s="3"/>
      <c r="N612" s="3"/>
      <c r="O612" s="3"/>
      <c r="P612" s="3"/>
      <c r="Q612" s="3"/>
      <c r="R612" s="3"/>
      <c r="S612" s="3"/>
    </row>
    <row r="613" spans="7:19" x14ac:dyDescent="0.25">
      <c r="G613" s="3"/>
      <c r="H613" s="3"/>
      <c r="I613" s="3"/>
      <c r="J613" s="105"/>
      <c r="K613" s="3"/>
      <c r="L613" s="3"/>
      <c r="M613" s="3"/>
      <c r="N613" s="3"/>
      <c r="O613" s="3"/>
      <c r="P613" s="3"/>
      <c r="Q613" s="3"/>
      <c r="R613" s="3"/>
      <c r="S613" s="3"/>
    </row>
    <row r="614" spans="7:19" x14ac:dyDescent="0.25">
      <c r="G614" s="3"/>
      <c r="H614" s="3"/>
      <c r="I614" s="3"/>
      <c r="J614" s="105"/>
      <c r="K614" s="3"/>
      <c r="L614" s="3"/>
      <c r="M614" s="3"/>
      <c r="N614" s="3"/>
      <c r="O614" s="3"/>
      <c r="P614" s="3"/>
      <c r="Q614" s="3"/>
      <c r="R614" s="3"/>
      <c r="S614" s="3"/>
    </row>
    <row r="615" spans="7:19" x14ac:dyDescent="0.25">
      <c r="G615" s="3"/>
      <c r="H615" s="3"/>
      <c r="I615" s="3"/>
      <c r="J615" s="105"/>
      <c r="K615" s="3"/>
      <c r="L615" s="3"/>
      <c r="M615" s="3"/>
      <c r="N615" s="3"/>
      <c r="O615" s="3"/>
      <c r="P615" s="3"/>
      <c r="Q615" s="3"/>
      <c r="R615" s="3"/>
      <c r="S615" s="3"/>
    </row>
    <row r="616" spans="7:19" x14ac:dyDescent="0.25">
      <c r="G616" s="3"/>
      <c r="H616" s="3"/>
      <c r="I616" s="3"/>
      <c r="J616" s="105"/>
      <c r="K616" s="3"/>
      <c r="L616" s="3"/>
      <c r="M616" s="3"/>
      <c r="N616" s="3"/>
      <c r="O616" s="3"/>
      <c r="P616" s="3"/>
      <c r="Q616" s="3"/>
      <c r="R616" s="3"/>
      <c r="S616" s="3"/>
    </row>
    <row r="617" spans="7:19" x14ac:dyDescent="0.25">
      <c r="G617" s="3"/>
      <c r="H617" s="3"/>
      <c r="I617" s="3"/>
      <c r="J617" s="105"/>
      <c r="K617" s="3"/>
      <c r="L617" s="3"/>
      <c r="M617" s="3"/>
      <c r="N617" s="3"/>
      <c r="O617" s="3"/>
      <c r="P617" s="3"/>
      <c r="Q617" s="3"/>
      <c r="R617" s="3"/>
      <c r="S617" s="3"/>
    </row>
    <row r="618" spans="7:19" x14ac:dyDescent="0.25">
      <c r="G618" s="3"/>
      <c r="H618" s="3"/>
      <c r="I618" s="3"/>
      <c r="J618" s="105"/>
      <c r="K618" s="3"/>
      <c r="L618" s="3"/>
      <c r="M618" s="3"/>
      <c r="N618" s="3"/>
      <c r="O618" s="3"/>
      <c r="P618" s="3"/>
      <c r="Q618" s="3"/>
      <c r="R618" s="3"/>
      <c r="S618" s="3"/>
    </row>
    <row r="619" spans="7:19" x14ac:dyDescent="0.25">
      <c r="G619" s="3"/>
      <c r="H619" s="3"/>
      <c r="I619" s="3"/>
      <c r="J619" s="105"/>
      <c r="K619" s="3"/>
      <c r="L619" s="3"/>
      <c r="M619" s="3"/>
      <c r="N619" s="3"/>
      <c r="O619" s="3"/>
      <c r="P619" s="3"/>
      <c r="Q619" s="3"/>
      <c r="R619" s="3"/>
      <c r="S619" s="3"/>
    </row>
    <row r="620" spans="7:19" x14ac:dyDescent="0.25">
      <c r="G620" s="3"/>
      <c r="H620" s="3"/>
      <c r="I620" s="3"/>
      <c r="J620" s="105"/>
      <c r="K620" s="3"/>
      <c r="L620" s="3"/>
      <c r="M620" s="3"/>
      <c r="N620" s="3"/>
      <c r="O620" s="3"/>
      <c r="P620" s="3"/>
      <c r="Q620" s="3"/>
      <c r="R620" s="3"/>
      <c r="S620" s="3"/>
    </row>
    <row r="621" spans="7:19" x14ac:dyDescent="0.25">
      <c r="G621" s="3"/>
      <c r="H621" s="3"/>
      <c r="I621" s="3"/>
      <c r="J621" s="105"/>
      <c r="K621" s="3"/>
      <c r="L621" s="3"/>
      <c r="M621" s="3"/>
      <c r="N621" s="3"/>
      <c r="O621" s="3"/>
      <c r="P621" s="3"/>
      <c r="Q621" s="3"/>
      <c r="R621" s="3"/>
      <c r="S621" s="3"/>
    </row>
    <row r="622" spans="7:19" x14ac:dyDescent="0.25">
      <c r="G622" s="3"/>
      <c r="H622" s="3"/>
      <c r="I622" s="3"/>
      <c r="J622" s="105"/>
      <c r="K622" s="3"/>
      <c r="L622" s="3"/>
      <c r="M622" s="3"/>
      <c r="N622" s="3"/>
      <c r="O622" s="3"/>
      <c r="P622" s="3"/>
      <c r="Q622" s="3"/>
      <c r="R622" s="3"/>
      <c r="S622" s="3"/>
    </row>
    <row r="623" spans="7:19" x14ac:dyDescent="0.25">
      <c r="G623" s="3"/>
      <c r="H623" s="3"/>
      <c r="I623" s="3"/>
      <c r="J623" s="105"/>
      <c r="K623" s="3"/>
      <c r="L623" s="3"/>
      <c r="M623" s="3"/>
      <c r="N623" s="3"/>
      <c r="O623" s="3"/>
      <c r="P623" s="3"/>
      <c r="Q623" s="3"/>
      <c r="R623" s="3"/>
      <c r="S623" s="3"/>
    </row>
    <row r="624" spans="7:19" x14ac:dyDescent="0.25">
      <c r="G624" s="3"/>
      <c r="H624" s="3"/>
      <c r="I624" s="3"/>
      <c r="J624" s="105"/>
      <c r="K624" s="3"/>
      <c r="L624" s="3"/>
      <c r="M624" s="3"/>
      <c r="N624" s="3"/>
      <c r="O624" s="3"/>
      <c r="P624" s="3"/>
      <c r="Q624" s="3"/>
      <c r="R624" s="3"/>
      <c r="S624" s="3"/>
    </row>
    <row r="625" spans="7:19" x14ac:dyDescent="0.25">
      <c r="G625" s="3"/>
      <c r="H625" s="3"/>
      <c r="I625" s="3"/>
      <c r="J625" s="105"/>
      <c r="K625" s="3"/>
      <c r="L625" s="3"/>
      <c r="M625" s="3"/>
      <c r="N625" s="3"/>
      <c r="O625" s="3"/>
      <c r="P625" s="3"/>
      <c r="Q625" s="3"/>
      <c r="R625" s="3"/>
      <c r="S625" s="3"/>
    </row>
    <row r="626" spans="7:19" x14ac:dyDescent="0.25">
      <c r="G626" s="3"/>
      <c r="H626" s="3"/>
      <c r="I626" s="3"/>
      <c r="J626" s="105"/>
      <c r="K626" s="3"/>
      <c r="L626" s="3"/>
      <c r="M626" s="3"/>
      <c r="N626" s="3"/>
      <c r="O626" s="3"/>
      <c r="P626" s="3"/>
      <c r="Q626" s="3"/>
      <c r="R626" s="3"/>
      <c r="S626" s="3"/>
    </row>
    <row r="627" spans="7:19" x14ac:dyDescent="0.25">
      <c r="G627" s="3"/>
      <c r="H627" s="3"/>
      <c r="I627" s="3"/>
      <c r="J627" s="105"/>
      <c r="K627" s="3"/>
      <c r="L627" s="3"/>
      <c r="M627" s="3"/>
      <c r="N627" s="3"/>
      <c r="O627" s="3"/>
      <c r="P627" s="3"/>
      <c r="Q627" s="3"/>
      <c r="R627" s="3"/>
      <c r="S627" s="3"/>
    </row>
    <row r="628" spans="7:19" x14ac:dyDescent="0.25">
      <c r="G628" s="3"/>
      <c r="H628" s="3"/>
      <c r="I628" s="3"/>
      <c r="J628" s="105"/>
      <c r="K628" s="3"/>
      <c r="L628" s="3"/>
      <c r="M628" s="3"/>
      <c r="N628" s="3"/>
      <c r="O628" s="3"/>
      <c r="P628" s="3"/>
      <c r="Q628" s="3"/>
      <c r="R628" s="3"/>
      <c r="S628" s="3"/>
    </row>
    <row r="629" spans="7:19" x14ac:dyDescent="0.25">
      <c r="G629" s="3"/>
      <c r="H629" s="3"/>
      <c r="I629" s="3"/>
      <c r="J629" s="105"/>
      <c r="K629" s="3"/>
      <c r="L629" s="3"/>
      <c r="M629" s="3"/>
      <c r="N629" s="3"/>
      <c r="O629" s="3"/>
      <c r="P629" s="3"/>
      <c r="Q629" s="3"/>
      <c r="R629" s="3"/>
      <c r="S629" s="3"/>
    </row>
    <row r="630" spans="7:19" x14ac:dyDescent="0.25">
      <c r="G630" s="3"/>
      <c r="H630" s="3"/>
      <c r="I630" s="3"/>
      <c r="J630" s="105"/>
      <c r="K630" s="3"/>
      <c r="L630" s="3"/>
      <c r="M630" s="3"/>
      <c r="N630" s="3"/>
      <c r="O630" s="3"/>
      <c r="P630" s="3"/>
      <c r="Q630" s="3"/>
      <c r="R630" s="3"/>
      <c r="S630" s="3"/>
    </row>
    <row r="631" spans="7:19" x14ac:dyDescent="0.25">
      <c r="G631" s="3"/>
      <c r="H631" s="3"/>
      <c r="I631" s="3"/>
      <c r="J631" s="105"/>
      <c r="K631" s="3"/>
      <c r="L631" s="3"/>
      <c r="M631" s="3"/>
      <c r="N631" s="3"/>
      <c r="O631" s="3"/>
      <c r="P631" s="3"/>
      <c r="Q631" s="3"/>
      <c r="R631" s="3"/>
      <c r="S631" s="3"/>
    </row>
    <row r="632" spans="7:19" x14ac:dyDescent="0.25">
      <c r="G632" s="3"/>
      <c r="H632" s="3"/>
      <c r="I632" s="3"/>
      <c r="J632" s="105"/>
      <c r="K632" s="3"/>
      <c r="L632" s="3"/>
      <c r="M632" s="3"/>
      <c r="N632" s="3"/>
      <c r="O632" s="3"/>
      <c r="P632" s="3"/>
      <c r="Q632" s="3"/>
      <c r="R632" s="3"/>
      <c r="S632" s="3"/>
    </row>
    <row r="633" spans="7:19" x14ac:dyDescent="0.25">
      <c r="G633" s="3"/>
      <c r="H633" s="3"/>
      <c r="I633" s="3"/>
      <c r="J633" s="105"/>
      <c r="K633" s="3"/>
      <c r="L633" s="3"/>
      <c r="M633" s="3"/>
      <c r="N633" s="3"/>
      <c r="O633" s="3"/>
      <c r="P633" s="3"/>
      <c r="Q633" s="3"/>
      <c r="R633" s="3"/>
      <c r="S633" s="3"/>
    </row>
  </sheetData>
  <pageMargins left="0.7" right="0.7" top="0.75" bottom="0.75" header="0.3" footer="0.3"/>
  <pageSetup orientation="portrait" r:id="rId1"/>
  <ignoredErrors>
    <ignoredError sqref="J56 J68 J81 J117 J79"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4330C-4CE8-4023-923F-906CBEE56087}">
  <sheetPr>
    <tabColor theme="7" tint="-0.249977111117893"/>
  </sheetPr>
  <dimension ref="A1:W157"/>
  <sheetViews>
    <sheetView topLeftCell="A48" zoomScale="120" zoomScaleNormal="120" workbookViewId="0">
      <selection activeCell="O101" sqref="O101"/>
    </sheetView>
  </sheetViews>
  <sheetFormatPr defaultRowHeight="15" x14ac:dyDescent="0.25"/>
  <cols>
    <col min="1" max="5" width="1.85546875" customWidth="1"/>
    <col min="6" max="6" width="21.42578125" customWidth="1"/>
    <col min="7" max="8" width="10.42578125" customWidth="1"/>
    <col min="9" max="11" width="9.5703125" bestFit="1" customWidth="1"/>
    <col min="12" max="12" width="9.28515625" customWidth="1"/>
  </cols>
  <sheetData>
    <row r="1" spans="1:11" ht="23.25" x14ac:dyDescent="0.35">
      <c r="A1" s="2" t="str">
        <f>"Discount Cash Flow Model for "&amp;company.name</f>
        <v>Discount Cash Flow Model for Legends Inc.</v>
      </c>
    </row>
    <row r="2" spans="1:11" x14ac:dyDescent="0.25">
      <c r="B2" t="s">
        <v>102</v>
      </c>
    </row>
    <row r="3" spans="1:11" x14ac:dyDescent="0.25">
      <c r="C3" t="s">
        <v>103</v>
      </c>
      <c r="G3" s="31" cm="1">
        <f t="array" aca="1" ref="G3" ca="1">+_FV(H3,"Price")</f>
        <v>10.375</v>
      </c>
      <c r="H3" t="e" vm="1">
        <v>#VALUE!</v>
      </c>
    </row>
    <row r="4" spans="1:11" x14ac:dyDescent="0.25">
      <c r="C4" t="s">
        <v>104</v>
      </c>
      <c r="G4" s="50" cm="1">
        <f t="array" aca="1" ref="G4" ca="1">_FV(H3,"Shares outstanding",TRUE)/1000000</f>
        <v>570.41470000000004</v>
      </c>
    </row>
    <row r="5" spans="1:11" x14ac:dyDescent="0.25">
      <c r="C5" t="s">
        <v>105</v>
      </c>
      <c r="G5" s="32" cm="1">
        <f t="array" aca="1" ref="G5" ca="1">+_FV(H3,"Market cap",TRUE)/1000000</f>
        <v>5918.0525120000002</v>
      </c>
    </row>
    <row r="7" spans="1:11" x14ac:dyDescent="0.25">
      <c r="B7" t="s">
        <v>106</v>
      </c>
      <c r="G7" s="33" t="s">
        <v>108</v>
      </c>
      <c r="H7" s="33" t="s">
        <v>109</v>
      </c>
      <c r="I7" s="33" t="s">
        <v>110</v>
      </c>
    </row>
    <row r="8" spans="1:11" x14ac:dyDescent="0.25">
      <c r="C8" t="s">
        <v>60</v>
      </c>
      <c r="G8" s="3">
        <f>DCF.Debt</f>
        <v>5500</v>
      </c>
      <c r="H8" s="34">
        <f>+G8/$G$11</f>
        <v>0.32577135133775637</v>
      </c>
      <c r="I8" s="8">
        <f>+(DCF.Interest.Expense/DCF.Debt)*(1-tax.rate)</f>
        <v>5.3181363636363638E-2</v>
      </c>
    </row>
    <row r="9" spans="1:11" x14ac:dyDescent="0.25">
      <c r="C9" t="s">
        <v>75</v>
      </c>
      <c r="G9" s="3">
        <f>DCF.Pref.Stock</f>
        <v>1500</v>
      </c>
      <c r="H9" s="34">
        <f t="shared" ref="H9:H10" si="0">+G9/$G$11</f>
        <v>8.8846732183024468E-2</v>
      </c>
      <c r="I9" s="38">
        <v>7.7299999999999994E-2</v>
      </c>
    </row>
    <row r="10" spans="1:11" x14ac:dyDescent="0.25">
      <c r="C10" t="s">
        <v>107</v>
      </c>
      <c r="G10" s="3">
        <f>DCF.Equity-DCF.Pref.Stock</f>
        <v>9883.0069845449871</v>
      </c>
      <c r="H10" s="34">
        <f t="shared" si="0"/>
        <v>0.58538191647921911</v>
      </c>
      <c r="I10" s="38">
        <v>0.1883</v>
      </c>
    </row>
    <row r="11" spans="1:11" x14ac:dyDescent="0.25">
      <c r="G11" s="35">
        <f>SUM(G8:G10)</f>
        <v>16883.006984544987</v>
      </c>
    </row>
    <row r="12" spans="1:11" x14ac:dyDescent="0.25">
      <c r="B12" t="s">
        <v>112</v>
      </c>
      <c r="G12" s="8">
        <f>SUMPRODUCT(H8:H10,I8:I10)</f>
        <v>0.13442023196858754</v>
      </c>
    </row>
    <row r="14" spans="1:11" x14ac:dyDescent="0.25">
      <c r="B14" t="s">
        <v>113</v>
      </c>
      <c r="G14" s="24" cm="1">
        <f t="array" ref="G14:K14">dates.forecast</f>
        <v>2025</v>
      </c>
      <c r="H14" s="24">
        <v>2026</v>
      </c>
      <c r="I14" s="24">
        <v>2027</v>
      </c>
      <c r="J14" s="24">
        <v>2028</v>
      </c>
      <c r="K14" s="24">
        <v>2029</v>
      </c>
    </row>
    <row r="15" spans="1:11" x14ac:dyDescent="0.25">
      <c r="C15" t="s">
        <v>114</v>
      </c>
      <c r="G15" s="3" cm="1">
        <f t="array" ref="G15:K15">_xlfn.ANCHORARRAY(G17)-_xlfn.ANCHORARRAY(G16)</f>
        <v>7461.5238988305737</v>
      </c>
      <c r="H15" s="3">
        <v>7601.3719235165954</v>
      </c>
      <c r="I15" s="3">
        <v>7836.5741556384073</v>
      </c>
      <c r="J15" s="3">
        <v>8202.322740686217</v>
      </c>
      <c r="K15" s="113">
        <v>8464.8534835372793</v>
      </c>
    </row>
    <row r="16" spans="1:11" x14ac:dyDescent="0.25">
      <c r="D16" t="s">
        <v>115</v>
      </c>
      <c r="G16" s="3" cm="1">
        <f t="array" ref="G16:K16">-P.F.Depreciation.Expense-P.F.Amortization.Expense</f>
        <v>-3841.0597968980851</v>
      </c>
      <c r="H16" s="3">
        <v>-3841.0597968980851</v>
      </c>
      <c r="I16" s="3">
        <v>-3841.0597968980851</v>
      </c>
      <c r="J16" s="3">
        <v>-3841.0597968980851</v>
      </c>
      <c r="K16" s="3">
        <v>-3841.0597968980851</v>
      </c>
    </row>
    <row r="17" spans="2:12" x14ac:dyDescent="0.25">
      <c r="C17" t="s">
        <v>116</v>
      </c>
      <c r="G17" s="6" cm="1">
        <f t="array" ref="G17:K17">F.EBIT</f>
        <v>3620.4641019324881</v>
      </c>
      <c r="H17" s="6">
        <v>3760.3121266185099</v>
      </c>
      <c r="I17" s="6">
        <v>3995.5143587403218</v>
      </c>
      <c r="J17" s="6">
        <v>4361.2629437881315</v>
      </c>
      <c r="K17" s="6">
        <v>4623.7936866391938</v>
      </c>
    </row>
    <row r="18" spans="2:12" x14ac:dyDescent="0.25">
      <c r="D18" t="s">
        <v>117</v>
      </c>
      <c r="G18" s="4">
        <f>tax.rate</f>
        <v>0.21</v>
      </c>
      <c r="H18" s="4">
        <f>tax.rate</f>
        <v>0.21</v>
      </c>
      <c r="I18" s="4">
        <f>tax.rate</f>
        <v>0.21</v>
      </c>
      <c r="J18" s="4">
        <f>tax.rate</f>
        <v>0.21</v>
      </c>
      <c r="K18" s="4">
        <f>tax.rate</f>
        <v>0.21</v>
      </c>
    </row>
    <row r="19" spans="2:12" x14ac:dyDescent="0.25">
      <c r="C19" t="s">
        <v>118</v>
      </c>
      <c r="G19" s="6" cm="1">
        <f t="array" ref="G19:K19">_xlfn.ANCHORARRAY(G17)*(1-G18:K18)</f>
        <v>2860.1666405266656</v>
      </c>
      <c r="H19" s="6">
        <v>2970.6465800286228</v>
      </c>
      <c r="I19" s="6">
        <v>3156.4563434048541</v>
      </c>
      <c r="J19" s="6">
        <v>3445.3977255926238</v>
      </c>
      <c r="K19" s="6">
        <v>3652.7970124449635</v>
      </c>
    </row>
    <row r="20" spans="2:12" x14ac:dyDescent="0.25">
      <c r="D20" t="s">
        <v>119</v>
      </c>
      <c r="G20" s="3" cm="1">
        <f t="array" ref="G20:K20">-_xlfn.ANCHORARRAY(G16)</f>
        <v>3841.0597968980851</v>
      </c>
      <c r="H20" s="3">
        <v>3841.0597968980851</v>
      </c>
      <c r="I20" s="3">
        <v>3841.0597968980851</v>
      </c>
      <c r="J20" s="3">
        <v>3841.0597968980851</v>
      </c>
      <c r="K20" s="3">
        <v>3841.0597968980851</v>
      </c>
    </row>
    <row r="21" spans="2:12" x14ac:dyDescent="0.25">
      <c r="D21" t="s">
        <v>120</v>
      </c>
      <c r="G21" s="3">
        <f>SUM('Financial Statements'!K96:K100)</f>
        <v>552.35495300991624</v>
      </c>
      <c r="H21" s="3">
        <f>SUM('Financial Statements'!L96:L100)</f>
        <v>521.32053943083474</v>
      </c>
      <c r="I21" s="3">
        <f>SUM('Financial Statements'!M96:M100)</f>
        <v>366.14857418190854</v>
      </c>
      <c r="J21" s="3">
        <f>SUM('Financial Statements'!N96:N100)</f>
        <v>188.02390329974958</v>
      </c>
      <c r="K21" s="3">
        <f>SUM('Financial Statements'!O96:O100)</f>
        <v>-89.119715457601501</v>
      </c>
    </row>
    <row r="22" spans="2:12" x14ac:dyDescent="0.25">
      <c r="C22" t="s">
        <v>121</v>
      </c>
      <c r="G22" s="6">
        <f>SUM(G19:G21)</f>
        <v>7253.5813904346669</v>
      </c>
      <c r="H22" s="6">
        <f t="shared" ref="H22:K22" si="1">SUM(H19:H21)</f>
        <v>7333.0269163575431</v>
      </c>
      <c r="I22" s="6">
        <f t="shared" si="1"/>
        <v>7363.6647144848484</v>
      </c>
      <c r="J22" s="6">
        <f t="shared" si="1"/>
        <v>7474.4814257904591</v>
      </c>
      <c r="K22" s="6">
        <f t="shared" si="1"/>
        <v>7404.7370938854474</v>
      </c>
    </row>
    <row r="23" spans="2:12" x14ac:dyDescent="0.25">
      <c r="D23" t="s">
        <v>122</v>
      </c>
      <c r="G23" s="3" cm="1">
        <f t="array" ref="G23:K23">-P.F.CAPEX</f>
        <v>-1750</v>
      </c>
      <c r="H23" s="3">
        <v>-1750</v>
      </c>
      <c r="I23" s="3">
        <v>-1750</v>
      </c>
      <c r="J23" s="3">
        <v>-1750</v>
      </c>
      <c r="K23" s="3">
        <v>-1750</v>
      </c>
    </row>
    <row r="24" spans="2:12" x14ac:dyDescent="0.25">
      <c r="C24" t="s">
        <v>123</v>
      </c>
      <c r="G24" s="44" cm="1">
        <f t="array" ref="G24:K24">+G22:K22+_xlfn.ANCHORARRAY(G23)</f>
        <v>5503.5813904346669</v>
      </c>
      <c r="H24" s="44">
        <v>5583.0269163575431</v>
      </c>
      <c r="I24" s="44">
        <v>5613.6647144848484</v>
      </c>
      <c r="J24" s="44">
        <v>5724.4814257904591</v>
      </c>
      <c r="K24" s="44">
        <v>5654.7370938854474</v>
      </c>
    </row>
    <row r="25" spans="2:12" x14ac:dyDescent="0.25">
      <c r="D25" t="s">
        <v>125</v>
      </c>
      <c r="G25" s="215">
        <f>1/(1+WACC)^G100</f>
        <v>0.88150755057028141</v>
      </c>
      <c r="H25" s="215">
        <f>1/(1+WACC)^H100</f>
        <v>0.7770555617124173</v>
      </c>
      <c r="I25" s="215">
        <f>1/(1+WACC)^I100</f>
        <v>0.68498034486212722</v>
      </c>
      <c r="J25" s="215">
        <f>1/(1+WACC)^J100</f>
        <v>0.60381534598820041</v>
      </c>
      <c r="K25" s="215">
        <f>1/(1+WACC)^K100</f>
        <v>0.53226778663880558</v>
      </c>
    </row>
    <row r="26" spans="2:12" x14ac:dyDescent="0.25">
      <c r="C26" t="s">
        <v>126</v>
      </c>
      <c r="G26" s="113" cm="1">
        <f t="array" ref="G26:K26">+_xlfn.ANCHORARRAY(G24)*G25:K25</f>
        <v>4851.4485508462467</v>
      </c>
      <c r="H26" s="113">
        <v>4338.3221165457553</v>
      </c>
      <c r="I26" s="113">
        <v>3845.2499920681867</v>
      </c>
      <c r="J26" s="113">
        <v>3456.5297327166927</v>
      </c>
      <c r="K26" s="113">
        <v>3009.8343969867587</v>
      </c>
    </row>
    <row r="27" spans="2:12" x14ac:dyDescent="0.25">
      <c r="G27" s="3"/>
      <c r="H27" s="3"/>
      <c r="I27" s="3"/>
      <c r="J27" s="3"/>
      <c r="K27" s="3"/>
      <c r="L27" s="42"/>
    </row>
    <row r="28" spans="2:12" x14ac:dyDescent="0.25">
      <c r="C28" t="s">
        <v>127</v>
      </c>
      <c r="G28" s="3">
        <f>SUM(_xlfn.ANCHORARRAY(G26))</f>
        <v>19501.38478916364</v>
      </c>
      <c r="H28" s="3"/>
      <c r="I28" s="3"/>
      <c r="J28" s="3"/>
      <c r="K28" s="3"/>
      <c r="L28" s="42"/>
    </row>
    <row r="29" spans="2:12" x14ac:dyDescent="0.25">
      <c r="G29" s="3"/>
      <c r="H29" s="3"/>
      <c r="I29" s="3"/>
      <c r="J29" s="3"/>
      <c r="K29" s="3"/>
      <c r="L29" s="42"/>
    </row>
    <row r="30" spans="2:12" x14ac:dyDescent="0.25">
      <c r="B30" t="s">
        <v>128</v>
      </c>
      <c r="G30" s="3"/>
      <c r="H30" s="3"/>
      <c r="I30" s="3"/>
      <c r="J30" s="3"/>
      <c r="K30" s="3"/>
      <c r="L30" s="42"/>
    </row>
    <row r="31" spans="2:12" x14ac:dyDescent="0.25">
      <c r="C31" t="s">
        <v>129</v>
      </c>
      <c r="G31" s="3"/>
      <c r="H31" s="3"/>
      <c r="I31" s="3"/>
      <c r="J31" s="3"/>
      <c r="K31" s="3"/>
      <c r="L31" s="42"/>
    </row>
    <row r="32" spans="2:12" x14ac:dyDescent="0.25">
      <c r="D32" t="s">
        <v>130</v>
      </c>
      <c r="G32" s="3">
        <f>DCF.Terminal.Free.Cash.Flow</f>
        <v>5654.7370938854474</v>
      </c>
      <c r="H32" s="3"/>
      <c r="I32" s="3"/>
      <c r="J32" s="3"/>
      <c r="K32" s="3"/>
      <c r="L32" s="42"/>
    </row>
    <row r="33" spans="3:12" x14ac:dyDescent="0.25">
      <c r="D33" t="s">
        <v>131</v>
      </c>
      <c r="G33" s="4">
        <v>0.04</v>
      </c>
      <c r="H33" s="3"/>
      <c r="I33" s="3"/>
      <c r="J33" s="3"/>
      <c r="K33" s="3"/>
      <c r="L33" s="42"/>
    </row>
    <row r="34" spans="3:12" x14ac:dyDescent="0.25">
      <c r="D34" t="s">
        <v>132</v>
      </c>
      <c r="G34" s="6">
        <f>+G32*(1+G33)</f>
        <v>5880.9265776408656</v>
      </c>
      <c r="H34" s="3"/>
      <c r="I34" s="3"/>
      <c r="J34" s="3"/>
      <c r="K34" s="3"/>
      <c r="L34" s="42"/>
    </row>
    <row r="35" spans="3:12" x14ac:dyDescent="0.25">
      <c r="C35" t="s">
        <v>133</v>
      </c>
      <c r="G35" s="3">
        <f>+G34/(WACC-G33)</f>
        <v>62284.602092455971</v>
      </c>
      <c r="H35" s="3"/>
      <c r="I35" s="3"/>
      <c r="J35" s="3"/>
      <c r="K35" s="3"/>
      <c r="L35" s="42"/>
    </row>
    <row r="36" spans="3:12" x14ac:dyDescent="0.25">
      <c r="C36" t="s">
        <v>134</v>
      </c>
      <c r="G36" s="3"/>
      <c r="H36" s="3"/>
      <c r="I36" s="3"/>
      <c r="J36" s="3"/>
      <c r="K36" s="3"/>
      <c r="L36" s="42"/>
    </row>
    <row r="37" spans="3:12" x14ac:dyDescent="0.25">
      <c r="D37" t="s">
        <v>135</v>
      </c>
      <c r="G37" s="3">
        <f>+G35*DCF.Terminal.Discount.Factor</f>
        <v>33152.087297430262</v>
      </c>
      <c r="H37" s="3"/>
      <c r="I37" s="3"/>
      <c r="J37" s="3"/>
      <c r="K37" s="3"/>
      <c r="L37" s="42"/>
    </row>
    <row r="38" spans="3:12" x14ac:dyDescent="0.25">
      <c r="D38" t="s">
        <v>136</v>
      </c>
      <c r="G38" s="3">
        <f>+DCF.NPV.DCF</f>
        <v>19501.38478916364</v>
      </c>
      <c r="H38" s="3"/>
      <c r="I38" s="3"/>
      <c r="J38" s="3"/>
      <c r="K38" s="3"/>
      <c r="L38" s="42"/>
    </row>
    <row r="39" spans="3:12" x14ac:dyDescent="0.25">
      <c r="C39" t="s">
        <v>137</v>
      </c>
      <c r="G39" s="44">
        <f>SUM(G37:G38)</f>
        <v>52653.472086593902</v>
      </c>
      <c r="H39" s="3"/>
      <c r="I39" s="3"/>
      <c r="J39" s="3"/>
      <c r="K39" s="3"/>
      <c r="L39" s="42"/>
    </row>
    <row r="40" spans="3:12" x14ac:dyDescent="0.25">
      <c r="D40" s="202" t="s">
        <v>138</v>
      </c>
      <c r="E40" s="202"/>
      <c r="F40" s="202"/>
      <c r="G40" s="45">
        <f>G39/DCF.Terminal.EBITDA</f>
        <v>6.2202461258184893</v>
      </c>
      <c r="H40" s="3"/>
      <c r="I40" s="3"/>
      <c r="J40" s="3"/>
      <c r="K40" s="3"/>
      <c r="L40" s="42"/>
    </row>
    <row r="41" spans="3:12" x14ac:dyDescent="0.25">
      <c r="G41" s="3"/>
      <c r="H41" s="3"/>
      <c r="I41" s="3"/>
      <c r="J41" s="3"/>
      <c r="K41" s="3"/>
      <c r="L41" s="42"/>
    </row>
    <row r="42" spans="3:12" x14ac:dyDescent="0.25">
      <c r="C42" t="s">
        <v>139</v>
      </c>
      <c r="G42" s="3"/>
      <c r="H42" s="3"/>
      <c r="I42" s="3"/>
      <c r="J42" s="3"/>
      <c r="K42" s="3"/>
      <c r="L42" s="42"/>
    </row>
    <row r="43" spans="3:12" x14ac:dyDescent="0.25">
      <c r="C43" t="s">
        <v>140</v>
      </c>
      <c r="G43" s="3"/>
      <c r="H43" s="3"/>
      <c r="I43" s="3"/>
      <c r="J43" s="3"/>
      <c r="K43" s="3"/>
      <c r="L43" s="42"/>
    </row>
    <row r="44" spans="3:12" x14ac:dyDescent="0.25">
      <c r="D44" t="s">
        <v>141</v>
      </c>
      <c r="G44" s="3">
        <f>DCF.Terminal.EBITDA</f>
        <v>8464.8534835372793</v>
      </c>
      <c r="H44" s="3"/>
      <c r="I44" s="3"/>
      <c r="J44" s="3"/>
      <c r="K44" s="3"/>
      <c r="L44" s="42"/>
    </row>
    <row r="45" spans="3:12" x14ac:dyDescent="0.25">
      <c r="D45" t="s">
        <v>142</v>
      </c>
      <c r="G45" s="45">
        <v>8</v>
      </c>
      <c r="H45" s="3"/>
      <c r="I45" s="3"/>
      <c r="J45" s="3"/>
      <c r="K45" s="3"/>
      <c r="L45" s="46"/>
    </row>
    <row r="46" spans="3:12" x14ac:dyDescent="0.25">
      <c r="C46" t="s">
        <v>140</v>
      </c>
      <c r="G46" s="6">
        <f>+G44*G45</f>
        <v>67718.827868298235</v>
      </c>
      <c r="H46" s="3"/>
      <c r="I46" s="3"/>
      <c r="J46" s="3"/>
      <c r="K46" s="3"/>
      <c r="L46" s="42"/>
    </row>
    <row r="47" spans="3:12" x14ac:dyDescent="0.25">
      <c r="C47" t="s">
        <v>143</v>
      </c>
      <c r="G47" s="3"/>
      <c r="H47" s="3"/>
      <c r="I47" s="3"/>
      <c r="J47" s="3"/>
      <c r="K47" s="3"/>
      <c r="L47" s="42"/>
    </row>
    <row r="48" spans="3:12" x14ac:dyDescent="0.25">
      <c r="D48" t="s">
        <v>135</v>
      </c>
      <c r="G48" s="3">
        <f>+G46*DCF.Terminal.Discount.Factor</f>
        <v>36044.550623233365</v>
      </c>
      <c r="H48" s="3"/>
      <c r="I48" s="3"/>
      <c r="J48" s="3"/>
      <c r="K48" s="3"/>
      <c r="L48" s="42"/>
    </row>
    <row r="49" spans="2:13" x14ac:dyDescent="0.25">
      <c r="D49" t="s">
        <v>136</v>
      </c>
      <c r="G49" s="3">
        <f>+DCF.NPV.DCF</f>
        <v>19501.38478916364</v>
      </c>
      <c r="H49" s="3"/>
      <c r="I49" s="3"/>
      <c r="J49" s="3"/>
      <c r="K49" s="3"/>
      <c r="L49" s="42"/>
    </row>
    <row r="50" spans="2:13" x14ac:dyDescent="0.25">
      <c r="C50" t="s">
        <v>137</v>
      </c>
      <c r="G50" s="43">
        <f>SUM(G48:G49)</f>
        <v>55545.935412397004</v>
      </c>
      <c r="H50" s="3"/>
      <c r="I50" s="3"/>
      <c r="J50" s="3"/>
      <c r="K50" s="3"/>
      <c r="L50" s="42"/>
    </row>
    <row r="51" spans="2:13" ht="13.5" customHeight="1" x14ac:dyDescent="0.25">
      <c r="D51" t="s">
        <v>144</v>
      </c>
      <c r="G51" s="8">
        <f>+(WACC-DCF.Terminal.Free.Cash.Flow/G46)/(1-DCF.Terminal.Free.Cash.Flow/G46)</f>
        <v>5.5556174492990072E-2</v>
      </c>
      <c r="H51" s="3"/>
      <c r="I51" s="3"/>
      <c r="J51" s="3"/>
      <c r="K51" s="3"/>
      <c r="L51" s="47"/>
    </row>
    <row r="52" spans="2:13" ht="13.5" customHeight="1" thickBot="1" x14ac:dyDescent="0.3">
      <c r="G52" s="3"/>
      <c r="H52" s="3"/>
      <c r="I52" s="3"/>
      <c r="J52" s="3"/>
      <c r="K52" s="3"/>
      <c r="L52" s="42"/>
    </row>
    <row r="53" spans="2:13" ht="15.75" thickBot="1" x14ac:dyDescent="0.3">
      <c r="B53" t="s">
        <v>145</v>
      </c>
      <c r="G53" s="203" t="s">
        <v>146</v>
      </c>
      <c r="H53" s="204"/>
      <c r="I53" s="3"/>
      <c r="J53" s="3"/>
      <c r="K53" s="3"/>
      <c r="L53" s="42"/>
    </row>
    <row r="54" spans="2:13" ht="15.75" thickBot="1" x14ac:dyDescent="0.3">
      <c r="G54" s="48" t="s">
        <v>147</v>
      </c>
      <c r="H54" s="49" t="s">
        <v>148</v>
      </c>
      <c r="I54" s="3"/>
      <c r="J54" s="3"/>
      <c r="K54" s="3"/>
      <c r="L54" s="42"/>
    </row>
    <row r="55" spans="2:13" x14ac:dyDescent="0.25">
      <c r="B55" t="s">
        <v>149</v>
      </c>
      <c r="G55" s="3"/>
      <c r="H55" s="3"/>
      <c r="I55" s="3"/>
      <c r="J55" s="3"/>
      <c r="K55" s="3"/>
      <c r="L55" s="42"/>
    </row>
    <row r="56" spans="2:13" x14ac:dyDescent="0.25">
      <c r="C56" t="s">
        <v>150</v>
      </c>
      <c r="G56" s="3">
        <f>TV.Gordon</f>
        <v>52653.472086593902</v>
      </c>
      <c r="H56" s="3">
        <f>TV.EBITDA.Mult</f>
        <v>55545.935412397004</v>
      </c>
      <c r="I56" s="3"/>
      <c r="J56" s="3"/>
      <c r="K56" s="3"/>
      <c r="L56" s="42"/>
      <c r="M56" s="42"/>
    </row>
    <row r="57" spans="2:13" x14ac:dyDescent="0.25">
      <c r="D57" t="s">
        <v>151</v>
      </c>
      <c r="G57" s="3">
        <f>-DCF.Debt</f>
        <v>-5500</v>
      </c>
      <c r="H57" s="3">
        <f>+G57</f>
        <v>-5500</v>
      </c>
      <c r="I57" s="3"/>
      <c r="J57" s="3"/>
      <c r="K57" s="3"/>
      <c r="L57" s="42"/>
      <c r="M57" s="42"/>
    </row>
    <row r="58" spans="2:13" x14ac:dyDescent="0.25">
      <c r="D58" t="s">
        <v>152</v>
      </c>
      <c r="G58" s="3">
        <f>-DCF.Pref.Stock</f>
        <v>-1500</v>
      </c>
      <c r="H58" s="3">
        <f>+G58</f>
        <v>-1500</v>
      </c>
      <c r="I58" s="3"/>
      <c r="J58" s="3"/>
      <c r="K58" s="3"/>
      <c r="L58" s="42"/>
      <c r="M58" s="42"/>
    </row>
    <row r="59" spans="2:13" x14ac:dyDescent="0.25">
      <c r="C59" t="s">
        <v>153</v>
      </c>
      <c r="G59" s="6">
        <f t="shared" ref="G59:H59" si="2">SUM(G56:G58)</f>
        <v>45653.472086593902</v>
      </c>
      <c r="H59" s="6">
        <f t="shared" si="2"/>
        <v>48545.935412397004</v>
      </c>
      <c r="I59" s="3"/>
      <c r="J59" s="3"/>
      <c r="K59" s="3"/>
      <c r="L59" s="42"/>
      <c r="M59" s="42"/>
    </row>
    <row r="60" spans="2:13" ht="15.75" thickBot="1" x14ac:dyDescent="0.3">
      <c r="C60" t="s">
        <v>154</v>
      </c>
      <c r="G60" s="51">
        <f ca="1">shares.outstanding</f>
        <v>570.41470000000004</v>
      </c>
      <c r="H60" s="51">
        <f ca="1">shares.outstanding</f>
        <v>570.41470000000004</v>
      </c>
      <c r="I60" s="3"/>
      <c r="J60" s="3"/>
      <c r="K60" s="3"/>
      <c r="L60" s="42"/>
      <c r="M60" s="42"/>
    </row>
    <row r="61" spans="2:13" ht="15.75" thickBot="1" x14ac:dyDescent="0.3">
      <c r="B61" t="s">
        <v>155</v>
      </c>
      <c r="G61" s="53">
        <f ca="1">+G59/G60</f>
        <v>80.03558128251936</v>
      </c>
      <c r="H61" s="54">
        <f ca="1">+H59/H60</f>
        <v>85.106389110233309</v>
      </c>
      <c r="I61" s="3"/>
      <c r="J61" s="3"/>
      <c r="K61" s="3"/>
      <c r="L61" s="42"/>
      <c r="M61" s="42"/>
    </row>
    <row r="62" spans="2:13" x14ac:dyDescent="0.25">
      <c r="C62" t="s">
        <v>156</v>
      </c>
      <c r="G62" s="4">
        <f ca="1">+G61/market.price-1</f>
        <v>6.7142728947006614</v>
      </c>
      <c r="H62" s="4">
        <f ca="1">+H61/market.price-1</f>
        <v>7.2030254564080298</v>
      </c>
      <c r="I62" s="3"/>
      <c r="J62" s="3"/>
      <c r="K62" s="3"/>
      <c r="L62" s="42"/>
      <c r="M62" s="42"/>
    </row>
    <row r="63" spans="2:13" x14ac:dyDescent="0.25">
      <c r="G63" s="3"/>
      <c r="H63" s="3"/>
      <c r="I63" s="3"/>
      <c r="J63" s="3"/>
      <c r="K63" s="3"/>
      <c r="L63" s="42"/>
      <c r="M63" s="42"/>
    </row>
    <row r="64" spans="2:13" x14ac:dyDescent="0.25">
      <c r="B64" t="s">
        <v>157</v>
      </c>
      <c r="G64" s="3"/>
      <c r="H64" s="3"/>
      <c r="I64" s="3"/>
      <c r="J64" s="3"/>
      <c r="K64" s="3"/>
    </row>
    <row r="65" spans="2:23" x14ac:dyDescent="0.25">
      <c r="C65" t="s">
        <v>158</v>
      </c>
      <c r="G65" s="15">
        <v>0.3871</v>
      </c>
      <c r="H65" s="15">
        <f>100%-G65</f>
        <v>0.6129</v>
      </c>
      <c r="I65" s="3"/>
      <c r="J65" s="3"/>
      <c r="K65" s="3"/>
    </row>
    <row r="66" spans="2:23" x14ac:dyDescent="0.25">
      <c r="B66" t="s">
        <v>159</v>
      </c>
      <c r="G66" s="52">
        <f ca="1">SUMPRODUCT(G61:H61,G65:H65)</f>
        <v>83.143479400125244</v>
      </c>
      <c r="H66" s="3"/>
      <c r="I66" s="3"/>
      <c r="J66" s="3"/>
      <c r="K66" s="3"/>
    </row>
    <row r="67" spans="2:23" ht="15.75" thickBot="1" x14ac:dyDescent="0.3">
      <c r="G67" s="3"/>
      <c r="H67" s="3"/>
      <c r="I67" s="3"/>
      <c r="J67" s="3"/>
      <c r="K67" s="3"/>
    </row>
    <row r="68" spans="2:23" ht="15.75" thickBot="1" x14ac:dyDescent="0.3">
      <c r="H68" s="203" t="s">
        <v>155</v>
      </c>
      <c r="I68" s="205"/>
      <c r="J68" s="205"/>
      <c r="K68" s="205"/>
      <c r="L68" s="205"/>
      <c r="M68" s="204"/>
    </row>
    <row r="69" spans="2:23" ht="15.75" thickBot="1" x14ac:dyDescent="0.3">
      <c r="H69" s="71"/>
      <c r="I69" s="206" t="s">
        <v>160</v>
      </c>
      <c r="J69" s="207"/>
      <c r="K69" s="207"/>
      <c r="L69" s="207"/>
      <c r="M69" s="208"/>
    </row>
    <row r="70" spans="2:23" ht="15.75" thickBot="1" x14ac:dyDescent="0.3">
      <c r="H70" s="71">
        <f ca="1">+G61</f>
        <v>80.03558128251936</v>
      </c>
      <c r="I70" s="58" cm="1">
        <f t="array" ref="I70:M70">_xlfn.SEQUENCE(1,5,2%,1%)</f>
        <v>0.02</v>
      </c>
      <c r="J70" s="59">
        <v>0.03</v>
      </c>
      <c r="K70" s="59">
        <v>0.04</v>
      </c>
      <c r="L70" s="59">
        <v>0.05</v>
      </c>
      <c r="M70" s="60">
        <v>6.0000000000000005E-2</v>
      </c>
    </row>
    <row r="71" spans="2:23" x14ac:dyDescent="0.25">
      <c r="G71" s="211" t="s">
        <v>112</v>
      </c>
      <c r="H71" s="55" cm="1">
        <f t="array" ref="H71:H75">_xlfn.SEQUENCE(5,1,11.5%,2%)</f>
        <v>0.115</v>
      </c>
      <c r="I71" s="3">
        <f t="dataTable" ref="I71:M75" dt2D="1" dtr="1" r1="G33" r2="G12"/>
        <v>85.361598241013098</v>
      </c>
      <c r="J71" s="3">
        <v>93.304509462484717</v>
      </c>
      <c r="K71" s="3">
        <v>103.36553034301541</v>
      </c>
      <c r="L71" s="3">
        <v>116.52224995601706</v>
      </c>
      <c r="M71" s="61">
        <v>134.46323124647392</v>
      </c>
      <c r="N71" t="s">
        <v>163</v>
      </c>
    </row>
    <row r="72" spans="2:23" x14ac:dyDescent="0.25">
      <c r="G72" s="212"/>
      <c r="H72" s="56">
        <v>0.13500000000000001</v>
      </c>
      <c r="I72" s="3">
        <v>68.549529204255023</v>
      </c>
      <c r="J72" s="3">
        <v>73.496634150413129</v>
      </c>
      <c r="K72" s="3">
        <v>79.485234874709789</v>
      </c>
      <c r="L72" s="3">
        <v>86.882918122370356</v>
      </c>
      <c r="M72" s="61">
        <v>96.253316902740409</v>
      </c>
    </row>
    <row r="73" spans="2:23" x14ac:dyDescent="0.25">
      <c r="G73" s="212"/>
      <c r="H73" s="56">
        <v>0.155</v>
      </c>
      <c r="I73" s="3">
        <v>56.708063060455039</v>
      </c>
      <c r="J73" s="3">
        <v>60.009097007681412</v>
      </c>
      <c r="K73" s="3">
        <v>63.884223815294966</v>
      </c>
      <c r="L73" s="3">
        <v>68.497470014834903</v>
      </c>
      <c r="M73" s="61">
        <v>74.081925940593791</v>
      </c>
    </row>
    <row r="74" spans="2:23" x14ac:dyDescent="0.25">
      <c r="G74" s="212"/>
      <c r="H74" s="56">
        <v>0.17499999999999999</v>
      </c>
      <c r="I74" s="3">
        <v>47.913975143315334</v>
      </c>
      <c r="J74" s="3">
        <v>50.228013440054767</v>
      </c>
      <c r="K74" s="3">
        <v>52.884872225200041</v>
      </c>
      <c r="L74" s="3">
        <v>55.966828415968564</v>
      </c>
      <c r="M74" s="61">
        <v>59.584776987740305</v>
      </c>
    </row>
    <row r="75" spans="2:23" ht="15.75" thickBot="1" x14ac:dyDescent="0.3">
      <c r="G75" s="213"/>
      <c r="H75" s="57">
        <v>0.19499999999999998</v>
      </c>
      <c r="I75" s="3">
        <v>41.123143141310287</v>
      </c>
      <c r="J75" s="3">
        <v>42.806701188379058</v>
      </c>
      <c r="K75" s="3">
        <v>44.707492531843791</v>
      </c>
      <c r="L75" s="3">
        <v>46.870461991648483</v>
      </c>
      <c r="M75" s="61">
        <v>49.353871371424248</v>
      </c>
    </row>
    <row r="76" spans="2:23" ht="15.75" thickBot="1" x14ac:dyDescent="0.3">
      <c r="H76" s="3"/>
      <c r="I76" s="3"/>
      <c r="J76" s="3"/>
      <c r="K76" s="3"/>
      <c r="L76" s="3"/>
    </row>
    <row r="77" spans="2:23" ht="15.75" thickBot="1" x14ac:dyDescent="0.3">
      <c r="H77" s="203" t="s">
        <v>155</v>
      </c>
      <c r="I77" s="205"/>
      <c r="J77" s="205"/>
      <c r="K77" s="205"/>
      <c r="L77" s="205"/>
      <c r="M77" s="204"/>
      <c r="W77">
        <v>6787</v>
      </c>
    </row>
    <row r="78" spans="2:23" ht="15.75" thickBot="1" x14ac:dyDescent="0.3">
      <c r="H78" s="71"/>
      <c r="I78" s="206" t="s">
        <v>161</v>
      </c>
      <c r="J78" s="207"/>
      <c r="K78" s="207"/>
      <c r="L78" s="207"/>
      <c r="M78" s="208"/>
    </row>
    <row r="79" spans="2:23" ht="15.75" thickBot="1" x14ac:dyDescent="0.3">
      <c r="H79" s="71">
        <f ca="1">+H61</f>
        <v>85.106389110233309</v>
      </c>
      <c r="I79" s="62" cm="1">
        <f t="array" ref="I79:M79">_xlfn.SEQUENCE(1,5,8,1)</f>
        <v>8</v>
      </c>
      <c r="J79" s="63">
        <v>9</v>
      </c>
      <c r="K79" s="63">
        <v>10</v>
      </c>
      <c r="L79" s="63">
        <v>11</v>
      </c>
      <c r="M79" s="64">
        <v>12</v>
      </c>
    </row>
    <row r="80" spans="2:23" x14ac:dyDescent="0.25">
      <c r="G80" s="211" t="s">
        <v>112</v>
      </c>
      <c r="H80" s="55" cm="1">
        <f t="array" ref="H80:H84">_xlfn.SEQUENCE(5,1,11.5%,2%)</f>
        <v>0.115</v>
      </c>
      <c r="I80" s="3">
        <f t="dataTable" ref="I80:M84" dt2D="1" dtr="1" r1="G45" r2="G12" ca="1"/>
        <v>92.487358777446829</v>
      </c>
      <c r="J80" s="3">
        <v>101.0983748411556</v>
      </c>
      <c r="K80" s="3">
        <v>109.70939090486439</v>
      </c>
      <c r="L80" s="3">
        <v>118.32040696857318</v>
      </c>
      <c r="M80" s="61">
        <v>126.93142303228196</v>
      </c>
      <c r="N80" t="s">
        <v>164</v>
      </c>
    </row>
    <row r="81" spans="6:13" x14ac:dyDescent="0.25">
      <c r="G81" s="212"/>
      <c r="H81" s="56">
        <v>0.13500000000000001</v>
      </c>
      <c r="I81" s="3">
        <v>84.896891424607787</v>
      </c>
      <c r="J81" s="3">
        <v>92.775498263093894</v>
      </c>
      <c r="K81" s="3">
        <v>100.65410510157999</v>
      </c>
      <c r="L81" s="3">
        <v>108.53271194006608</v>
      </c>
      <c r="M81" s="61">
        <v>116.41131877855219</v>
      </c>
    </row>
    <row r="82" spans="6:13" x14ac:dyDescent="0.25">
      <c r="G82" s="212"/>
      <c r="H82" s="56">
        <v>0.155</v>
      </c>
      <c r="I82" s="3">
        <v>78.025633172158706</v>
      </c>
      <c r="J82" s="3">
        <v>85.245327577586622</v>
      </c>
      <c r="K82" s="3">
        <v>92.465021983014523</v>
      </c>
      <c r="L82" s="3">
        <v>99.684716388442439</v>
      </c>
      <c r="M82" s="61">
        <v>106.90441079387033</v>
      </c>
    </row>
    <row r="83" spans="6:13" x14ac:dyDescent="0.25">
      <c r="G83" s="212"/>
      <c r="H83" s="56">
        <v>0.17499999999999999</v>
      </c>
      <c r="I83" s="3">
        <v>71.793165424361177</v>
      </c>
      <c r="J83" s="3">
        <v>78.418981912553221</v>
      </c>
      <c r="K83" s="3">
        <v>85.044798400745236</v>
      </c>
      <c r="L83" s="3">
        <v>91.67061488893728</v>
      </c>
      <c r="M83" s="61">
        <v>98.296431377129323</v>
      </c>
    </row>
    <row r="84" spans="6:13" ht="15.75" thickBot="1" x14ac:dyDescent="0.3">
      <c r="G84" s="213"/>
      <c r="H84" s="57">
        <v>0.19499999999999998</v>
      </c>
      <c r="I84" s="3">
        <v>66.129296690131611</v>
      </c>
      <c r="J84" s="3">
        <v>72.218902905927507</v>
      </c>
      <c r="K84" s="3">
        <v>78.30850912172339</v>
      </c>
      <c r="L84" s="3">
        <v>84.398115337519286</v>
      </c>
      <c r="M84" s="61">
        <v>90.487721553315211</v>
      </c>
    </row>
    <row r="85" spans="6:13" ht="15.75" thickBot="1" x14ac:dyDescent="0.3">
      <c r="G85" s="3"/>
      <c r="H85" s="3"/>
      <c r="I85" s="3"/>
      <c r="J85" s="3"/>
      <c r="K85" s="3"/>
    </row>
    <row r="86" spans="6:13" ht="15.75" thickBot="1" x14ac:dyDescent="0.3">
      <c r="G86" s="3"/>
      <c r="H86" s="203" t="s">
        <v>155</v>
      </c>
      <c r="I86" s="205"/>
      <c r="J86" s="205"/>
      <c r="K86" s="205"/>
      <c r="L86" s="205"/>
      <c r="M86" s="204"/>
    </row>
    <row r="87" spans="6:13" ht="15.75" thickBot="1" x14ac:dyDescent="0.3">
      <c r="G87" s="209" t="s">
        <v>162</v>
      </c>
      <c r="H87" s="71"/>
      <c r="I87" s="206" t="s">
        <v>161</v>
      </c>
      <c r="J87" s="207"/>
      <c r="K87" s="207"/>
      <c r="L87" s="207"/>
      <c r="M87" s="208"/>
    </row>
    <row r="88" spans="6:13" ht="15.75" thickBot="1" x14ac:dyDescent="0.3">
      <c r="G88" s="210"/>
      <c r="H88" s="71">
        <f ca="1">+H61</f>
        <v>85.106389110233309</v>
      </c>
      <c r="I88" s="62" cm="1">
        <f t="array" ref="I88:M88">_xlfn.SEQUENCE(1,5,8,1)</f>
        <v>8</v>
      </c>
      <c r="J88" s="63">
        <v>9</v>
      </c>
      <c r="K88" s="63">
        <v>10</v>
      </c>
      <c r="L88" s="63">
        <v>11</v>
      </c>
      <c r="M88" s="64">
        <v>12</v>
      </c>
    </row>
    <row r="89" spans="6:13" x14ac:dyDescent="0.25">
      <c r="G89" s="68" cm="1">
        <f t="array" ref="G89:G93">_xlfn.SEQUENCE(5,1,70%,15%)</f>
        <v>0.7</v>
      </c>
      <c r="H89" s="65">
        <f>+G89*DCF.Terminal.EBITDA</f>
        <v>5925.397438476095</v>
      </c>
      <c r="I89" s="3">
        <f t="dataTable" ref="I89:M93" dt2D="1" dtr="1" r1="G45" r2="G44"/>
        <v>66.149365059187616</v>
      </c>
      <c r="J89" s="3">
        <v>71.678497074075949</v>
      </c>
      <c r="K89" s="3">
        <v>77.207629088964268</v>
      </c>
      <c r="L89" s="3">
        <v>82.736761103852587</v>
      </c>
      <c r="M89" s="61">
        <v>88.265893118740919</v>
      </c>
    </row>
    <row r="90" spans="6:13" x14ac:dyDescent="0.25">
      <c r="G90" s="69">
        <v>0.85</v>
      </c>
      <c r="H90" s="66">
        <f>+G90*DCF.Terminal.EBITDA</f>
        <v>7195.1254610066871</v>
      </c>
      <c r="I90" s="3">
        <v>75.627877084710462</v>
      </c>
      <c r="J90" s="3">
        <v>82.341823102789149</v>
      </c>
      <c r="K90" s="3">
        <v>89.055769120867822</v>
      </c>
      <c r="L90" s="3">
        <v>95.769715138946509</v>
      </c>
      <c r="M90" s="61">
        <v>102.4836611570252</v>
      </c>
    </row>
    <row r="91" spans="6:13" x14ac:dyDescent="0.25">
      <c r="G91" s="69">
        <v>1</v>
      </c>
      <c r="H91" s="66">
        <f>+G91*DCF.Terminal.EBITDA</f>
        <v>8464.8534835372793</v>
      </c>
      <c r="I91" s="3">
        <v>85.106389110233309</v>
      </c>
      <c r="J91" s="3">
        <v>93.005149131502364</v>
      </c>
      <c r="K91" s="3">
        <v>100.90390915277139</v>
      </c>
      <c r="L91" s="3">
        <v>108.80266917404042</v>
      </c>
      <c r="M91" s="61">
        <v>116.70142919530944</v>
      </c>
    </row>
    <row r="92" spans="6:13" x14ac:dyDescent="0.25">
      <c r="G92" s="69">
        <v>1.1499999999999999</v>
      </c>
      <c r="H92" s="66">
        <f>+G92*DCF.Terminal.EBITDA</f>
        <v>9734.5815060678706</v>
      </c>
      <c r="I92" s="3">
        <v>94.584901135756155</v>
      </c>
      <c r="J92" s="3">
        <v>103.66847516021555</v>
      </c>
      <c r="K92" s="3">
        <v>112.75204918467492</v>
      </c>
      <c r="L92" s="3">
        <v>121.83562320913433</v>
      </c>
      <c r="M92" s="61">
        <v>130.91919723359374</v>
      </c>
    </row>
    <row r="93" spans="6:13" ht="15.75" thickBot="1" x14ac:dyDescent="0.3">
      <c r="G93" s="70">
        <v>1.2999999999999998</v>
      </c>
      <c r="H93" s="67">
        <f>+G93*DCF.Terminal.EBITDA</f>
        <v>11004.309528598462</v>
      </c>
      <c r="I93" s="3">
        <v>104.06341316127899</v>
      </c>
      <c r="J93" s="3">
        <v>114.33180118892874</v>
      </c>
      <c r="K93" s="3">
        <v>124.6001892165785</v>
      </c>
      <c r="L93" s="3">
        <v>134.86857724422822</v>
      </c>
      <c r="M93" s="61">
        <v>145.13696527187798</v>
      </c>
    </row>
    <row r="94" spans="6:13" x14ac:dyDescent="0.25">
      <c r="G94" s="3"/>
      <c r="H94" s="3"/>
      <c r="I94" s="3"/>
      <c r="J94" s="3"/>
      <c r="K94" s="3"/>
    </row>
    <row r="95" spans="6:13" x14ac:dyDescent="0.25">
      <c r="G95" s="3"/>
      <c r="H95" s="3"/>
      <c r="I95" s="3"/>
      <c r="J95" s="3"/>
      <c r="K95" s="3"/>
    </row>
    <row r="96" spans="6:13" x14ac:dyDescent="0.25">
      <c r="F96" t="s">
        <v>165</v>
      </c>
      <c r="G96" s="3" t="s">
        <v>166</v>
      </c>
      <c r="H96" s="3" t="s">
        <v>167</v>
      </c>
      <c r="I96" s="3" t="s">
        <v>168</v>
      </c>
      <c r="J96" s="3"/>
      <c r="K96" s="3"/>
    </row>
    <row r="97" spans="6:11" x14ac:dyDescent="0.25">
      <c r="F97" t="s">
        <v>169</v>
      </c>
      <c r="G97" s="3">
        <f>MIN(table.multiplier)</f>
        <v>66.129296690131611</v>
      </c>
      <c r="H97" s="3">
        <f>+I97-G97</f>
        <v>60.802126342150345</v>
      </c>
      <c r="I97" s="3">
        <f>MAX(table.multiplier)</f>
        <v>126.93142303228196</v>
      </c>
      <c r="J97" s="3"/>
      <c r="K97" s="3"/>
    </row>
    <row r="98" spans="6:11" x14ac:dyDescent="0.25">
      <c r="F98" t="s">
        <v>170</v>
      </c>
      <c r="G98" s="3">
        <f>MIN(table.perpetuity)</f>
        <v>41.123143141310287</v>
      </c>
      <c r="H98" s="3">
        <f t="shared" ref="H98:H99" si="3">+I98-G98</f>
        <v>93.34008810516363</v>
      </c>
      <c r="I98" s="3">
        <f>MAX(table.perpetuity)</f>
        <v>134.46323124647392</v>
      </c>
      <c r="J98" s="3"/>
      <c r="K98" s="3"/>
    </row>
    <row r="99" spans="6:11" x14ac:dyDescent="0.25">
      <c r="F99" t="s">
        <v>171</v>
      </c>
      <c r="G99" s="3" cm="1">
        <f t="array" aca="1" ref="G99" ca="1">_FV(stock,"52 week low",TRUE)</f>
        <v>5.63</v>
      </c>
      <c r="H99" s="3">
        <f t="shared" ca="1" si="3"/>
        <v>11.07</v>
      </c>
      <c r="I99" s="3" cm="1">
        <f t="array" aca="1" ref="I99" ca="1">_FV(stock,"52 week high",TRUE)</f>
        <v>16.7</v>
      </c>
      <c r="J99" s="3"/>
      <c r="K99" s="3"/>
    </row>
    <row r="100" spans="6:11" x14ac:dyDescent="0.25">
      <c r="F100" t="s">
        <v>124</v>
      </c>
      <c r="G100" s="3" cm="1">
        <f t="array" ref="G100:K100">_xlfn.SEQUENCE(1,5,1,1)</f>
        <v>1</v>
      </c>
      <c r="H100" s="3">
        <v>2</v>
      </c>
      <c r="I100" s="3">
        <v>3</v>
      </c>
      <c r="J100" s="3">
        <v>4</v>
      </c>
      <c r="K100" s="3">
        <v>5</v>
      </c>
    </row>
    <row r="101" spans="6:11" x14ac:dyDescent="0.25">
      <c r="G101" s="3"/>
      <c r="H101" s="3"/>
      <c r="I101" s="3"/>
      <c r="J101" s="3"/>
      <c r="K101" s="3"/>
    </row>
    <row r="102" spans="6:11" x14ac:dyDescent="0.25">
      <c r="G102" s="3"/>
      <c r="H102" s="3"/>
      <c r="I102" s="3"/>
      <c r="J102" s="3"/>
      <c r="K102" s="3"/>
    </row>
    <row r="103" spans="6:11" x14ac:dyDescent="0.25">
      <c r="G103" s="3"/>
      <c r="H103" s="3"/>
      <c r="I103" s="3"/>
      <c r="J103" s="3"/>
      <c r="K103" s="3"/>
    </row>
    <row r="104" spans="6:11" x14ac:dyDescent="0.25">
      <c r="G104" s="3"/>
      <c r="H104" s="3"/>
      <c r="I104" s="3"/>
      <c r="J104" s="3"/>
      <c r="K104" s="3"/>
    </row>
    <row r="105" spans="6:11" x14ac:dyDescent="0.25">
      <c r="G105" s="3"/>
      <c r="H105" s="3"/>
      <c r="I105" s="3"/>
      <c r="J105" s="3"/>
      <c r="K105" s="3"/>
    </row>
    <row r="106" spans="6:11" x14ac:dyDescent="0.25">
      <c r="G106" s="3"/>
      <c r="H106" s="3"/>
      <c r="I106" s="3"/>
      <c r="J106" s="3"/>
      <c r="K106" s="3"/>
    </row>
    <row r="107" spans="6:11" x14ac:dyDescent="0.25">
      <c r="G107" s="3"/>
      <c r="H107" s="3"/>
      <c r="I107" s="3"/>
      <c r="J107" s="3"/>
      <c r="K107" s="3"/>
    </row>
    <row r="108" spans="6:11" x14ac:dyDescent="0.25">
      <c r="G108" s="3"/>
      <c r="H108" s="3"/>
      <c r="I108" s="3"/>
      <c r="J108" s="3"/>
      <c r="K108" s="3"/>
    </row>
    <row r="109" spans="6:11" x14ac:dyDescent="0.25">
      <c r="G109" s="3"/>
      <c r="H109" s="3"/>
      <c r="I109" s="3"/>
      <c r="J109" s="3"/>
      <c r="K109" s="3"/>
    </row>
    <row r="110" spans="6:11" x14ac:dyDescent="0.25">
      <c r="G110" s="3"/>
      <c r="H110" s="3"/>
      <c r="I110" s="3"/>
      <c r="J110" s="3"/>
      <c r="K110" s="3"/>
    </row>
    <row r="111" spans="6:11" x14ac:dyDescent="0.25">
      <c r="G111" s="3"/>
      <c r="H111" s="3"/>
      <c r="I111" s="3"/>
      <c r="J111" s="3"/>
      <c r="K111" s="3"/>
    </row>
    <row r="112" spans="6:11" x14ac:dyDescent="0.25">
      <c r="G112" s="3"/>
      <c r="H112" s="3"/>
      <c r="I112" s="3"/>
      <c r="J112" s="3"/>
      <c r="K112" s="3"/>
    </row>
    <row r="113" spans="7:11" x14ac:dyDescent="0.25">
      <c r="G113" s="3"/>
      <c r="H113" s="3"/>
      <c r="I113" s="3"/>
      <c r="J113" s="3"/>
      <c r="K113" s="3"/>
    </row>
    <row r="114" spans="7:11" x14ac:dyDescent="0.25">
      <c r="G114" s="3"/>
      <c r="H114" s="3"/>
      <c r="I114" s="3"/>
      <c r="J114" s="3"/>
      <c r="K114" s="3"/>
    </row>
    <row r="115" spans="7:11" x14ac:dyDescent="0.25">
      <c r="G115" s="3"/>
      <c r="H115" s="3"/>
      <c r="I115" s="3"/>
      <c r="J115" s="3"/>
      <c r="K115" s="3"/>
    </row>
    <row r="116" spans="7:11" x14ac:dyDescent="0.25">
      <c r="G116" s="3"/>
      <c r="H116" s="3"/>
      <c r="I116" s="3"/>
      <c r="J116" s="3"/>
      <c r="K116" s="3"/>
    </row>
    <row r="117" spans="7:11" x14ac:dyDescent="0.25">
      <c r="G117" s="3"/>
      <c r="H117" s="3"/>
      <c r="I117" s="3"/>
      <c r="J117" s="3"/>
      <c r="K117" s="3"/>
    </row>
    <row r="118" spans="7:11" x14ac:dyDescent="0.25">
      <c r="G118" s="3"/>
      <c r="H118" s="3"/>
      <c r="I118" s="3"/>
      <c r="J118" s="3"/>
      <c r="K118" s="3"/>
    </row>
    <row r="119" spans="7:11" x14ac:dyDescent="0.25">
      <c r="G119" s="3"/>
      <c r="H119" s="3"/>
      <c r="I119" s="3"/>
      <c r="J119" s="3"/>
      <c r="K119" s="3"/>
    </row>
    <row r="120" spans="7:11" x14ac:dyDescent="0.25">
      <c r="G120" s="3"/>
      <c r="H120" s="3"/>
      <c r="I120" s="3"/>
      <c r="J120" s="3"/>
      <c r="K120" s="3"/>
    </row>
    <row r="121" spans="7:11" x14ac:dyDescent="0.25">
      <c r="G121" s="3"/>
      <c r="H121" s="3"/>
      <c r="I121" s="3"/>
      <c r="J121" s="3"/>
      <c r="K121" s="3"/>
    </row>
    <row r="122" spans="7:11" x14ac:dyDescent="0.25">
      <c r="G122" s="3"/>
      <c r="H122" s="3"/>
      <c r="I122" s="3"/>
      <c r="J122" s="3"/>
      <c r="K122" s="3"/>
    </row>
    <row r="123" spans="7:11" x14ac:dyDescent="0.25">
      <c r="G123" s="3"/>
      <c r="H123" s="3"/>
      <c r="I123" s="3"/>
      <c r="J123" s="3"/>
      <c r="K123" s="3"/>
    </row>
    <row r="124" spans="7:11" x14ac:dyDescent="0.25">
      <c r="G124" s="3"/>
      <c r="H124" s="3"/>
      <c r="I124" s="3"/>
      <c r="J124" s="3"/>
      <c r="K124" s="3"/>
    </row>
    <row r="125" spans="7:11" x14ac:dyDescent="0.25">
      <c r="G125" s="3"/>
      <c r="H125" s="3"/>
      <c r="I125" s="3"/>
      <c r="J125" s="3"/>
      <c r="K125" s="3"/>
    </row>
    <row r="126" spans="7:11" x14ac:dyDescent="0.25">
      <c r="G126" s="3"/>
      <c r="H126" s="3"/>
      <c r="I126" s="3"/>
      <c r="J126" s="3"/>
      <c r="K126" s="3"/>
    </row>
    <row r="127" spans="7:11" x14ac:dyDescent="0.25">
      <c r="G127" s="3"/>
      <c r="H127" s="3"/>
      <c r="I127" s="3"/>
      <c r="J127" s="3"/>
      <c r="K127" s="3"/>
    </row>
    <row r="128" spans="7:11" x14ac:dyDescent="0.25">
      <c r="G128" s="3"/>
      <c r="H128" s="3"/>
      <c r="I128" s="3"/>
      <c r="J128" s="3"/>
      <c r="K128" s="3"/>
    </row>
    <row r="129" spans="7:11" x14ac:dyDescent="0.25">
      <c r="G129" s="3"/>
      <c r="H129" s="3"/>
      <c r="I129" s="3"/>
      <c r="J129" s="3"/>
      <c r="K129" s="3"/>
    </row>
    <row r="130" spans="7:11" x14ac:dyDescent="0.25">
      <c r="G130" s="3"/>
      <c r="H130" s="3"/>
      <c r="I130" s="3"/>
      <c r="J130" s="3"/>
      <c r="K130" s="3"/>
    </row>
    <row r="131" spans="7:11" x14ac:dyDescent="0.25">
      <c r="G131" s="3"/>
      <c r="H131" s="3"/>
      <c r="I131" s="3"/>
      <c r="J131" s="3"/>
      <c r="K131" s="3"/>
    </row>
    <row r="132" spans="7:11" x14ac:dyDescent="0.25">
      <c r="G132" s="3"/>
      <c r="H132" s="3"/>
      <c r="I132" s="3"/>
      <c r="J132" s="3"/>
      <c r="K132" s="3"/>
    </row>
    <row r="133" spans="7:11" x14ac:dyDescent="0.25">
      <c r="G133" s="3"/>
      <c r="H133" s="3"/>
      <c r="I133" s="3"/>
      <c r="J133" s="3"/>
      <c r="K133" s="3"/>
    </row>
    <row r="134" spans="7:11" x14ac:dyDescent="0.25">
      <c r="G134" s="3"/>
      <c r="H134" s="3"/>
      <c r="I134" s="3"/>
      <c r="J134" s="3"/>
      <c r="K134" s="3"/>
    </row>
    <row r="135" spans="7:11" x14ac:dyDescent="0.25">
      <c r="G135" s="3"/>
      <c r="H135" s="3"/>
      <c r="I135" s="3"/>
      <c r="J135" s="3"/>
      <c r="K135" s="3"/>
    </row>
    <row r="136" spans="7:11" x14ac:dyDescent="0.25">
      <c r="G136" s="3"/>
      <c r="H136" s="3"/>
      <c r="I136" s="3"/>
      <c r="J136" s="3"/>
      <c r="K136" s="3"/>
    </row>
    <row r="137" spans="7:11" x14ac:dyDescent="0.25">
      <c r="G137" s="3"/>
      <c r="H137" s="3"/>
      <c r="I137" s="3"/>
      <c r="J137" s="3"/>
      <c r="K137" s="3"/>
    </row>
    <row r="138" spans="7:11" x14ac:dyDescent="0.25">
      <c r="G138" s="3"/>
      <c r="H138" s="3"/>
      <c r="I138" s="3"/>
      <c r="J138" s="3"/>
      <c r="K138" s="3"/>
    </row>
    <row r="139" spans="7:11" x14ac:dyDescent="0.25">
      <c r="G139" s="3"/>
      <c r="H139" s="3"/>
      <c r="I139" s="3"/>
      <c r="J139" s="3"/>
      <c r="K139" s="3"/>
    </row>
    <row r="140" spans="7:11" x14ac:dyDescent="0.25">
      <c r="G140" s="3"/>
      <c r="H140" s="3"/>
      <c r="I140" s="3"/>
      <c r="J140" s="3"/>
      <c r="K140" s="3"/>
    </row>
    <row r="141" spans="7:11" x14ac:dyDescent="0.25">
      <c r="G141" s="3"/>
      <c r="H141" s="3"/>
      <c r="I141" s="3"/>
      <c r="J141" s="3"/>
      <c r="K141" s="3"/>
    </row>
    <row r="142" spans="7:11" x14ac:dyDescent="0.25">
      <c r="G142" s="3"/>
      <c r="H142" s="3"/>
      <c r="I142" s="3"/>
      <c r="J142" s="3"/>
      <c r="K142" s="3"/>
    </row>
    <row r="143" spans="7:11" x14ac:dyDescent="0.25">
      <c r="G143" s="3"/>
      <c r="H143" s="3"/>
      <c r="I143" s="3"/>
      <c r="J143" s="3"/>
      <c r="K143" s="3"/>
    </row>
    <row r="144" spans="7:11" x14ac:dyDescent="0.25">
      <c r="G144" s="3"/>
      <c r="H144" s="3"/>
      <c r="I144" s="3"/>
      <c r="J144" s="3"/>
      <c r="K144" s="3"/>
    </row>
    <row r="145" spans="7:11" x14ac:dyDescent="0.25">
      <c r="G145" s="3"/>
      <c r="H145" s="3"/>
      <c r="I145" s="3"/>
      <c r="J145" s="3"/>
      <c r="K145" s="3"/>
    </row>
    <row r="146" spans="7:11" x14ac:dyDescent="0.25">
      <c r="G146" s="3"/>
      <c r="H146" s="3"/>
      <c r="I146" s="3"/>
      <c r="J146" s="3"/>
      <c r="K146" s="3"/>
    </row>
    <row r="147" spans="7:11" x14ac:dyDescent="0.25">
      <c r="G147" s="3"/>
      <c r="H147" s="3"/>
      <c r="I147" s="3"/>
      <c r="J147" s="3"/>
      <c r="K147" s="3"/>
    </row>
    <row r="148" spans="7:11" x14ac:dyDescent="0.25">
      <c r="G148" s="3"/>
      <c r="H148" s="3"/>
      <c r="I148" s="3"/>
      <c r="J148" s="3"/>
      <c r="K148" s="3"/>
    </row>
    <row r="149" spans="7:11" x14ac:dyDescent="0.25">
      <c r="G149" s="3"/>
      <c r="H149" s="3"/>
      <c r="I149" s="3"/>
      <c r="J149" s="3"/>
      <c r="K149" s="3"/>
    </row>
    <row r="150" spans="7:11" x14ac:dyDescent="0.25">
      <c r="G150" s="3"/>
      <c r="H150" s="3"/>
      <c r="I150" s="3"/>
      <c r="J150" s="3"/>
      <c r="K150" s="3"/>
    </row>
    <row r="151" spans="7:11" x14ac:dyDescent="0.25">
      <c r="G151" s="3"/>
      <c r="H151" s="3"/>
      <c r="I151" s="3"/>
      <c r="J151" s="3"/>
      <c r="K151" s="3"/>
    </row>
    <row r="152" spans="7:11" x14ac:dyDescent="0.25">
      <c r="G152" s="3"/>
      <c r="H152" s="3"/>
      <c r="I152" s="3"/>
      <c r="J152" s="3"/>
      <c r="K152" s="3"/>
    </row>
    <row r="153" spans="7:11" x14ac:dyDescent="0.25">
      <c r="G153" s="3"/>
      <c r="H153" s="3"/>
      <c r="I153" s="3"/>
      <c r="J153" s="3"/>
      <c r="K153" s="3"/>
    </row>
    <row r="154" spans="7:11" x14ac:dyDescent="0.25">
      <c r="G154" s="3"/>
      <c r="H154" s="3"/>
      <c r="I154" s="3"/>
      <c r="J154" s="3"/>
      <c r="K154" s="3"/>
    </row>
    <row r="155" spans="7:11" x14ac:dyDescent="0.25">
      <c r="G155" s="3"/>
      <c r="H155" s="3"/>
      <c r="I155" s="3"/>
      <c r="J155" s="3"/>
      <c r="K155" s="3"/>
    </row>
    <row r="156" spans="7:11" x14ac:dyDescent="0.25">
      <c r="G156" s="3"/>
      <c r="H156" s="3"/>
      <c r="I156" s="3"/>
      <c r="J156" s="3"/>
      <c r="K156" s="3"/>
    </row>
    <row r="157" spans="7:11" x14ac:dyDescent="0.25">
      <c r="G157" s="3"/>
      <c r="H157" s="3"/>
      <c r="I157" s="3"/>
      <c r="J157" s="3"/>
      <c r="K157" s="3"/>
    </row>
  </sheetData>
  <mergeCells count="11">
    <mergeCell ref="D40:F40"/>
    <mergeCell ref="G53:H53"/>
    <mergeCell ref="H68:M68"/>
    <mergeCell ref="H86:M86"/>
    <mergeCell ref="I87:M87"/>
    <mergeCell ref="G87:G88"/>
    <mergeCell ref="I69:M69"/>
    <mergeCell ref="G71:G75"/>
    <mergeCell ref="H77:M77"/>
    <mergeCell ref="I78:M78"/>
    <mergeCell ref="G80:G84"/>
  </mergeCells>
  <conditionalFormatting sqref="I71:M75">
    <cfRule type="colorScale" priority="3">
      <colorScale>
        <cfvo type="min"/>
        <cfvo type="percentile" val="50"/>
        <cfvo type="max"/>
        <color rgb="FFF8696B"/>
        <color rgb="FFFFEB84"/>
        <color rgb="FF63BE7B"/>
      </colorScale>
    </cfRule>
  </conditionalFormatting>
  <conditionalFormatting sqref="I80:M84">
    <cfRule type="colorScale" priority="2">
      <colorScale>
        <cfvo type="min"/>
        <cfvo type="percentile" val="50"/>
        <cfvo type="max"/>
        <color rgb="FFF8696B"/>
        <color rgb="FFFFEB84"/>
        <color rgb="FF63BE7B"/>
      </colorScale>
    </cfRule>
  </conditionalFormatting>
  <conditionalFormatting sqref="I89:M93">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B2E4D-77CE-4249-BEF5-5E6BD47C4C3E}">
  <sheetPr>
    <tabColor theme="8" tint="-0.249977111117893"/>
  </sheetPr>
  <dimension ref="A1:U193"/>
  <sheetViews>
    <sheetView tabSelected="1" zoomScale="130" zoomScaleNormal="130" workbookViewId="0">
      <pane xSplit="6" ySplit="2" topLeftCell="G44" activePane="bottomRight" state="frozen"/>
      <selection pane="topRight" activeCell="G1" sqref="G1"/>
      <selection pane="bottomLeft" activeCell="A3" sqref="A3"/>
      <selection pane="bottomRight" activeCell="S18" sqref="S18"/>
    </sheetView>
  </sheetViews>
  <sheetFormatPr defaultRowHeight="15" x14ac:dyDescent="0.25"/>
  <cols>
    <col min="1" max="5" width="2.140625" customWidth="1"/>
    <col min="6" max="6" width="20.140625" customWidth="1"/>
    <col min="7" max="9" width="10" bestFit="1" customWidth="1"/>
    <col min="10" max="10" width="10" customWidth="1"/>
    <col min="11" max="11" width="9.140625" customWidth="1"/>
  </cols>
  <sheetData>
    <row r="1" spans="1:21" ht="23.25" x14ac:dyDescent="0.35">
      <c r="A1" s="2" t="str">
        <f>company.name&amp;" Debt Schedule"</f>
        <v>Legends Inc. Debt Schedule</v>
      </c>
    </row>
    <row r="2" spans="1:21" x14ac:dyDescent="0.25">
      <c r="G2" s="5" cm="1">
        <f t="array" ref="G2:I2">dates.hist</f>
        <v>2022</v>
      </c>
      <c r="H2" s="5">
        <v>2023</v>
      </c>
      <c r="I2" s="5">
        <v>2024</v>
      </c>
      <c r="J2" s="106" t="s">
        <v>204</v>
      </c>
      <c r="K2" s="24" cm="1">
        <f t="array" ref="K2:O2">+dates.forecast</f>
        <v>2025</v>
      </c>
      <c r="L2" s="24">
        <v>2026</v>
      </c>
      <c r="M2" s="24">
        <v>2027</v>
      </c>
      <c r="N2" s="24">
        <v>2028</v>
      </c>
      <c r="O2" s="24">
        <v>2029</v>
      </c>
      <c r="P2" s="28"/>
    </row>
    <row r="3" spans="1:21" x14ac:dyDescent="0.25">
      <c r="B3" t="s">
        <v>60</v>
      </c>
      <c r="J3" s="107"/>
      <c r="P3" s="28"/>
    </row>
    <row r="4" spans="1:21" x14ac:dyDescent="0.25">
      <c r="C4" t="s">
        <v>61</v>
      </c>
      <c r="G4" s="3">
        <v>2000</v>
      </c>
      <c r="H4" s="3">
        <v>1750</v>
      </c>
      <c r="I4" s="3">
        <v>1500</v>
      </c>
      <c r="J4" s="108">
        <v>0</v>
      </c>
      <c r="K4" s="3">
        <f>+J4</f>
        <v>0</v>
      </c>
      <c r="L4" s="3">
        <f t="shared" ref="L4:O4" si="0">+K4</f>
        <v>0</v>
      </c>
      <c r="M4" s="3">
        <f t="shared" si="0"/>
        <v>0</v>
      </c>
      <c r="N4" s="3">
        <f t="shared" si="0"/>
        <v>0</v>
      </c>
      <c r="O4" s="3">
        <f t="shared" si="0"/>
        <v>0</v>
      </c>
      <c r="P4" s="25">
        <f>+O4</f>
        <v>0</v>
      </c>
      <c r="Q4" s="3"/>
      <c r="R4" s="3"/>
      <c r="S4" s="3"/>
      <c r="T4" s="3"/>
      <c r="U4" s="3"/>
    </row>
    <row r="5" spans="1:21" x14ac:dyDescent="0.25">
      <c r="C5" t="s">
        <v>62</v>
      </c>
      <c r="G5" s="3">
        <v>2500</v>
      </c>
      <c r="H5" s="3">
        <f>+G5</f>
        <v>2500</v>
      </c>
      <c r="I5" s="3">
        <f>+H5</f>
        <v>2500</v>
      </c>
      <c r="J5" s="108">
        <v>0</v>
      </c>
      <c r="K5" s="3">
        <f t="shared" ref="K5:O6" si="1">+J5</f>
        <v>0</v>
      </c>
      <c r="L5" s="3">
        <f t="shared" si="1"/>
        <v>0</v>
      </c>
      <c r="M5" s="3">
        <f t="shared" si="1"/>
        <v>0</v>
      </c>
      <c r="N5" s="3">
        <f t="shared" si="1"/>
        <v>0</v>
      </c>
      <c r="O5" s="3">
        <f t="shared" si="1"/>
        <v>0</v>
      </c>
      <c r="P5" s="25">
        <f t="shared" ref="P5" si="2">+O5</f>
        <v>0</v>
      </c>
      <c r="Q5" s="3"/>
      <c r="R5" s="3"/>
      <c r="S5" s="3"/>
      <c r="T5" s="3"/>
      <c r="U5" s="3"/>
    </row>
    <row r="6" spans="1:21" x14ac:dyDescent="0.25">
      <c r="C6" t="s">
        <v>63</v>
      </c>
      <c r="G6" s="3">
        <v>3500</v>
      </c>
      <c r="H6" s="3">
        <v>3500</v>
      </c>
      <c r="I6" s="3">
        <v>1500</v>
      </c>
      <c r="J6" s="108">
        <v>0</v>
      </c>
      <c r="K6" s="3">
        <f t="shared" si="1"/>
        <v>0</v>
      </c>
      <c r="L6" s="3">
        <f t="shared" si="1"/>
        <v>0</v>
      </c>
      <c r="M6" s="3">
        <f t="shared" si="1"/>
        <v>0</v>
      </c>
      <c r="N6" s="3">
        <f t="shared" si="1"/>
        <v>0</v>
      </c>
      <c r="O6" s="3">
        <f t="shared" si="1"/>
        <v>0</v>
      </c>
      <c r="P6" s="25">
        <f t="shared" ref="P6" si="3">+O6</f>
        <v>0</v>
      </c>
      <c r="Q6" s="3"/>
      <c r="R6" s="3"/>
      <c r="S6" s="3"/>
      <c r="T6" s="3"/>
      <c r="U6" s="3"/>
    </row>
    <row r="7" spans="1:21" x14ac:dyDescent="0.25">
      <c r="C7" t="s">
        <v>205</v>
      </c>
      <c r="G7" s="3">
        <v>0</v>
      </c>
      <c r="H7" s="3">
        <v>0</v>
      </c>
      <c r="I7" s="3">
        <v>0</v>
      </c>
      <c r="J7" s="108">
        <f>+LBO.Revolver</f>
        <v>20000</v>
      </c>
      <c r="K7" s="3">
        <f ca="1">+J7+K26+K27</f>
        <v>18500</v>
      </c>
      <c r="L7" s="3">
        <f t="shared" ref="L7:P7" ca="1" si="4">+K7+L26+L27</f>
        <v>16603.763221357745</v>
      </c>
      <c r="M7" s="3">
        <f t="shared" ca="1" si="4"/>
        <v>14303.885536786152</v>
      </c>
      <c r="N7" s="3">
        <f t="shared" ca="1" si="4"/>
        <v>11645.471330587372</v>
      </c>
      <c r="O7" s="3">
        <f t="shared" ca="1" si="4"/>
        <v>8713.3719239918755</v>
      </c>
      <c r="P7" s="3">
        <f t="shared" ca="1" si="4"/>
        <v>7213.3719239918755</v>
      </c>
      <c r="Q7" s="3"/>
      <c r="R7" s="3"/>
      <c r="S7" s="3"/>
      <c r="T7" s="3"/>
      <c r="U7" s="3"/>
    </row>
    <row r="8" spans="1:21" x14ac:dyDescent="0.25">
      <c r="C8" t="s">
        <v>190</v>
      </c>
      <c r="G8" s="3">
        <v>0</v>
      </c>
      <c r="H8" s="3">
        <v>0</v>
      </c>
      <c r="I8" s="3">
        <v>0</v>
      </c>
      <c r="J8" s="108">
        <f>+LBO.SubDebt</f>
        <v>20000</v>
      </c>
      <c r="K8" s="3">
        <f>+J8</f>
        <v>20000</v>
      </c>
      <c r="L8" s="3">
        <f t="shared" ref="L8:P8" si="5">+K8</f>
        <v>20000</v>
      </c>
      <c r="M8" s="3">
        <f t="shared" si="5"/>
        <v>20000</v>
      </c>
      <c r="N8" s="3">
        <f t="shared" si="5"/>
        <v>20000</v>
      </c>
      <c r="O8" s="3">
        <f t="shared" si="5"/>
        <v>20000</v>
      </c>
      <c r="P8" s="3">
        <f t="shared" si="5"/>
        <v>20000</v>
      </c>
      <c r="Q8" s="3"/>
      <c r="R8" s="3"/>
      <c r="S8" s="3"/>
      <c r="T8" s="3"/>
      <c r="U8" s="3"/>
    </row>
    <row r="9" spans="1:21" x14ac:dyDescent="0.25">
      <c r="B9" t="s">
        <v>64</v>
      </c>
      <c r="G9" s="6">
        <f t="shared" ref="G9:P9" si="6">SUM(G4:G8)</f>
        <v>8000</v>
      </c>
      <c r="H9" s="6">
        <f t="shared" si="6"/>
        <v>7750</v>
      </c>
      <c r="I9" s="26">
        <f t="shared" si="6"/>
        <v>5500</v>
      </c>
      <c r="J9" s="109">
        <f>SUM(J4:J8)</f>
        <v>40000</v>
      </c>
      <c r="K9" s="6">
        <f t="shared" ca="1" si="6"/>
        <v>38500</v>
      </c>
      <c r="L9" s="6">
        <f t="shared" ca="1" si="6"/>
        <v>36603.763221357745</v>
      </c>
      <c r="M9" s="6">
        <f t="shared" ca="1" si="6"/>
        <v>34303.885536786154</v>
      </c>
      <c r="N9" s="6">
        <f t="shared" ca="1" si="6"/>
        <v>31645.471330587374</v>
      </c>
      <c r="O9" s="26">
        <f t="shared" ca="1" si="6"/>
        <v>28713.371923991876</v>
      </c>
      <c r="P9" s="6">
        <f t="shared" ca="1" si="6"/>
        <v>27213.371923991876</v>
      </c>
      <c r="Q9" s="3"/>
      <c r="R9" s="3"/>
      <c r="S9" s="3"/>
      <c r="T9" s="3"/>
      <c r="U9" s="3"/>
    </row>
    <row r="10" spans="1:21" x14ac:dyDescent="0.25">
      <c r="G10" s="3"/>
      <c r="H10" s="3"/>
      <c r="I10" s="3" t="s">
        <v>111</v>
      </c>
      <c r="J10" s="108"/>
      <c r="K10" s="3"/>
      <c r="L10" s="3"/>
      <c r="M10" s="3"/>
      <c r="N10" s="3"/>
      <c r="O10" s="3"/>
      <c r="P10" s="3"/>
      <c r="Q10" s="3"/>
      <c r="R10" s="3"/>
      <c r="S10" s="3"/>
      <c r="T10" s="3"/>
      <c r="U10" s="3"/>
    </row>
    <row r="11" spans="1:21" x14ac:dyDescent="0.25">
      <c r="B11" t="s">
        <v>65</v>
      </c>
      <c r="G11" s="3"/>
      <c r="H11" s="3"/>
      <c r="I11" s="3"/>
      <c r="J11" s="108"/>
      <c r="K11" s="3"/>
      <c r="L11" s="3"/>
      <c r="M11" s="3"/>
      <c r="N11" s="3"/>
      <c r="O11" s="3"/>
      <c r="P11" s="3"/>
      <c r="Q11" s="3"/>
      <c r="R11" s="3"/>
      <c r="S11" s="3"/>
      <c r="T11" s="3"/>
      <c r="U11" s="3"/>
    </row>
    <row r="12" spans="1:21" x14ac:dyDescent="0.25">
      <c r="C12" t="str" cm="1">
        <f t="array" ref="C12:C16">+C4:C8</f>
        <v>Huntington</v>
      </c>
      <c r="G12" s="15">
        <v>6.4500000000000002E-2</v>
      </c>
      <c r="H12" s="15">
        <f>+G12</f>
        <v>6.4500000000000002E-2</v>
      </c>
      <c r="I12" s="15">
        <f>+H12</f>
        <v>6.4500000000000002E-2</v>
      </c>
      <c r="J12" s="110"/>
      <c r="K12" s="15">
        <f>+I12</f>
        <v>6.4500000000000002E-2</v>
      </c>
      <c r="L12" s="15">
        <f t="shared" ref="L12:O16" si="7">+K12</f>
        <v>6.4500000000000002E-2</v>
      </c>
      <c r="M12" s="15">
        <f t="shared" si="7"/>
        <v>6.4500000000000002E-2</v>
      </c>
      <c r="N12" s="15">
        <f t="shared" si="7"/>
        <v>6.4500000000000002E-2</v>
      </c>
      <c r="O12" s="15">
        <f t="shared" si="7"/>
        <v>6.4500000000000002E-2</v>
      </c>
      <c r="P12" s="4"/>
      <c r="Q12" s="4"/>
      <c r="R12" s="4"/>
      <c r="S12" s="4"/>
      <c r="T12" s="3"/>
      <c r="U12" s="3"/>
    </row>
    <row r="13" spans="1:21" x14ac:dyDescent="0.25">
      <c r="C13" t="str">
        <v>PNC</v>
      </c>
      <c r="G13" s="15">
        <v>7.2499999999999995E-2</v>
      </c>
      <c r="H13" s="15">
        <f t="shared" ref="H13:I13" si="8">+G13</f>
        <v>7.2499999999999995E-2</v>
      </c>
      <c r="I13" s="15">
        <f t="shared" si="8"/>
        <v>7.2499999999999995E-2</v>
      </c>
      <c r="J13" s="110"/>
      <c r="K13" s="15">
        <f>+I13</f>
        <v>7.2499999999999995E-2</v>
      </c>
      <c r="L13" s="15">
        <f t="shared" si="7"/>
        <v>7.2499999999999995E-2</v>
      </c>
      <c r="M13" s="15">
        <f t="shared" si="7"/>
        <v>7.2499999999999995E-2</v>
      </c>
      <c r="N13" s="15">
        <f t="shared" si="7"/>
        <v>7.2499999999999995E-2</v>
      </c>
      <c r="O13" s="15">
        <f t="shared" si="7"/>
        <v>7.2499999999999995E-2</v>
      </c>
      <c r="P13" s="4"/>
      <c r="Q13" s="4"/>
      <c r="R13" s="4"/>
      <c r="S13" s="4"/>
      <c r="T13" s="3"/>
      <c r="U13" s="3"/>
    </row>
    <row r="14" spans="1:21" x14ac:dyDescent="0.25">
      <c r="C14" t="str">
        <v>Keybank</v>
      </c>
      <c r="G14" s="15">
        <v>6.1499999999999999E-2</v>
      </c>
      <c r="H14" s="15">
        <f t="shared" ref="H14:I14" si="9">+G14</f>
        <v>6.1499999999999999E-2</v>
      </c>
      <c r="I14" s="15">
        <f t="shared" si="9"/>
        <v>6.1499999999999999E-2</v>
      </c>
      <c r="J14" s="110"/>
      <c r="K14" s="15">
        <f>+I14</f>
        <v>6.1499999999999999E-2</v>
      </c>
      <c r="L14" s="15">
        <f t="shared" si="7"/>
        <v>6.1499999999999999E-2</v>
      </c>
      <c r="M14" s="15">
        <f t="shared" si="7"/>
        <v>6.1499999999999999E-2</v>
      </c>
      <c r="N14" s="15">
        <f t="shared" si="7"/>
        <v>6.1499999999999999E-2</v>
      </c>
      <c r="O14" s="15">
        <f t="shared" si="7"/>
        <v>6.1499999999999999E-2</v>
      </c>
      <c r="P14" s="4"/>
      <c r="Q14" s="4"/>
      <c r="R14" s="4"/>
      <c r="S14" s="4"/>
      <c r="T14" s="3"/>
      <c r="U14" s="3"/>
    </row>
    <row r="15" spans="1:21" x14ac:dyDescent="0.25">
      <c r="C15" t="str">
        <v>LBO Revolver</v>
      </c>
      <c r="G15" s="15">
        <v>0</v>
      </c>
      <c r="H15" s="15">
        <f t="shared" ref="H15:I15" si="10">+G15</f>
        <v>0</v>
      </c>
      <c r="I15" s="15">
        <f t="shared" si="10"/>
        <v>0</v>
      </c>
      <c r="J15" s="110"/>
      <c r="K15" s="15">
        <v>7.4999999999999997E-2</v>
      </c>
      <c r="L15" s="15">
        <f t="shared" si="7"/>
        <v>7.4999999999999997E-2</v>
      </c>
      <c r="M15" s="15">
        <f t="shared" si="7"/>
        <v>7.4999999999999997E-2</v>
      </c>
      <c r="N15" s="15">
        <f t="shared" si="7"/>
        <v>7.4999999999999997E-2</v>
      </c>
      <c r="O15" s="15">
        <f t="shared" si="7"/>
        <v>7.4999999999999997E-2</v>
      </c>
      <c r="P15" s="4"/>
      <c r="Q15" s="4"/>
      <c r="R15" s="4"/>
      <c r="S15" s="4"/>
      <c r="T15" s="3"/>
      <c r="U15" s="3"/>
    </row>
    <row r="16" spans="1:21" x14ac:dyDescent="0.25">
      <c r="C16" t="str">
        <v>Subordinated Debt</v>
      </c>
      <c r="G16" s="15">
        <v>0</v>
      </c>
      <c r="H16" s="15">
        <f t="shared" ref="H16:I16" si="11">+G16</f>
        <v>0</v>
      </c>
      <c r="I16" s="15">
        <f t="shared" si="11"/>
        <v>0</v>
      </c>
      <c r="J16" s="110"/>
      <c r="K16" s="15">
        <v>0.105</v>
      </c>
      <c r="L16" s="15">
        <f t="shared" si="7"/>
        <v>0.105</v>
      </c>
      <c r="M16" s="15">
        <f t="shared" si="7"/>
        <v>0.105</v>
      </c>
      <c r="N16" s="15">
        <f t="shared" si="7"/>
        <v>0.105</v>
      </c>
      <c r="O16" s="15">
        <f t="shared" si="7"/>
        <v>0.105</v>
      </c>
      <c r="P16" s="4"/>
      <c r="Q16" s="4"/>
      <c r="R16" s="4"/>
      <c r="S16" s="4"/>
      <c r="T16" s="3"/>
      <c r="U16" s="3"/>
    </row>
    <row r="17" spans="2:21" ht="15.75" thickBot="1" x14ac:dyDescent="0.3">
      <c r="G17" s="3"/>
      <c r="H17" s="3"/>
      <c r="I17" s="37"/>
      <c r="J17" s="111"/>
      <c r="K17" s="3"/>
      <c r="L17" s="3"/>
      <c r="M17" s="3"/>
      <c r="N17" s="3"/>
      <c r="O17" s="3"/>
      <c r="P17" s="3"/>
      <c r="Q17" s="3"/>
      <c r="R17" s="3"/>
      <c r="S17" s="3"/>
      <c r="T17" s="3"/>
      <c r="U17" s="3"/>
    </row>
    <row r="18" spans="2:21" ht="15.75" thickBot="1" x14ac:dyDescent="0.3">
      <c r="B18" t="s">
        <v>21</v>
      </c>
      <c r="G18" s="29">
        <f>SUMPRODUCT(G4:G8,G12:G16)</f>
        <v>525.5</v>
      </c>
      <c r="H18" s="29">
        <f t="shared" ref="H18:O18" si="12">SUMPRODUCT(H4:H8,H12:H16)</f>
        <v>509.375</v>
      </c>
      <c r="I18" s="36">
        <f t="shared" si="12"/>
        <v>370.25</v>
      </c>
      <c r="J18" s="112"/>
      <c r="K18" s="27">
        <f ca="1">SUMPRODUCT(K4:K8,K12:K16)</f>
        <v>3487.5</v>
      </c>
      <c r="L18" s="27">
        <f t="shared" ca="1" si="12"/>
        <v>3345.2822416018307</v>
      </c>
      <c r="M18" s="27">
        <f t="shared" ca="1" si="12"/>
        <v>3172.7914152589615</v>
      </c>
      <c r="N18" s="27">
        <f t="shared" ca="1" si="12"/>
        <v>2973.4103497940528</v>
      </c>
      <c r="O18" s="27">
        <f t="shared" ca="1" si="12"/>
        <v>2753.5028942993904</v>
      </c>
      <c r="P18" s="3"/>
      <c r="Q18" s="3"/>
      <c r="R18" s="3"/>
      <c r="S18" s="3"/>
      <c r="T18" s="3"/>
      <c r="U18" s="3"/>
    </row>
    <row r="19" spans="2:21" x14ac:dyDescent="0.25">
      <c r="G19" s="3"/>
      <c r="H19" s="3"/>
      <c r="I19" s="3"/>
      <c r="J19" s="108"/>
      <c r="K19" s="3"/>
      <c r="L19" s="3"/>
      <c r="M19" s="3"/>
      <c r="N19" s="3"/>
      <c r="O19" s="3"/>
      <c r="P19" s="3"/>
      <c r="Q19" s="3"/>
      <c r="R19" s="3"/>
      <c r="S19" s="3"/>
      <c r="T19" s="3"/>
      <c r="U19" s="3"/>
    </row>
    <row r="20" spans="2:21" x14ac:dyDescent="0.25">
      <c r="B20" t="s">
        <v>66</v>
      </c>
      <c r="G20" s="3"/>
      <c r="H20" s="3"/>
      <c r="I20" s="3"/>
      <c r="J20" s="108"/>
      <c r="K20" s="3"/>
      <c r="L20" s="3"/>
      <c r="M20" s="3"/>
      <c r="N20" s="3"/>
      <c r="O20" s="3"/>
      <c r="P20" s="3"/>
      <c r="Q20" s="3"/>
      <c r="R20" s="3"/>
      <c r="S20" s="3"/>
      <c r="T20" s="3"/>
      <c r="U20" s="3"/>
    </row>
    <row r="21" spans="2:21" x14ac:dyDescent="0.25">
      <c r="C21" t="s">
        <v>67</v>
      </c>
      <c r="G21" s="3">
        <f>+G9-H9</f>
        <v>250</v>
      </c>
      <c r="H21" s="3">
        <f t="shared" ref="H21" si="13">+H9-I9</f>
        <v>2250</v>
      </c>
      <c r="I21" s="3">
        <f ca="1">+J9-K9</f>
        <v>1500</v>
      </c>
      <c r="J21" s="108">
        <f t="shared" ref="J21:K21" ca="1" si="14">+J9-K9</f>
        <v>1500</v>
      </c>
      <c r="K21" s="27">
        <f t="shared" ca="1" si="14"/>
        <v>1896.2367786422546</v>
      </c>
      <c r="L21" s="27">
        <f t="shared" ref="L21" ca="1" si="15">+L9-M9</f>
        <v>2299.8776845715911</v>
      </c>
      <c r="M21" s="27">
        <f t="shared" ref="M21" ca="1" si="16">+M9-N9</f>
        <v>2658.4142061987804</v>
      </c>
      <c r="N21" s="27">
        <f t="shared" ref="N21" ca="1" si="17">+N9-O9</f>
        <v>2932.0994065954983</v>
      </c>
      <c r="O21" s="27">
        <f t="shared" ref="O21" ca="1" si="18">+O9-P9</f>
        <v>1500</v>
      </c>
      <c r="P21" s="3"/>
      <c r="Q21" s="3"/>
      <c r="R21" s="3"/>
      <c r="S21" s="3"/>
      <c r="T21" s="3"/>
      <c r="U21" s="3"/>
    </row>
    <row r="22" spans="2:21" x14ac:dyDescent="0.25">
      <c r="C22" t="s">
        <v>68</v>
      </c>
      <c r="G22" s="3">
        <f>+G9-G21</f>
        <v>7750</v>
      </c>
      <c r="H22" s="3">
        <f t="shared" ref="H22:I22" si="19">+H9-H21</f>
        <v>5500</v>
      </c>
      <c r="I22" s="3">
        <f t="shared" ca="1" si="19"/>
        <v>4000</v>
      </c>
      <c r="J22" s="108">
        <f ca="1">+J9-J21</f>
        <v>38500</v>
      </c>
      <c r="K22" s="27">
        <f t="shared" ref="K22:O22" ca="1" si="20">+K9-K21</f>
        <v>36603.763221357745</v>
      </c>
      <c r="L22" s="27">
        <f t="shared" ca="1" si="20"/>
        <v>34303.885536786154</v>
      </c>
      <c r="M22" s="27">
        <f t="shared" ca="1" si="20"/>
        <v>31645.471330587374</v>
      </c>
      <c r="N22" s="27">
        <f t="shared" ca="1" si="20"/>
        <v>28713.371923991876</v>
      </c>
      <c r="O22" s="27">
        <f t="shared" ca="1" si="20"/>
        <v>27213.371923991876</v>
      </c>
      <c r="P22" s="3"/>
      <c r="Q22" s="3"/>
      <c r="R22" s="3"/>
      <c r="S22" s="3"/>
      <c r="T22" s="3"/>
      <c r="U22" s="3"/>
    </row>
    <row r="23" spans="2:21" x14ac:dyDescent="0.25">
      <c r="G23" s="3"/>
      <c r="H23" s="3"/>
      <c r="I23" s="3"/>
      <c r="J23" s="108"/>
      <c r="K23" s="3"/>
      <c r="L23" s="3"/>
      <c r="M23" s="3"/>
      <c r="N23" s="3"/>
      <c r="O23" s="3"/>
      <c r="P23" s="3"/>
      <c r="Q23" s="3"/>
      <c r="R23" s="3"/>
      <c r="S23" s="3"/>
      <c r="T23" s="3"/>
      <c r="U23" s="3"/>
    </row>
    <row r="24" spans="2:21" x14ac:dyDescent="0.25">
      <c r="B24" t="s">
        <v>206</v>
      </c>
      <c r="G24" s="3"/>
      <c r="H24" s="3"/>
      <c r="I24" s="3"/>
      <c r="J24" s="108"/>
      <c r="K24" s="3"/>
      <c r="L24" s="3"/>
      <c r="M24" s="3"/>
      <c r="N24" s="3"/>
      <c r="O24" s="3"/>
      <c r="P24" s="3"/>
      <c r="Q24" s="3"/>
      <c r="R24" s="3"/>
      <c r="S24" s="3"/>
      <c r="T24" s="3"/>
      <c r="U24" s="3"/>
    </row>
    <row r="25" spans="2:21" x14ac:dyDescent="0.25">
      <c r="C25" t="s">
        <v>207</v>
      </c>
      <c r="G25" s="3"/>
      <c r="H25" s="3"/>
      <c r="I25" s="3"/>
      <c r="J25" s="108"/>
      <c r="K25" s="3"/>
      <c r="L25" s="3"/>
      <c r="M25" s="3"/>
      <c r="N25" s="3"/>
      <c r="O25" s="3"/>
      <c r="P25" s="3"/>
      <c r="Q25" s="3"/>
      <c r="R25" s="3"/>
      <c r="S25" s="3"/>
      <c r="T25" s="3"/>
      <c r="U25" s="3"/>
    </row>
    <row r="26" spans="2:21" x14ac:dyDescent="0.25">
      <c r="D26" t="s">
        <v>208</v>
      </c>
      <c r="G26" s="3"/>
      <c r="H26" s="3"/>
      <c r="I26" s="3"/>
      <c r="J26" s="108"/>
      <c r="K26" s="3">
        <v>-1500</v>
      </c>
      <c r="L26" s="3">
        <f>+K26</f>
        <v>-1500</v>
      </c>
      <c r="M26" s="3">
        <f t="shared" ref="M26:O26" si="21">+L26</f>
        <v>-1500</v>
      </c>
      <c r="N26" s="3">
        <f t="shared" si="21"/>
        <v>-1500</v>
      </c>
      <c r="O26" s="3">
        <f t="shared" si="21"/>
        <v>-1500</v>
      </c>
      <c r="P26" s="3">
        <f>+O26</f>
        <v>-1500</v>
      </c>
      <c r="Q26" s="3"/>
      <c r="R26" s="3"/>
      <c r="S26" s="3"/>
      <c r="T26" s="3"/>
      <c r="U26" s="3"/>
    </row>
    <row r="27" spans="2:21" x14ac:dyDescent="0.25">
      <c r="D27" t="s">
        <v>209</v>
      </c>
      <c r="G27" s="3"/>
      <c r="H27" s="3"/>
      <c r="I27" s="3"/>
      <c r="J27" s="108"/>
      <c r="K27" s="3" cm="1">
        <f t="array" aca="1" ref="K27:O27" ca="1">+K44:O44</f>
        <v>0</v>
      </c>
      <c r="L27" s="3">
        <f ca="1"/>
        <v>-396.23677864225442</v>
      </c>
      <c r="M27" s="3">
        <f ca="1"/>
        <v>-799.87768457159245</v>
      </c>
      <c r="N27" s="3">
        <f ca="1"/>
        <v>-1158.4142061987811</v>
      </c>
      <c r="O27" s="3">
        <f ca="1"/>
        <v>-1432.0994065954965</v>
      </c>
      <c r="P27" s="3"/>
      <c r="Q27" s="3"/>
      <c r="R27" s="3"/>
      <c r="S27" s="3"/>
      <c r="T27" s="3"/>
      <c r="U27" s="3"/>
    </row>
    <row r="28" spans="2:21" x14ac:dyDescent="0.25">
      <c r="C28" t="s">
        <v>210</v>
      </c>
      <c r="G28" s="3"/>
      <c r="H28" s="3"/>
      <c r="I28" s="3"/>
      <c r="J28" s="3"/>
      <c r="K28" s="3"/>
      <c r="L28" s="3"/>
      <c r="M28" s="3"/>
      <c r="N28" s="3"/>
      <c r="O28" s="3"/>
      <c r="P28" s="3"/>
      <c r="Q28" s="3"/>
      <c r="R28" s="3"/>
      <c r="S28" s="3"/>
      <c r="T28" s="3"/>
      <c r="U28" s="3"/>
    </row>
    <row r="29" spans="2:21" x14ac:dyDescent="0.25">
      <c r="D29" t="s">
        <v>211</v>
      </c>
      <c r="G29" s="3"/>
      <c r="H29" s="3"/>
      <c r="I29" s="3"/>
      <c r="J29" s="3"/>
      <c r="K29" s="3"/>
      <c r="L29" s="3"/>
      <c r="M29" s="3"/>
      <c r="N29" s="3"/>
      <c r="O29" s="3"/>
      <c r="P29" s="3"/>
      <c r="Q29" s="3"/>
      <c r="R29" s="3"/>
      <c r="S29" s="3"/>
      <c r="T29" s="3"/>
      <c r="U29" s="3"/>
    </row>
    <row r="30" spans="2:21" x14ac:dyDescent="0.25">
      <c r="E30" t="s">
        <v>212</v>
      </c>
      <c r="G30" s="3"/>
      <c r="H30" s="3"/>
      <c r="I30" s="3"/>
      <c r="J30" s="3"/>
      <c r="K30" s="3" cm="1">
        <f t="array" aca="1" ref="K30:O30" ca="1">+F.Net.Income</f>
        <v>105.04164052666562</v>
      </c>
      <c r="L30" s="3">
        <f ca="1"/>
        <v>327.87360916317652</v>
      </c>
      <c r="M30" s="3">
        <f ca="1"/>
        <v>649.95112535027465</v>
      </c>
      <c r="N30" s="3">
        <f ca="1"/>
        <v>1096.4035492553221</v>
      </c>
      <c r="O30" s="3">
        <f ca="1"/>
        <v>1477.5297259484446</v>
      </c>
      <c r="P30" s="3"/>
      <c r="Q30" s="3"/>
      <c r="R30" s="3"/>
      <c r="S30" s="3"/>
      <c r="T30" s="3"/>
      <c r="U30" s="3"/>
    </row>
    <row r="31" spans="2:21" x14ac:dyDescent="0.25">
      <c r="E31" t="s">
        <v>213</v>
      </c>
      <c r="G31" s="3"/>
      <c r="H31" s="3"/>
      <c r="I31" s="3"/>
      <c r="J31" s="3"/>
      <c r="K31" s="3"/>
      <c r="L31" s="3"/>
      <c r="M31" s="3"/>
      <c r="N31" s="3"/>
      <c r="O31" s="3"/>
      <c r="P31" s="3"/>
      <c r="Q31" s="3"/>
      <c r="R31" s="3"/>
      <c r="S31" s="3"/>
      <c r="T31" s="3"/>
      <c r="U31" s="3"/>
    </row>
    <row r="32" spans="2:21" x14ac:dyDescent="0.25">
      <c r="F32" t="s">
        <v>214</v>
      </c>
      <c r="G32" s="3"/>
      <c r="H32" s="3"/>
      <c r="I32" s="3"/>
      <c r="J32" s="3"/>
      <c r="K32" s="3" cm="1">
        <f t="array" ref="K32:O32">P.F.Depreciation.Expense</f>
        <v>1000</v>
      </c>
      <c r="L32" s="3">
        <v>1000</v>
      </c>
      <c r="M32" s="3">
        <v>1000</v>
      </c>
      <c r="N32" s="3">
        <v>1000</v>
      </c>
      <c r="O32" s="3">
        <v>1000</v>
      </c>
      <c r="P32" s="3"/>
      <c r="Q32" s="3"/>
      <c r="R32" s="3"/>
      <c r="S32" s="3"/>
      <c r="T32" s="3"/>
      <c r="U32" s="3"/>
    </row>
    <row r="33" spans="2:21" x14ac:dyDescent="0.25">
      <c r="F33" t="s">
        <v>215</v>
      </c>
      <c r="G33" s="3"/>
      <c r="H33" s="3"/>
      <c r="I33" s="3"/>
      <c r="J33" s="3"/>
      <c r="K33" s="3" cm="1">
        <f t="array" ref="K33:O33">P.F.Amortization.Expense</f>
        <v>2841.0597968980851</v>
      </c>
      <c r="L33" s="3">
        <v>2841.0597968980851</v>
      </c>
      <c r="M33" s="3">
        <v>2841.0597968980851</v>
      </c>
      <c r="N33" s="3">
        <v>2841.0597968980851</v>
      </c>
      <c r="O33" s="3">
        <v>2841.0597968980851</v>
      </c>
      <c r="P33" s="3"/>
      <c r="Q33" s="3"/>
      <c r="R33" s="3"/>
      <c r="S33" s="3"/>
      <c r="T33" s="3"/>
      <c r="U33" s="3"/>
    </row>
    <row r="34" spans="2:21" x14ac:dyDescent="0.25">
      <c r="F34" t="s">
        <v>216</v>
      </c>
      <c r="G34" s="3"/>
      <c r="H34" s="3"/>
      <c r="I34" s="3"/>
      <c r="J34" s="3"/>
      <c r="K34" s="3">
        <v>0</v>
      </c>
      <c r="L34" s="3">
        <f>+K34</f>
        <v>0</v>
      </c>
      <c r="M34" s="3">
        <f t="shared" ref="M34:O34" si="22">+L34</f>
        <v>0</v>
      </c>
      <c r="N34" s="3">
        <f t="shared" si="22"/>
        <v>0</v>
      </c>
      <c r="O34" s="3">
        <f t="shared" si="22"/>
        <v>0</v>
      </c>
      <c r="P34" s="3"/>
      <c r="Q34" s="3"/>
      <c r="R34" s="3"/>
      <c r="S34" s="3"/>
      <c r="T34" s="3"/>
      <c r="U34" s="3"/>
    </row>
    <row r="35" spans="2:21" x14ac:dyDescent="0.25">
      <c r="E35" t="s">
        <v>217</v>
      </c>
      <c r="G35" s="3"/>
      <c r="H35" s="3"/>
      <c r="I35" s="3"/>
      <c r="J35" s="3"/>
      <c r="K35" s="3">
        <f>+SUM('Financial Statements'!K96:K100)</f>
        <v>552.35495300991624</v>
      </c>
      <c r="L35" s="3">
        <f>+SUM('Financial Statements'!L96:L100)</f>
        <v>521.32053943083474</v>
      </c>
      <c r="M35" s="3">
        <f>+SUM('Financial Statements'!M96:M100)</f>
        <v>366.14857418190854</v>
      </c>
      <c r="N35" s="3">
        <f>+SUM('Financial Statements'!N96:N100)</f>
        <v>188.02390329974958</v>
      </c>
      <c r="O35" s="3">
        <f>+SUM('Financial Statements'!O96:O100)</f>
        <v>-89.119715457601501</v>
      </c>
      <c r="P35" s="3"/>
      <c r="Q35" s="3"/>
      <c r="R35" s="3"/>
      <c r="S35" s="3"/>
      <c r="T35" s="3"/>
      <c r="U35" s="3"/>
    </row>
    <row r="36" spans="2:21" x14ac:dyDescent="0.25">
      <c r="E36" t="s">
        <v>89</v>
      </c>
      <c r="G36" s="3"/>
      <c r="H36" s="3"/>
      <c r="I36" s="3"/>
      <c r="J36" s="3"/>
      <c r="K36" s="3" cm="1">
        <f t="array" ref="K36:O36">-P.F.CAPEX</f>
        <v>-1750</v>
      </c>
      <c r="L36" s="3">
        <v>-1750</v>
      </c>
      <c r="M36" s="3">
        <v>-1750</v>
      </c>
      <c r="N36" s="3">
        <v>-1750</v>
      </c>
      <c r="O36" s="3">
        <v>-1750</v>
      </c>
      <c r="P36" s="3"/>
      <c r="Q36" s="3"/>
      <c r="R36" s="3"/>
      <c r="S36" s="3"/>
      <c r="T36" s="3"/>
      <c r="U36" s="3"/>
    </row>
    <row r="37" spans="2:21" x14ac:dyDescent="0.25">
      <c r="D37" t="s">
        <v>218</v>
      </c>
      <c r="G37" s="3"/>
      <c r="H37" s="3"/>
      <c r="I37" s="3"/>
      <c r="J37" s="3"/>
      <c r="K37" s="6">
        <f ca="1">SUM(K26:K36)</f>
        <v>1248.4563904346669</v>
      </c>
      <c r="L37" s="6">
        <f t="shared" ref="L37:O37" ca="1" si="23">SUM(L26:L36)</f>
        <v>1044.0171668498419</v>
      </c>
      <c r="M37" s="6">
        <f t="shared" ca="1" si="23"/>
        <v>807.28181185867561</v>
      </c>
      <c r="N37" s="6">
        <f t="shared" ca="1" si="23"/>
        <v>717.07304325437553</v>
      </c>
      <c r="O37" s="6">
        <f t="shared" ca="1" si="23"/>
        <v>547.3704007934316</v>
      </c>
      <c r="P37" s="3"/>
      <c r="Q37" s="3"/>
      <c r="R37" s="3"/>
      <c r="S37" s="3"/>
      <c r="T37" s="3"/>
      <c r="U37" s="3"/>
    </row>
    <row r="38" spans="2:21" x14ac:dyDescent="0.25">
      <c r="B38" t="s">
        <v>219</v>
      </c>
      <c r="G38" s="3"/>
      <c r="H38" s="3"/>
      <c r="I38" s="3"/>
      <c r="J38" s="3"/>
      <c r="K38" s="3" cm="1">
        <f t="array" aca="1" ref="K38:O38" ca="1">F.STarting.Cash</f>
        <v>5000</v>
      </c>
      <c r="L38" s="3">
        <f ca="1"/>
        <v>6248.4563904346669</v>
      </c>
      <c r="M38" s="3">
        <f ca="1"/>
        <v>7292.4735572845093</v>
      </c>
      <c r="N38" s="3">
        <f ca="1"/>
        <v>8099.7553691431867</v>
      </c>
      <c r="O38" s="3">
        <f ca="1"/>
        <v>8816.8284123975627</v>
      </c>
      <c r="P38" s="3"/>
      <c r="Q38" s="3"/>
      <c r="R38" s="3"/>
      <c r="S38" s="3"/>
      <c r="T38" s="3"/>
      <c r="U38" s="3"/>
    </row>
    <row r="39" spans="2:21" x14ac:dyDescent="0.25">
      <c r="C39" t="s">
        <v>220</v>
      </c>
      <c r="G39" s="3"/>
      <c r="H39" s="3"/>
      <c r="I39" s="3"/>
      <c r="J39" s="3"/>
      <c r="K39" s="3">
        <f>-minimum.cash.balance</f>
        <v>-5000</v>
      </c>
      <c r="L39" s="3">
        <f>-minimum.cash.balance</f>
        <v>-5000</v>
      </c>
      <c r="M39" s="3">
        <f>-minimum.cash.balance</f>
        <v>-5000</v>
      </c>
      <c r="N39" s="3">
        <f>-minimum.cash.balance</f>
        <v>-5000</v>
      </c>
      <c r="O39" s="3">
        <f>-minimum.cash.balance</f>
        <v>-5000</v>
      </c>
      <c r="P39" s="3"/>
      <c r="Q39" s="3"/>
      <c r="R39" s="3"/>
      <c r="S39" s="3"/>
      <c r="T39" s="3"/>
      <c r="U39" s="3"/>
    </row>
    <row r="40" spans="2:21" x14ac:dyDescent="0.25">
      <c r="C40" t="s">
        <v>221</v>
      </c>
      <c r="G40" s="3"/>
      <c r="H40" s="3"/>
      <c r="I40" s="3"/>
      <c r="J40" s="3"/>
      <c r="K40" s="3" cm="1">
        <f t="array" aca="1" ref="K40:O40" ca="1">+K37:O37</f>
        <v>1248.4563904346669</v>
      </c>
      <c r="L40" s="3">
        <f ca="1"/>
        <v>1044.0171668498419</v>
      </c>
      <c r="M40" s="3">
        <f ca="1"/>
        <v>807.28181185867561</v>
      </c>
      <c r="N40" s="3">
        <f ca="1"/>
        <v>717.07304325437553</v>
      </c>
      <c r="O40" s="3">
        <f ca="1"/>
        <v>547.3704007934316</v>
      </c>
      <c r="P40" s="3"/>
      <c r="Q40" s="3"/>
      <c r="R40" s="3"/>
      <c r="S40" s="3"/>
      <c r="T40" s="3"/>
      <c r="U40" s="3"/>
    </row>
    <row r="41" spans="2:21" x14ac:dyDescent="0.25">
      <c r="D41" t="s">
        <v>222</v>
      </c>
      <c r="G41" s="3"/>
      <c r="H41" s="3"/>
      <c r="I41" s="3"/>
      <c r="J41" s="3"/>
      <c r="K41" s="6">
        <f ca="1">SUM(K38:K40)</f>
        <v>1248.4563904346669</v>
      </c>
      <c r="L41" s="6">
        <f t="shared" ref="L41:O41" ca="1" si="24">SUM(L38:L40)</f>
        <v>2292.4735572845088</v>
      </c>
      <c r="M41" s="6">
        <f t="shared" ca="1" si="24"/>
        <v>3099.7553691431849</v>
      </c>
      <c r="N41" s="6">
        <f t="shared" ca="1" si="24"/>
        <v>3816.8284123975623</v>
      </c>
      <c r="O41" s="6">
        <f t="shared" ca="1" si="24"/>
        <v>4364.1988131909948</v>
      </c>
      <c r="P41" s="3"/>
      <c r="Q41" s="3"/>
      <c r="R41" s="3"/>
      <c r="S41" s="3"/>
      <c r="T41" s="3"/>
      <c r="U41" s="3"/>
    </row>
    <row r="42" spans="2:21" x14ac:dyDescent="0.25">
      <c r="E42" t="s">
        <v>223</v>
      </c>
      <c r="G42" s="3"/>
      <c r="H42" s="3"/>
      <c r="I42" s="3"/>
      <c r="J42" s="3"/>
      <c r="K42" s="3" cm="1">
        <f t="array" ref="K42:O42">+K26:O26</f>
        <v>-1500</v>
      </c>
      <c r="L42" s="3">
        <v>-1500</v>
      </c>
      <c r="M42" s="3">
        <v>-1500</v>
      </c>
      <c r="N42" s="3">
        <v>-1500</v>
      </c>
      <c r="O42" s="3">
        <v>-1500</v>
      </c>
      <c r="P42" s="3"/>
      <c r="Q42" s="3"/>
      <c r="R42" s="3"/>
      <c r="S42" s="3"/>
      <c r="T42" s="3"/>
      <c r="U42" s="3"/>
    </row>
    <row r="43" spans="2:21" ht="15.75" thickBot="1" x14ac:dyDescent="0.3">
      <c r="D43" t="s">
        <v>224</v>
      </c>
      <c r="G43" s="3"/>
      <c r="H43" s="3"/>
      <c r="I43" s="3"/>
      <c r="J43" s="3"/>
      <c r="K43" s="6">
        <f ca="1">SUM(K41:K42)</f>
        <v>-251.5436095653331</v>
      </c>
      <c r="L43" s="6">
        <f t="shared" ref="L43:O43" ca="1" si="25">SUM(L41:L42)</f>
        <v>792.47355728450884</v>
      </c>
      <c r="M43" s="6">
        <f t="shared" ca="1" si="25"/>
        <v>1599.7553691431849</v>
      </c>
      <c r="N43" s="6">
        <f t="shared" ca="1" si="25"/>
        <v>2316.8284123975623</v>
      </c>
      <c r="O43" s="6">
        <f t="shared" ca="1" si="25"/>
        <v>2864.1988131909948</v>
      </c>
      <c r="P43" s="3"/>
      <c r="Q43" s="3"/>
      <c r="R43" s="3"/>
      <c r="S43" s="3"/>
      <c r="T43" s="3"/>
      <c r="U43" s="3"/>
    </row>
    <row r="44" spans="2:21" ht="15.75" thickBot="1" x14ac:dyDescent="0.3">
      <c r="E44" t="s">
        <v>225</v>
      </c>
      <c r="G44" s="3"/>
      <c r="H44" s="3"/>
      <c r="I44" s="3"/>
      <c r="J44" s="125">
        <v>0.5</v>
      </c>
      <c r="K44" s="3">
        <f ca="1">-MAX(0,K43*variable.paydown)</f>
        <v>0</v>
      </c>
      <c r="L44" s="3">
        <f ca="1">-MAX(0,L43*variable.paydown)</f>
        <v>-396.23677864225442</v>
      </c>
      <c r="M44" s="3">
        <f ca="1">-MAX(0,M43*variable.paydown)</f>
        <v>-799.87768457159245</v>
      </c>
      <c r="N44" s="3">
        <f ca="1">-MAX(0,N43*variable.paydown)</f>
        <v>-1158.4142061987811</v>
      </c>
      <c r="O44" s="3">
        <f ca="1">-MAX(0,O43*variable.paydown)</f>
        <v>-1432.0994065954974</v>
      </c>
      <c r="P44" s="3"/>
      <c r="Q44" s="3"/>
      <c r="R44" s="3"/>
      <c r="S44" s="3"/>
      <c r="T44" s="3"/>
      <c r="U44" s="3"/>
    </row>
    <row r="45" spans="2:21" x14ac:dyDescent="0.25">
      <c r="G45" s="3"/>
      <c r="H45" s="3"/>
      <c r="I45" s="3"/>
      <c r="J45" s="3"/>
      <c r="K45" s="3"/>
      <c r="L45" s="3"/>
      <c r="M45" s="3"/>
      <c r="N45" s="3"/>
      <c r="O45" s="3"/>
      <c r="P45" s="3"/>
      <c r="Q45" s="3"/>
      <c r="R45" s="3"/>
      <c r="S45" s="3"/>
      <c r="T45" s="3"/>
      <c r="U45" s="3"/>
    </row>
    <row r="46" spans="2:21" x14ac:dyDescent="0.25">
      <c r="G46" s="3"/>
      <c r="H46" s="3"/>
      <c r="I46" s="3"/>
      <c r="J46" s="3"/>
      <c r="K46" s="3"/>
      <c r="L46" s="3"/>
      <c r="M46" s="3"/>
      <c r="N46" s="3"/>
      <c r="O46" s="3"/>
      <c r="P46" s="3"/>
      <c r="Q46" s="3"/>
      <c r="R46" s="3"/>
      <c r="S46" s="3"/>
      <c r="T46" s="3"/>
      <c r="U46" s="3"/>
    </row>
    <row r="47" spans="2:21" x14ac:dyDescent="0.25">
      <c r="G47" s="3"/>
      <c r="H47" s="3"/>
      <c r="I47" s="3"/>
      <c r="J47" s="3"/>
      <c r="K47" s="3"/>
      <c r="L47" s="3"/>
      <c r="M47" s="3"/>
      <c r="N47" s="3"/>
      <c r="O47" s="3"/>
      <c r="P47" s="3"/>
      <c r="Q47" s="3"/>
      <c r="R47" s="3"/>
      <c r="S47" s="3"/>
      <c r="T47" s="3"/>
      <c r="U47" s="3"/>
    </row>
    <row r="48" spans="2:21" x14ac:dyDescent="0.25">
      <c r="G48" s="3"/>
      <c r="H48" s="3"/>
      <c r="I48" s="3"/>
      <c r="J48" s="3"/>
      <c r="K48" s="3"/>
      <c r="L48" s="3"/>
      <c r="M48" s="3"/>
      <c r="N48" s="3"/>
      <c r="O48" s="3"/>
      <c r="P48" s="3"/>
      <c r="Q48" s="3"/>
      <c r="R48" s="3"/>
      <c r="S48" s="3"/>
      <c r="T48" s="3"/>
      <c r="U48" s="3"/>
    </row>
    <row r="49" spans="7:21" x14ac:dyDescent="0.25">
      <c r="G49" s="3"/>
      <c r="H49" s="3"/>
      <c r="I49" s="3"/>
      <c r="J49" s="3"/>
      <c r="K49" s="3"/>
      <c r="L49" s="3"/>
      <c r="M49" s="3"/>
      <c r="N49" s="3"/>
      <c r="O49" s="3"/>
      <c r="P49" s="3"/>
      <c r="Q49" s="3"/>
      <c r="R49" s="3"/>
      <c r="S49" s="3"/>
      <c r="T49" s="3"/>
      <c r="U49" s="3"/>
    </row>
    <row r="50" spans="7:21" x14ac:dyDescent="0.25">
      <c r="G50" s="3"/>
      <c r="H50" s="3"/>
      <c r="I50" s="3"/>
      <c r="J50" s="3"/>
      <c r="K50" s="3"/>
      <c r="L50" s="3"/>
      <c r="M50" s="3"/>
      <c r="N50" s="3"/>
      <c r="O50" s="3"/>
      <c r="P50" s="3"/>
      <c r="Q50" s="3"/>
      <c r="R50" s="3"/>
      <c r="S50" s="3"/>
      <c r="T50" s="3"/>
      <c r="U50" s="3"/>
    </row>
    <row r="51" spans="7:21" x14ac:dyDescent="0.25">
      <c r="G51" s="3"/>
      <c r="H51" s="3"/>
      <c r="I51" s="3"/>
      <c r="J51" s="3"/>
      <c r="K51" s="3"/>
      <c r="L51" s="3"/>
      <c r="M51" s="3"/>
      <c r="N51" s="3"/>
      <c r="O51" s="3"/>
      <c r="P51" s="3"/>
      <c r="Q51" s="3"/>
      <c r="R51" s="3"/>
      <c r="S51" s="3"/>
      <c r="T51" s="3"/>
      <c r="U51" s="3"/>
    </row>
    <row r="52" spans="7:21" x14ac:dyDescent="0.25">
      <c r="G52" s="3"/>
      <c r="H52" s="3"/>
      <c r="I52" s="3"/>
      <c r="J52" s="3"/>
      <c r="K52" s="3"/>
      <c r="L52" s="3"/>
      <c r="M52" s="3"/>
      <c r="N52" s="3"/>
      <c r="O52" s="3"/>
      <c r="P52" s="3"/>
      <c r="Q52" s="3"/>
      <c r="R52" s="3"/>
      <c r="S52" s="3"/>
      <c r="T52" s="3"/>
      <c r="U52" s="3"/>
    </row>
    <row r="53" spans="7:21" x14ac:dyDescent="0.25">
      <c r="G53" s="3"/>
      <c r="H53" s="3"/>
      <c r="I53" s="3"/>
      <c r="J53" s="3"/>
      <c r="K53" s="3"/>
      <c r="L53" s="3"/>
      <c r="M53" s="3"/>
      <c r="N53" s="3"/>
      <c r="O53" s="3"/>
      <c r="P53" s="3"/>
      <c r="Q53" s="3"/>
      <c r="R53" s="3"/>
      <c r="S53" s="3"/>
      <c r="T53" s="3"/>
      <c r="U53" s="3"/>
    </row>
    <row r="54" spans="7:21" x14ac:dyDescent="0.25">
      <c r="G54" s="3"/>
      <c r="H54" s="3"/>
      <c r="I54" s="3"/>
      <c r="J54" s="3"/>
      <c r="K54" s="3"/>
      <c r="L54" s="3"/>
      <c r="M54" s="3"/>
      <c r="N54" s="3"/>
      <c r="O54" s="3"/>
      <c r="P54" s="3"/>
      <c r="Q54" s="3"/>
      <c r="R54" s="3"/>
      <c r="S54" s="3"/>
      <c r="T54" s="3"/>
      <c r="U54" s="3"/>
    </row>
    <row r="55" spans="7:21" x14ac:dyDescent="0.25">
      <c r="G55" s="3"/>
      <c r="H55" s="3"/>
      <c r="I55" s="3"/>
      <c r="J55" s="3"/>
      <c r="K55" s="3"/>
      <c r="L55" s="3"/>
      <c r="M55" s="3"/>
      <c r="N55" s="3"/>
      <c r="O55" s="3"/>
      <c r="P55" s="3"/>
      <c r="Q55" s="3"/>
      <c r="R55" s="3"/>
      <c r="S55" s="3"/>
      <c r="T55" s="3"/>
      <c r="U55" s="3"/>
    </row>
    <row r="56" spans="7:21" x14ac:dyDescent="0.25">
      <c r="G56" s="3"/>
      <c r="H56" s="3"/>
      <c r="I56" s="3"/>
      <c r="J56" s="3"/>
      <c r="K56" s="3"/>
      <c r="L56" s="3"/>
      <c r="M56" s="3"/>
      <c r="N56" s="3"/>
      <c r="O56" s="3"/>
      <c r="P56" s="3"/>
      <c r="Q56" s="3"/>
      <c r="R56" s="3"/>
      <c r="S56" s="3"/>
      <c r="T56" s="3"/>
      <c r="U56" s="3"/>
    </row>
    <row r="57" spans="7:21" x14ac:dyDescent="0.25">
      <c r="G57" s="3"/>
      <c r="H57" s="3"/>
      <c r="I57" s="3"/>
      <c r="J57" s="3"/>
      <c r="K57" s="3"/>
      <c r="L57" s="3"/>
      <c r="M57" s="3"/>
      <c r="N57" s="3"/>
      <c r="O57" s="3"/>
      <c r="P57" s="3"/>
      <c r="Q57" s="3"/>
      <c r="R57" s="3"/>
      <c r="S57" s="3"/>
      <c r="T57" s="3"/>
      <c r="U57" s="3"/>
    </row>
    <row r="58" spans="7:21" x14ac:dyDescent="0.25">
      <c r="G58" s="3"/>
      <c r="H58" s="3"/>
      <c r="I58" s="3"/>
      <c r="J58" s="3"/>
      <c r="K58" s="3"/>
      <c r="L58" s="3"/>
      <c r="M58" s="3"/>
      <c r="N58" s="3"/>
      <c r="O58" s="3"/>
      <c r="P58" s="3"/>
      <c r="Q58" s="3"/>
      <c r="R58" s="3"/>
      <c r="S58" s="3"/>
      <c r="T58" s="3"/>
      <c r="U58" s="3"/>
    </row>
    <row r="59" spans="7:21" x14ac:dyDescent="0.25">
      <c r="G59" s="3"/>
      <c r="H59" s="3"/>
      <c r="I59" s="3"/>
      <c r="J59" s="3"/>
      <c r="K59" s="3"/>
      <c r="L59" s="3"/>
      <c r="M59" s="3"/>
      <c r="N59" s="3"/>
      <c r="O59" s="3"/>
      <c r="P59" s="3"/>
      <c r="Q59" s="3"/>
      <c r="R59" s="3"/>
      <c r="S59" s="3"/>
      <c r="T59" s="3"/>
      <c r="U59" s="3"/>
    </row>
    <row r="60" spans="7:21" x14ac:dyDescent="0.25">
      <c r="G60" s="3"/>
      <c r="H60" s="3"/>
      <c r="I60" s="3"/>
      <c r="J60" s="3"/>
      <c r="K60" s="3"/>
      <c r="L60" s="3"/>
      <c r="M60" s="3"/>
      <c r="N60" s="3"/>
      <c r="O60" s="3"/>
      <c r="P60" s="3"/>
      <c r="Q60" s="3"/>
      <c r="R60" s="3"/>
      <c r="S60" s="3"/>
      <c r="T60" s="3"/>
      <c r="U60" s="3"/>
    </row>
    <row r="61" spans="7:21" x14ac:dyDescent="0.25">
      <c r="G61" s="3"/>
      <c r="H61" s="3"/>
      <c r="I61" s="3"/>
      <c r="J61" s="3"/>
      <c r="K61" s="3"/>
      <c r="L61" s="3"/>
      <c r="M61" s="3"/>
      <c r="N61" s="3"/>
      <c r="O61" s="3"/>
      <c r="P61" s="3"/>
      <c r="Q61" s="3"/>
      <c r="R61" s="3"/>
      <c r="S61" s="3"/>
      <c r="T61" s="3"/>
      <c r="U61" s="3"/>
    </row>
    <row r="62" spans="7:21" x14ac:dyDescent="0.25">
      <c r="G62" s="3"/>
      <c r="H62" s="3"/>
      <c r="I62" s="3"/>
      <c r="J62" s="3"/>
      <c r="K62" s="3"/>
      <c r="L62" s="3"/>
      <c r="M62" s="3"/>
      <c r="N62" s="3"/>
      <c r="O62" s="3"/>
      <c r="P62" s="3"/>
      <c r="Q62" s="3"/>
      <c r="R62" s="3"/>
      <c r="S62" s="3"/>
      <c r="T62" s="3"/>
      <c r="U62" s="3"/>
    </row>
    <row r="63" spans="7:21" x14ac:dyDescent="0.25">
      <c r="G63" s="3"/>
      <c r="H63" s="3"/>
      <c r="I63" s="3"/>
      <c r="J63" s="3"/>
      <c r="K63" s="3"/>
      <c r="L63" s="3"/>
      <c r="M63" s="3"/>
      <c r="N63" s="3"/>
      <c r="O63" s="3"/>
      <c r="P63" s="3"/>
      <c r="Q63" s="3"/>
      <c r="R63" s="3"/>
      <c r="S63" s="3"/>
      <c r="T63" s="3"/>
      <c r="U63" s="3"/>
    </row>
    <row r="64" spans="7:21" x14ac:dyDescent="0.25">
      <c r="G64" s="3"/>
      <c r="H64" s="3"/>
      <c r="I64" s="3"/>
      <c r="J64" s="3"/>
      <c r="K64" s="3"/>
      <c r="L64" s="3"/>
      <c r="M64" s="3"/>
      <c r="N64" s="3"/>
      <c r="O64" s="3"/>
      <c r="P64" s="3"/>
      <c r="Q64" s="3"/>
      <c r="R64" s="3"/>
      <c r="S64" s="3"/>
      <c r="T64" s="3"/>
      <c r="U64" s="3"/>
    </row>
    <row r="65" spans="7:21" x14ac:dyDescent="0.25">
      <c r="G65" s="3"/>
      <c r="H65" s="3"/>
      <c r="I65" s="3"/>
      <c r="J65" s="3"/>
      <c r="K65" s="3"/>
      <c r="L65" s="3"/>
      <c r="M65" s="3"/>
      <c r="N65" s="3"/>
      <c r="O65" s="3"/>
      <c r="P65" s="3"/>
      <c r="Q65" s="3"/>
      <c r="R65" s="3"/>
      <c r="S65" s="3"/>
      <c r="T65" s="3"/>
      <c r="U65" s="3"/>
    </row>
    <row r="66" spans="7:21" x14ac:dyDescent="0.25">
      <c r="G66" s="3"/>
      <c r="H66" s="3"/>
      <c r="I66" s="3"/>
      <c r="J66" s="3"/>
      <c r="K66" s="3"/>
      <c r="L66" s="3"/>
      <c r="M66" s="3"/>
      <c r="N66" s="3"/>
      <c r="O66" s="3"/>
      <c r="P66" s="3"/>
      <c r="Q66" s="3"/>
      <c r="R66" s="3"/>
      <c r="S66" s="3"/>
      <c r="T66" s="3"/>
      <c r="U66" s="3"/>
    </row>
    <row r="67" spans="7:21" x14ac:dyDescent="0.25">
      <c r="G67" s="3"/>
      <c r="H67" s="3"/>
      <c r="I67" s="3"/>
      <c r="J67" s="3"/>
      <c r="K67" s="3"/>
      <c r="L67" s="3"/>
      <c r="M67" s="3"/>
      <c r="N67" s="3"/>
      <c r="O67" s="3"/>
      <c r="P67" s="3"/>
      <c r="Q67" s="3"/>
      <c r="R67" s="3"/>
      <c r="S67" s="3"/>
      <c r="T67" s="3"/>
      <c r="U67" s="3"/>
    </row>
    <row r="68" spans="7:21" x14ac:dyDescent="0.25">
      <c r="G68" s="3"/>
      <c r="H68" s="3"/>
      <c r="I68" s="3"/>
      <c r="J68" s="3"/>
      <c r="K68" s="3"/>
      <c r="L68" s="3"/>
      <c r="M68" s="3"/>
      <c r="N68" s="3"/>
      <c r="O68" s="3"/>
      <c r="P68" s="3"/>
      <c r="Q68" s="3"/>
      <c r="R68" s="3"/>
      <c r="S68" s="3"/>
      <c r="T68" s="3"/>
      <c r="U68" s="3"/>
    </row>
    <row r="69" spans="7:21" x14ac:dyDescent="0.25">
      <c r="G69" s="3"/>
      <c r="H69" s="3"/>
      <c r="I69" s="3"/>
      <c r="J69" s="3"/>
      <c r="K69" s="3"/>
      <c r="L69" s="3"/>
      <c r="M69" s="3"/>
      <c r="N69" s="3"/>
      <c r="O69" s="3"/>
      <c r="P69" s="3"/>
      <c r="Q69" s="3"/>
      <c r="R69" s="3"/>
      <c r="S69" s="3"/>
      <c r="T69" s="3"/>
      <c r="U69" s="3"/>
    </row>
    <row r="70" spans="7:21" x14ac:dyDescent="0.25">
      <c r="G70" s="3"/>
      <c r="H70" s="3"/>
      <c r="I70" s="3"/>
      <c r="J70" s="3"/>
      <c r="K70" s="3"/>
      <c r="L70" s="3"/>
      <c r="M70" s="3"/>
      <c r="N70" s="3"/>
      <c r="O70" s="3"/>
      <c r="P70" s="3"/>
      <c r="Q70" s="3"/>
      <c r="R70" s="3"/>
      <c r="S70" s="3"/>
      <c r="T70" s="3"/>
      <c r="U70" s="3"/>
    </row>
    <row r="71" spans="7:21" x14ac:dyDescent="0.25">
      <c r="G71" s="3"/>
      <c r="H71" s="3"/>
      <c r="I71" s="3"/>
      <c r="J71" s="3"/>
      <c r="K71" s="3"/>
      <c r="L71" s="3"/>
      <c r="M71" s="3"/>
      <c r="N71" s="3"/>
      <c r="O71" s="3"/>
      <c r="P71" s="3"/>
      <c r="Q71" s="3"/>
      <c r="R71" s="3"/>
      <c r="S71" s="3"/>
      <c r="T71" s="3"/>
      <c r="U71" s="3"/>
    </row>
    <row r="72" spans="7:21" x14ac:dyDescent="0.25">
      <c r="G72" s="3"/>
      <c r="H72" s="3"/>
      <c r="I72" s="3"/>
      <c r="J72" s="3"/>
      <c r="K72" s="3"/>
      <c r="L72" s="3"/>
      <c r="M72" s="3"/>
      <c r="N72" s="3"/>
      <c r="O72" s="3"/>
      <c r="P72" s="3"/>
      <c r="Q72" s="3"/>
      <c r="R72" s="3"/>
      <c r="S72" s="3"/>
      <c r="T72" s="3"/>
      <c r="U72" s="3"/>
    </row>
    <row r="73" spans="7:21" x14ac:dyDescent="0.25">
      <c r="G73" s="3"/>
      <c r="H73" s="3"/>
      <c r="I73" s="3"/>
      <c r="J73" s="3"/>
      <c r="K73" s="3"/>
      <c r="L73" s="3"/>
      <c r="M73" s="3"/>
      <c r="N73" s="3"/>
      <c r="O73" s="3"/>
      <c r="P73" s="3"/>
      <c r="Q73" s="3"/>
      <c r="R73" s="3"/>
      <c r="S73" s="3"/>
      <c r="T73" s="3"/>
      <c r="U73" s="3"/>
    </row>
    <row r="74" spans="7:21" x14ac:dyDescent="0.25">
      <c r="G74" s="3"/>
      <c r="H74" s="3"/>
      <c r="I74" s="3"/>
      <c r="J74" s="3"/>
      <c r="K74" s="3"/>
      <c r="L74" s="3"/>
      <c r="M74" s="3"/>
      <c r="N74" s="3"/>
      <c r="O74" s="3"/>
      <c r="P74" s="3"/>
      <c r="Q74" s="3"/>
      <c r="R74" s="3"/>
      <c r="S74" s="3"/>
      <c r="T74" s="3"/>
      <c r="U74" s="3"/>
    </row>
    <row r="75" spans="7:21" x14ac:dyDescent="0.25">
      <c r="G75" s="3"/>
      <c r="H75" s="3"/>
      <c r="I75" s="3"/>
      <c r="J75" s="3"/>
      <c r="K75" s="3"/>
      <c r="L75" s="3"/>
      <c r="M75" s="3"/>
      <c r="N75" s="3"/>
      <c r="O75" s="3"/>
      <c r="P75" s="3"/>
      <c r="Q75" s="3"/>
      <c r="R75" s="3"/>
      <c r="S75" s="3"/>
      <c r="T75" s="3"/>
      <c r="U75" s="3"/>
    </row>
    <row r="76" spans="7:21" x14ac:dyDescent="0.25">
      <c r="G76" s="3"/>
      <c r="H76" s="3"/>
      <c r="I76" s="3"/>
      <c r="J76" s="3"/>
      <c r="K76" s="3"/>
      <c r="L76" s="3"/>
      <c r="M76" s="3"/>
      <c r="N76" s="3"/>
      <c r="O76" s="3"/>
      <c r="P76" s="3"/>
      <c r="Q76" s="3"/>
      <c r="R76" s="3"/>
      <c r="S76" s="3"/>
      <c r="T76" s="3"/>
      <c r="U76" s="3"/>
    </row>
    <row r="77" spans="7:21" x14ac:dyDescent="0.25">
      <c r="G77" s="3"/>
      <c r="H77" s="3"/>
      <c r="I77" s="3"/>
      <c r="J77" s="3"/>
      <c r="K77" s="3"/>
      <c r="L77" s="3"/>
      <c r="M77" s="3"/>
      <c r="N77" s="3"/>
      <c r="O77" s="3"/>
      <c r="P77" s="3"/>
      <c r="Q77" s="3"/>
      <c r="R77" s="3"/>
      <c r="S77" s="3"/>
      <c r="T77" s="3"/>
      <c r="U77" s="3"/>
    </row>
    <row r="78" spans="7:21" x14ac:dyDescent="0.25">
      <c r="G78" s="3"/>
      <c r="H78" s="3"/>
      <c r="I78" s="3"/>
      <c r="J78" s="3"/>
      <c r="K78" s="3"/>
      <c r="L78" s="3"/>
      <c r="M78" s="3"/>
      <c r="N78" s="3"/>
      <c r="O78" s="3"/>
      <c r="P78" s="3"/>
      <c r="Q78" s="3"/>
      <c r="R78" s="3"/>
      <c r="S78" s="3"/>
      <c r="T78" s="3"/>
      <c r="U78" s="3"/>
    </row>
    <row r="79" spans="7:21" x14ac:dyDescent="0.25">
      <c r="G79" s="3"/>
      <c r="H79" s="3"/>
      <c r="I79" s="3"/>
      <c r="J79" s="3"/>
      <c r="K79" s="3"/>
      <c r="L79" s="3"/>
      <c r="M79" s="3"/>
      <c r="N79" s="3"/>
      <c r="O79" s="3"/>
      <c r="P79" s="3"/>
      <c r="Q79" s="3"/>
      <c r="R79" s="3"/>
      <c r="S79" s="3"/>
      <c r="T79" s="3"/>
      <c r="U79" s="3"/>
    </row>
    <row r="80" spans="7:21" x14ac:dyDescent="0.25">
      <c r="G80" s="3"/>
      <c r="H80" s="3"/>
      <c r="I80" s="3"/>
      <c r="J80" s="3"/>
      <c r="K80" s="3"/>
      <c r="L80" s="3"/>
      <c r="M80" s="3"/>
      <c r="N80" s="3"/>
      <c r="O80" s="3"/>
      <c r="P80" s="3"/>
      <c r="Q80" s="3"/>
      <c r="R80" s="3"/>
      <c r="S80" s="3"/>
      <c r="T80" s="3"/>
      <c r="U80" s="3"/>
    </row>
    <row r="81" spans="7:21" x14ac:dyDescent="0.25">
      <c r="G81" s="3"/>
      <c r="H81" s="3"/>
      <c r="I81" s="3"/>
      <c r="J81" s="3"/>
      <c r="K81" s="3"/>
      <c r="L81" s="3"/>
      <c r="M81" s="3"/>
      <c r="N81" s="3"/>
      <c r="O81" s="3"/>
      <c r="P81" s="3"/>
      <c r="Q81" s="3"/>
      <c r="R81" s="3"/>
      <c r="S81" s="3"/>
      <c r="T81" s="3"/>
      <c r="U81" s="3"/>
    </row>
    <row r="82" spans="7:21" x14ac:dyDescent="0.25">
      <c r="G82" s="3"/>
      <c r="H82" s="3"/>
      <c r="I82" s="3"/>
      <c r="J82" s="3"/>
      <c r="K82" s="3"/>
      <c r="L82" s="3"/>
      <c r="M82" s="3"/>
      <c r="N82" s="3"/>
      <c r="O82" s="3"/>
      <c r="P82" s="3"/>
      <c r="Q82" s="3"/>
      <c r="R82" s="3"/>
      <c r="S82" s="3"/>
      <c r="T82" s="3"/>
      <c r="U82" s="3"/>
    </row>
    <row r="83" spans="7:21" x14ac:dyDescent="0.25">
      <c r="G83" s="3"/>
      <c r="H83" s="3"/>
      <c r="I83" s="3"/>
      <c r="J83" s="3"/>
      <c r="K83" s="3"/>
      <c r="L83" s="3"/>
      <c r="M83" s="3"/>
      <c r="N83" s="3"/>
      <c r="O83" s="3"/>
      <c r="P83" s="3"/>
      <c r="Q83" s="3"/>
      <c r="R83" s="3"/>
      <c r="S83" s="3"/>
      <c r="T83" s="3"/>
      <c r="U83" s="3"/>
    </row>
    <row r="84" spans="7:21" x14ac:dyDescent="0.25">
      <c r="G84" s="3"/>
      <c r="H84" s="3"/>
      <c r="I84" s="3"/>
      <c r="J84" s="3"/>
      <c r="K84" s="3"/>
      <c r="L84" s="3"/>
      <c r="M84" s="3"/>
      <c r="N84" s="3"/>
      <c r="O84" s="3"/>
      <c r="P84" s="3"/>
      <c r="Q84" s="3"/>
      <c r="R84" s="3"/>
      <c r="S84" s="3"/>
      <c r="T84" s="3"/>
      <c r="U84" s="3"/>
    </row>
    <row r="85" spans="7:21" x14ac:dyDescent="0.25">
      <c r="G85" s="3"/>
      <c r="H85" s="3"/>
      <c r="I85" s="3"/>
      <c r="J85" s="3"/>
      <c r="K85" s="3"/>
      <c r="L85" s="3"/>
      <c r="M85" s="3"/>
      <c r="N85" s="3"/>
      <c r="O85" s="3"/>
      <c r="P85" s="3"/>
      <c r="Q85" s="3"/>
      <c r="R85" s="3"/>
      <c r="S85" s="3"/>
      <c r="T85" s="3"/>
      <c r="U85" s="3"/>
    </row>
    <row r="86" spans="7:21" x14ac:dyDescent="0.25">
      <c r="G86" s="3"/>
      <c r="H86" s="3"/>
      <c r="I86" s="3"/>
      <c r="J86" s="3"/>
      <c r="K86" s="3"/>
      <c r="L86" s="3"/>
      <c r="M86" s="3"/>
      <c r="N86" s="3"/>
      <c r="O86" s="3"/>
      <c r="P86" s="3"/>
      <c r="Q86" s="3"/>
      <c r="R86" s="3"/>
      <c r="S86" s="3"/>
      <c r="T86" s="3"/>
      <c r="U86" s="3"/>
    </row>
    <row r="87" spans="7:21" x14ac:dyDescent="0.25">
      <c r="G87" s="3"/>
      <c r="H87" s="3"/>
      <c r="I87" s="3"/>
      <c r="J87" s="3"/>
      <c r="K87" s="3"/>
      <c r="L87" s="3"/>
      <c r="M87" s="3"/>
      <c r="N87" s="3"/>
      <c r="O87" s="3"/>
      <c r="P87" s="3"/>
      <c r="Q87" s="3"/>
      <c r="R87" s="3"/>
      <c r="S87" s="3"/>
      <c r="T87" s="3"/>
      <c r="U87" s="3"/>
    </row>
    <row r="88" spans="7:21" x14ac:dyDescent="0.25">
      <c r="G88" s="3"/>
      <c r="H88" s="3"/>
      <c r="I88" s="3"/>
      <c r="J88" s="3"/>
      <c r="K88" s="3"/>
      <c r="L88" s="3"/>
      <c r="M88" s="3"/>
      <c r="N88" s="3"/>
      <c r="O88" s="3"/>
      <c r="P88" s="3"/>
      <c r="Q88" s="3"/>
      <c r="R88" s="3"/>
      <c r="S88" s="3"/>
      <c r="T88" s="3"/>
      <c r="U88" s="3"/>
    </row>
    <row r="89" spans="7:21" x14ac:dyDescent="0.25">
      <c r="G89" s="3"/>
      <c r="H89" s="3"/>
      <c r="I89" s="3"/>
      <c r="J89" s="3"/>
      <c r="K89" s="3"/>
      <c r="L89" s="3"/>
      <c r="M89" s="3"/>
      <c r="N89" s="3"/>
      <c r="O89" s="3"/>
      <c r="P89" s="3"/>
      <c r="Q89" s="3"/>
      <c r="R89" s="3"/>
      <c r="S89" s="3"/>
      <c r="T89" s="3"/>
      <c r="U89" s="3"/>
    </row>
    <row r="90" spans="7:21" x14ac:dyDescent="0.25">
      <c r="G90" s="3"/>
      <c r="H90" s="3"/>
      <c r="I90" s="3"/>
      <c r="J90" s="3"/>
      <c r="K90" s="3"/>
      <c r="L90" s="3"/>
      <c r="M90" s="3"/>
      <c r="N90" s="3"/>
      <c r="O90" s="3"/>
      <c r="P90" s="3"/>
      <c r="Q90" s="3"/>
      <c r="R90" s="3"/>
      <c r="S90" s="3"/>
      <c r="T90" s="3"/>
      <c r="U90" s="3"/>
    </row>
    <row r="91" spans="7:21" x14ac:dyDescent="0.25">
      <c r="G91" s="3"/>
      <c r="H91" s="3"/>
      <c r="I91" s="3"/>
      <c r="J91" s="3"/>
      <c r="K91" s="3"/>
      <c r="L91" s="3"/>
      <c r="M91" s="3"/>
      <c r="N91" s="3"/>
      <c r="O91" s="3"/>
      <c r="P91" s="3"/>
      <c r="Q91" s="3"/>
      <c r="R91" s="3"/>
      <c r="S91" s="3"/>
      <c r="T91" s="3"/>
      <c r="U91" s="3"/>
    </row>
    <row r="92" spans="7:21" x14ac:dyDescent="0.25">
      <c r="G92" s="3"/>
      <c r="H92" s="3"/>
      <c r="I92" s="3"/>
      <c r="J92" s="3"/>
      <c r="K92" s="3"/>
      <c r="L92" s="3"/>
      <c r="M92" s="3"/>
      <c r="N92" s="3"/>
      <c r="O92" s="3"/>
      <c r="P92" s="3"/>
      <c r="Q92" s="3"/>
      <c r="R92" s="3"/>
      <c r="S92" s="3"/>
      <c r="T92" s="3"/>
      <c r="U92" s="3"/>
    </row>
    <row r="93" spans="7:21" x14ac:dyDescent="0.25">
      <c r="G93" s="3"/>
      <c r="H93" s="3"/>
      <c r="I93" s="3"/>
      <c r="J93" s="3"/>
      <c r="K93" s="3"/>
      <c r="L93" s="3"/>
      <c r="M93" s="3"/>
      <c r="N93" s="3"/>
      <c r="O93" s="3"/>
      <c r="P93" s="3"/>
      <c r="Q93" s="3"/>
      <c r="R93" s="3"/>
      <c r="S93" s="3"/>
      <c r="T93" s="3"/>
      <c r="U93" s="3"/>
    </row>
    <row r="94" spans="7:21" x14ac:dyDescent="0.25">
      <c r="G94" s="3"/>
      <c r="H94" s="3"/>
      <c r="I94" s="3"/>
      <c r="J94" s="3"/>
      <c r="K94" s="3"/>
      <c r="L94" s="3"/>
      <c r="M94" s="3"/>
      <c r="N94" s="3"/>
      <c r="O94" s="3"/>
      <c r="P94" s="3"/>
      <c r="Q94" s="3"/>
      <c r="R94" s="3"/>
      <c r="S94" s="3"/>
      <c r="T94" s="3"/>
      <c r="U94" s="3"/>
    </row>
    <row r="95" spans="7:21" x14ac:dyDescent="0.25">
      <c r="G95" s="3"/>
      <c r="H95" s="3"/>
      <c r="I95" s="3"/>
      <c r="J95" s="3"/>
      <c r="K95" s="3"/>
      <c r="L95" s="3"/>
      <c r="M95" s="3"/>
      <c r="N95" s="3"/>
      <c r="O95" s="3"/>
      <c r="P95" s="3"/>
      <c r="Q95" s="3"/>
      <c r="R95" s="3"/>
      <c r="S95" s="3"/>
      <c r="T95" s="3"/>
      <c r="U95" s="3"/>
    </row>
    <row r="96" spans="7:21" x14ac:dyDescent="0.25">
      <c r="G96" s="3"/>
      <c r="H96" s="3"/>
      <c r="I96" s="3"/>
      <c r="J96" s="3"/>
      <c r="K96" s="3"/>
      <c r="L96" s="3"/>
      <c r="M96" s="3"/>
      <c r="N96" s="3"/>
      <c r="O96" s="3"/>
      <c r="P96" s="3"/>
      <c r="Q96" s="3"/>
      <c r="R96" s="3"/>
      <c r="S96" s="3"/>
      <c r="T96" s="3"/>
      <c r="U96" s="3"/>
    </row>
    <row r="97" spans="7:21" x14ac:dyDescent="0.25">
      <c r="G97" s="3"/>
      <c r="H97" s="3"/>
      <c r="I97" s="3"/>
      <c r="J97" s="3"/>
      <c r="K97" s="3"/>
      <c r="L97" s="3"/>
      <c r="M97" s="3"/>
      <c r="N97" s="3"/>
      <c r="O97" s="3"/>
      <c r="P97" s="3"/>
      <c r="Q97" s="3"/>
      <c r="R97" s="3"/>
      <c r="S97" s="3"/>
      <c r="T97" s="3"/>
      <c r="U97" s="3"/>
    </row>
    <row r="98" spans="7:21" x14ac:dyDescent="0.25">
      <c r="G98" s="3"/>
      <c r="H98" s="3"/>
      <c r="I98" s="3"/>
      <c r="J98" s="3"/>
      <c r="K98" s="3"/>
      <c r="L98" s="3"/>
      <c r="M98" s="3"/>
      <c r="N98" s="3"/>
      <c r="O98" s="3"/>
      <c r="P98" s="3"/>
      <c r="Q98" s="3"/>
      <c r="R98" s="3"/>
      <c r="S98" s="3"/>
      <c r="T98" s="3"/>
      <c r="U98" s="3"/>
    </row>
    <row r="99" spans="7:21" x14ac:dyDescent="0.25">
      <c r="G99" s="3"/>
      <c r="H99" s="3"/>
      <c r="I99" s="3"/>
      <c r="J99" s="3"/>
      <c r="K99" s="3"/>
      <c r="L99" s="3"/>
      <c r="M99" s="3"/>
      <c r="N99" s="3"/>
      <c r="O99" s="3"/>
      <c r="P99" s="3"/>
      <c r="Q99" s="3"/>
      <c r="R99" s="3"/>
      <c r="S99" s="3"/>
      <c r="T99" s="3"/>
      <c r="U99" s="3"/>
    </row>
    <row r="100" spans="7:21" x14ac:dyDescent="0.25">
      <c r="G100" s="3"/>
      <c r="H100" s="3"/>
      <c r="I100" s="3"/>
      <c r="J100" s="3"/>
      <c r="K100" s="3"/>
      <c r="L100" s="3"/>
      <c r="M100" s="3"/>
      <c r="N100" s="3"/>
      <c r="O100" s="3"/>
      <c r="P100" s="3"/>
      <c r="Q100" s="3"/>
      <c r="R100" s="3"/>
      <c r="S100" s="3"/>
      <c r="T100" s="3"/>
      <c r="U100" s="3"/>
    </row>
    <row r="101" spans="7:21" x14ac:dyDescent="0.25">
      <c r="G101" s="3"/>
      <c r="H101" s="3"/>
      <c r="I101" s="3"/>
      <c r="J101" s="3"/>
      <c r="K101" s="3"/>
      <c r="L101" s="3"/>
      <c r="M101" s="3"/>
      <c r="N101" s="3"/>
      <c r="O101" s="3"/>
      <c r="P101" s="3"/>
      <c r="Q101" s="3"/>
      <c r="R101" s="3"/>
      <c r="S101" s="3"/>
      <c r="T101" s="3"/>
      <c r="U101" s="3"/>
    </row>
    <row r="102" spans="7:21" x14ac:dyDescent="0.25">
      <c r="G102" s="3"/>
      <c r="H102" s="3"/>
      <c r="I102" s="3"/>
      <c r="J102" s="3"/>
      <c r="K102" s="3"/>
      <c r="L102" s="3"/>
      <c r="M102" s="3"/>
      <c r="N102" s="3"/>
      <c r="O102" s="3"/>
      <c r="P102" s="3"/>
      <c r="Q102" s="3"/>
      <c r="R102" s="3"/>
      <c r="S102" s="3"/>
      <c r="T102" s="3"/>
      <c r="U102" s="3"/>
    </row>
    <row r="103" spans="7:21" x14ac:dyDescent="0.25">
      <c r="G103" s="3"/>
      <c r="H103" s="3"/>
      <c r="I103" s="3"/>
      <c r="J103" s="3"/>
      <c r="K103" s="3"/>
      <c r="L103" s="3"/>
      <c r="M103" s="3"/>
      <c r="N103" s="3"/>
      <c r="O103" s="3"/>
      <c r="P103" s="3"/>
      <c r="Q103" s="3"/>
      <c r="R103" s="3"/>
      <c r="S103" s="3"/>
      <c r="T103" s="3"/>
      <c r="U103" s="3"/>
    </row>
    <row r="104" spans="7:21" x14ac:dyDescent="0.25">
      <c r="G104" s="3"/>
      <c r="H104" s="3"/>
      <c r="I104" s="3"/>
      <c r="J104" s="3"/>
      <c r="K104" s="3"/>
      <c r="L104" s="3"/>
      <c r="M104" s="3"/>
      <c r="N104" s="3"/>
      <c r="O104" s="3"/>
      <c r="P104" s="3"/>
      <c r="Q104" s="3"/>
      <c r="R104" s="3"/>
      <c r="S104" s="3"/>
      <c r="T104" s="3"/>
      <c r="U104" s="3"/>
    </row>
    <row r="105" spans="7:21" x14ac:dyDescent="0.25">
      <c r="G105" s="3"/>
      <c r="H105" s="3"/>
      <c r="I105" s="3"/>
      <c r="J105" s="3"/>
      <c r="K105" s="3"/>
      <c r="L105" s="3"/>
      <c r="M105" s="3"/>
      <c r="N105" s="3"/>
      <c r="O105" s="3"/>
      <c r="P105" s="3"/>
      <c r="Q105" s="3"/>
      <c r="R105" s="3"/>
      <c r="S105" s="3"/>
      <c r="T105" s="3"/>
      <c r="U105" s="3"/>
    </row>
    <row r="106" spans="7:21" x14ac:dyDescent="0.25">
      <c r="G106" s="3"/>
      <c r="H106" s="3"/>
      <c r="I106" s="3"/>
      <c r="J106" s="3"/>
      <c r="K106" s="3"/>
      <c r="L106" s="3"/>
      <c r="M106" s="3"/>
      <c r="N106" s="3"/>
      <c r="O106" s="3"/>
      <c r="P106" s="3"/>
      <c r="Q106" s="3"/>
      <c r="R106" s="3"/>
      <c r="S106" s="3"/>
      <c r="T106" s="3"/>
      <c r="U106" s="3"/>
    </row>
    <row r="107" spans="7:21" x14ac:dyDescent="0.25">
      <c r="G107" s="3"/>
      <c r="H107" s="3"/>
      <c r="I107" s="3"/>
      <c r="J107" s="3"/>
      <c r="K107" s="3"/>
      <c r="L107" s="3"/>
      <c r="M107" s="3"/>
      <c r="N107" s="3"/>
      <c r="O107" s="3"/>
      <c r="P107" s="3"/>
      <c r="Q107" s="3"/>
      <c r="R107" s="3"/>
      <c r="S107" s="3"/>
      <c r="T107" s="3"/>
      <c r="U107" s="3"/>
    </row>
    <row r="108" spans="7:21" x14ac:dyDescent="0.25">
      <c r="G108" s="3"/>
      <c r="H108" s="3"/>
      <c r="I108" s="3"/>
      <c r="J108" s="3"/>
      <c r="K108" s="3"/>
      <c r="L108" s="3"/>
      <c r="M108" s="3"/>
      <c r="N108" s="3"/>
      <c r="O108" s="3"/>
      <c r="P108" s="3"/>
      <c r="Q108" s="3"/>
      <c r="R108" s="3"/>
      <c r="S108" s="3"/>
      <c r="T108" s="3"/>
      <c r="U108" s="3"/>
    </row>
    <row r="109" spans="7:21" x14ac:dyDescent="0.25">
      <c r="G109" s="3"/>
      <c r="H109" s="3"/>
      <c r="I109" s="3"/>
      <c r="J109" s="3"/>
      <c r="K109" s="3"/>
      <c r="L109" s="3"/>
      <c r="M109" s="3"/>
      <c r="N109" s="3"/>
      <c r="O109" s="3"/>
      <c r="P109" s="3"/>
      <c r="Q109" s="3"/>
      <c r="R109" s="3"/>
      <c r="S109" s="3"/>
      <c r="T109" s="3"/>
      <c r="U109" s="3"/>
    </row>
    <row r="110" spans="7:21" x14ac:dyDescent="0.25">
      <c r="G110" s="3"/>
      <c r="H110" s="3"/>
      <c r="I110" s="3"/>
      <c r="J110" s="3"/>
      <c r="K110" s="3"/>
      <c r="L110" s="3"/>
      <c r="M110" s="3"/>
      <c r="N110" s="3"/>
      <c r="O110" s="3"/>
      <c r="P110" s="3"/>
      <c r="Q110" s="3"/>
      <c r="R110" s="3"/>
      <c r="S110" s="3"/>
      <c r="T110" s="3"/>
      <c r="U110" s="3"/>
    </row>
    <row r="111" spans="7:21" x14ac:dyDescent="0.25">
      <c r="G111" s="3"/>
      <c r="H111" s="3"/>
      <c r="I111" s="3"/>
      <c r="J111" s="3"/>
      <c r="K111" s="3"/>
      <c r="L111" s="3"/>
      <c r="M111" s="3"/>
      <c r="N111" s="3"/>
      <c r="O111" s="3"/>
      <c r="P111" s="3"/>
      <c r="Q111" s="3"/>
      <c r="R111" s="3"/>
      <c r="S111" s="3"/>
      <c r="T111" s="3"/>
      <c r="U111" s="3"/>
    </row>
    <row r="112" spans="7:21" x14ac:dyDescent="0.25">
      <c r="G112" s="3"/>
      <c r="H112" s="3"/>
      <c r="I112" s="3"/>
      <c r="J112" s="3"/>
      <c r="K112" s="3"/>
      <c r="L112" s="3"/>
      <c r="M112" s="3"/>
      <c r="N112" s="3"/>
      <c r="O112" s="3"/>
      <c r="P112" s="3"/>
      <c r="Q112" s="3"/>
      <c r="R112" s="3"/>
      <c r="S112" s="3"/>
      <c r="T112" s="3"/>
      <c r="U112" s="3"/>
    </row>
    <row r="113" spans="7:21" x14ac:dyDescent="0.25">
      <c r="G113" s="3"/>
      <c r="H113" s="3"/>
      <c r="I113" s="3"/>
      <c r="J113" s="3"/>
      <c r="K113" s="3"/>
      <c r="L113" s="3"/>
      <c r="M113" s="3"/>
      <c r="N113" s="3"/>
      <c r="O113" s="3"/>
      <c r="P113" s="3"/>
      <c r="Q113" s="3"/>
      <c r="R113" s="3"/>
      <c r="S113" s="3"/>
      <c r="T113" s="3"/>
      <c r="U113" s="3"/>
    </row>
    <row r="114" spans="7:21" x14ac:dyDescent="0.25">
      <c r="G114" s="3"/>
      <c r="H114" s="3"/>
      <c r="I114" s="3"/>
      <c r="J114" s="3"/>
      <c r="K114" s="3"/>
      <c r="L114" s="3"/>
      <c r="M114" s="3"/>
      <c r="N114" s="3"/>
      <c r="O114" s="3"/>
      <c r="P114" s="3"/>
      <c r="Q114" s="3"/>
      <c r="R114" s="3"/>
      <c r="S114" s="3"/>
      <c r="T114" s="3"/>
      <c r="U114" s="3"/>
    </row>
    <row r="115" spans="7:21" x14ac:dyDescent="0.25">
      <c r="G115" s="3"/>
      <c r="H115" s="3"/>
      <c r="I115" s="3"/>
      <c r="J115" s="3"/>
      <c r="K115" s="3"/>
      <c r="L115" s="3"/>
      <c r="M115" s="3"/>
      <c r="N115" s="3"/>
      <c r="O115" s="3"/>
      <c r="P115" s="3"/>
      <c r="Q115" s="3"/>
      <c r="R115" s="3"/>
      <c r="S115" s="3"/>
      <c r="T115" s="3"/>
      <c r="U115" s="3"/>
    </row>
    <row r="116" spans="7:21" x14ac:dyDescent="0.25">
      <c r="G116" s="3"/>
      <c r="H116" s="3"/>
      <c r="I116" s="3"/>
      <c r="J116" s="3"/>
      <c r="K116" s="3"/>
      <c r="L116" s="3"/>
      <c r="M116" s="3"/>
      <c r="N116" s="3"/>
      <c r="O116" s="3"/>
      <c r="P116" s="3"/>
      <c r="Q116" s="3"/>
      <c r="R116" s="3"/>
      <c r="S116" s="3"/>
      <c r="T116" s="3"/>
      <c r="U116" s="3"/>
    </row>
    <row r="117" spans="7:21" x14ac:dyDescent="0.25">
      <c r="G117" s="3"/>
      <c r="H117" s="3"/>
      <c r="I117" s="3"/>
      <c r="J117" s="3"/>
      <c r="K117" s="3"/>
      <c r="L117" s="3"/>
      <c r="M117" s="3"/>
      <c r="N117" s="3"/>
      <c r="O117" s="3"/>
      <c r="P117" s="3"/>
      <c r="Q117" s="3"/>
      <c r="R117" s="3"/>
      <c r="S117" s="3"/>
      <c r="T117" s="3"/>
      <c r="U117" s="3"/>
    </row>
    <row r="118" spans="7:21" x14ac:dyDescent="0.25">
      <c r="G118" s="3"/>
      <c r="H118" s="3"/>
      <c r="I118" s="3"/>
      <c r="J118" s="3"/>
      <c r="K118" s="3"/>
      <c r="L118" s="3"/>
      <c r="M118" s="3"/>
      <c r="N118" s="3"/>
      <c r="O118" s="3"/>
      <c r="P118" s="3"/>
      <c r="Q118" s="3"/>
      <c r="R118" s="3"/>
      <c r="S118" s="3"/>
      <c r="T118" s="3"/>
      <c r="U118" s="3"/>
    </row>
    <row r="119" spans="7:21" x14ac:dyDescent="0.25">
      <c r="G119" s="3"/>
      <c r="H119" s="3"/>
      <c r="I119" s="3"/>
      <c r="J119" s="3"/>
      <c r="K119" s="3"/>
      <c r="L119" s="3"/>
      <c r="M119" s="3"/>
      <c r="N119" s="3"/>
      <c r="O119" s="3"/>
      <c r="P119" s="3"/>
      <c r="Q119" s="3"/>
      <c r="R119" s="3"/>
      <c r="S119" s="3"/>
      <c r="T119" s="3"/>
      <c r="U119" s="3"/>
    </row>
    <row r="120" spans="7:21" x14ac:dyDescent="0.25">
      <c r="G120" s="3"/>
      <c r="H120" s="3"/>
      <c r="I120" s="3"/>
      <c r="J120" s="3"/>
      <c r="K120" s="3"/>
      <c r="L120" s="3"/>
      <c r="M120" s="3"/>
      <c r="N120" s="3"/>
      <c r="O120" s="3"/>
      <c r="P120" s="3"/>
      <c r="Q120" s="3"/>
      <c r="R120" s="3"/>
      <c r="S120" s="3"/>
      <c r="T120" s="3"/>
      <c r="U120" s="3"/>
    </row>
    <row r="121" spans="7:21" x14ac:dyDescent="0.25">
      <c r="G121" s="3"/>
      <c r="H121" s="3"/>
      <c r="I121" s="3"/>
      <c r="J121" s="3"/>
      <c r="K121" s="3"/>
      <c r="L121" s="3"/>
      <c r="M121" s="3"/>
      <c r="N121" s="3"/>
      <c r="O121" s="3"/>
      <c r="P121" s="3"/>
      <c r="Q121" s="3"/>
      <c r="R121" s="3"/>
      <c r="S121" s="3"/>
      <c r="T121" s="3"/>
      <c r="U121" s="3"/>
    </row>
    <row r="122" spans="7:21" x14ac:dyDescent="0.25">
      <c r="G122" s="3"/>
      <c r="H122" s="3"/>
      <c r="I122" s="3"/>
      <c r="J122" s="3"/>
      <c r="K122" s="3"/>
      <c r="L122" s="3"/>
      <c r="M122" s="3"/>
      <c r="N122" s="3"/>
      <c r="O122" s="3"/>
      <c r="P122" s="3"/>
      <c r="Q122" s="3"/>
      <c r="R122" s="3"/>
      <c r="S122" s="3"/>
      <c r="T122" s="3"/>
      <c r="U122" s="3"/>
    </row>
    <row r="123" spans="7:21" x14ac:dyDescent="0.25">
      <c r="G123" s="3"/>
      <c r="H123" s="3"/>
      <c r="I123" s="3"/>
      <c r="J123" s="3"/>
      <c r="K123" s="3"/>
      <c r="L123" s="3"/>
      <c r="M123" s="3"/>
      <c r="N123" s="3"/>
      <c r="O123" s="3"/>
      <c r="P123" s="3"/>
      <c r="Q123" s="3"/>
      <c r="R123" s="3"/>
      <c r="S123" s="3"/>
      <c r="T123" s="3"/>
      <c r="U123" s="3"/>
    </row>
    <row r="124" spans="7:21" x14ac:dyDescent="0.25">
      <c r="G124" s="3"/>
      <c r="H124" s="3"/>
      <c r="I124" s="3"/>
      <c r="J124" s="3"/>
      <c r="K124" s="3"/>
      <c r="L124" s="3"/>
      <c r="M124" s="3"/>
      <c r="N124" s="3"/>
      <c r="O124" s="3"/>
      <c r="P124" s="3"/>
      <c r="Q124" s="3"/>
      <c r="R124" s="3"/>
      <c r="S124" s="3"/>
      <c r="T124" s="3"/>
      <c r="U124" s="3"/>
    </row>
    <row r="125" spans="7:21" x14ac:dyDescent="0.25">
      <c r="G125" s="3"/>
      <c r="H125" s="3"/>
      <c r="I125" s="3"/>
      <c r="J125" s="3"/>
      <c r="K125" s="3"/>
      <c r="L125" s="3"/>
      <c r="M125" s="3"/>
      <c r="N125" s="3"/>
      <c r="O125" s="3"/>
      <c r="P125" s="3"/>
      <c r="Q125" s="3"/>
      <c r="R125" s="3"/>
      <c r="S125" s="3"/>
      <c r="T125" s="3"/>
      <c r="U125" s="3"/>
    </row>
    <row r="126" spans="7:21" x14ac:dyDescent="0.25">
      <c r="G126" s="3"/>
      <c r="H126" s="3"/>
      <c r="I126" s="3"/>
      <c r="J126" s="3"/>
      <c r="K126" s="3"/>
      <c r="L126" s="3"/>
      <c r="M126" s="3"/>
      <c r="N126" s="3"/>
      <c r="O126" s="3"/>
      <c r="P126" s="3"/>
      <c r="Q126" s="3"/>
      <c r="R126" s="3"/>
      <c r="S126" s="3"/>
      <c r="T126" s="3"/>
      <c r="U126" s="3"/>
    </row>
    <row r="127" spans="7:21" x14ac:dyDescent="0.25">
      <c r="G127" s="3"/>
      <c r="H127" s="3"/>
      <c r="I127" s="3"/>
      <c r="J127" s="3"/>
      <c r="K127" s="3"/>
      <c r="L127" s="3"/>
      <c r="M127" s="3"/>
      <c r="N127" s="3"/>
      <c r="O127" s="3"/>
      <c r="P127" s="3"/>
      <c r="Q127" s="3"/>
      <c r="R127" s="3"/>
      <c r="S127" s="3"/>
      <c r="T127" s="3"/>
      <c r="U127" s="3"/>
    </row>
    <row r="128" spans="7:21" x14ac:dyDescent="0.25">
      <c r="G128" s="3"/>
      <c r="H128" s="3"/>
      <c r="I128" s="3"/>
      <c r="J128" s="3"/>
      <c r="K128" s="3"/>
      <c r="L128" s="3"/>
      <c r="M128" s="3"/>
      <c r="N128" s="3"/>
      <c r="O128" s="3"/>
      <c r="P128" s="3"/>
      <c r="Q128" s="3"/>
      <c r="R128" s="3"/>
      <c r="S128" s="3"/>
      <c r="T128" s="3"/>
      <c r="U128" s="3"/>
    </row>
    <row r="129" spans="7:21" x14ac:dyDescent="0.25">
      <c r="G129" s="3"/>
      <c r="H129" s="3"/>
      <c r="I129" s="3"/>
      <c r="J129" s="3"/>
      <c r="K129" s="3"/>
      <c r="L129" s="3"/>
      <c r="M129" s="3"/>
      <c r="N129" s="3"/>
      <c r="O129" s="3"/>
      <c r="P129" s="3"/>
      <c r="Q129" s="3"/>
      <c r="R129" s="3"/>
      <c r="S129" s="3"/>
      <c r="T129" s="3"/>
      <c r="U129" s="3"/>
    </row>
    <row r="130" spans="7:21" x14ac:dyDescent="0.25">
      <c r="G130" s="3"/>
      <c r="H130" s="3"/>
      <c r="I130" s="3"/>
      <c r="J130" s="3"/>
      <c r="K130" s="3"/>
      <c r="L130" s="3"/>
      <c r="M130" s="3"/>
      <c r="N130" s="3"/>
      <c r="O130" s="3"/>
      <c r="P130" s="3"/>
      <c r="Q130" s="3"/>
      <c r="R130" s="3"/>
      <c r="S130" s="3"/>
      <c r="T130" s="3"/>
      <c r="U130" s="3"/>
    </row>
    <row r="131" spans="7:21" x14ac:dyDescent="0.25">
      <c r="G131" s="3"/>
      <c r="H131" s="3"/>
      <c r="I131" s="3"/>
      <c r="J131" s="3"/>
      <c r="K131" s="3"/>
      <c r="L131" s="3"/>
      <c r="M131" s="3"/>
      <c r="N131" s="3"/>
      <c r="O131" s="3"/>
      <c r="P131" s="3"/>
      <c r="Q131" s="3"/>
      <c r="R131" s="3"/>
      <c r="S131" s="3"/>
      <c r="T131" s="3"/>
      <c r="U131" s="3"/>
    </row>
    <row r="132" spans="7:21" x14ac:dyDescent="0.25">
      <c r="G132" s="3"/>
      <c r="H132" s="3"/>
      <c r="I132" s="3"/>
      <c r="J132" s="3"/>
      <c r="K132" s="3"/>
      <c r="L132" s="3"/>
      <c r="M132" s="3"/>
      <c r="N132" s="3"/>
      <c r="O132" s="3"/>
      <c r="P132" s="3"/>
      <c r="Q132" s="3"/>
      <c r="R132" s="3"/>
      <c r="S132" s="3"/>
      <c r="T132" s="3"/>
      <c r="U132" s="3"/>
    </row>
    <row r="133" spans="7:21" x14ac:dyDescent="0.25">
      <c r="G133" s="3"/>
      <c r="H133" s="3"/>
      <c r="I133" s="3"/>
      <c r="J133" s="3"/>
      <c r="K133" s="3"/>
      <c r="L133" s="3"/>
      <c r="M133" s="3"/>
      <c r="N133" s="3"/>
      <c r="O133" s="3"/>
      <c r="P133" s="3"/>
      <c r="Q133" s="3"/>
      <c r="R133" s="3"/>
      <c r="S133" s="3"/>
      <c r="T133" s="3"/>
      <c r="U133" s="3"/>
    </row>
    <row r="134" spans="7:21" x14ac:dyDescent="0.25">
      <c r="G134" s="3"/>
      <c r="H134" s="3"/>
      <c r="I134" s="3"/>
      <c r="J134" s="3"/>
      <c r="K134" s="3"/>
      <c r="L134" s="3"/>
      <c r="M134" s="3"/>
      <c r="N134" s="3"/>
      <c r="O134" s="3"/>
      <c r="P134" s="3"/>
      <c r="Q134" s="3"/>
      <c r="R134" s="3"/>
      <c r="S134" s="3"/>
      <c r="T134" s="3"/>
      <c r="U134" s="3"/>
    </row>
    <row r="135" spans="7:21" x14ac:dyDescent="0.25">
      <c r="G135" s="3"/>
      <c r="H135" s="3"/>
      <c r="I135" s="3"/>
      <c r="J135" s="3"/>
      <c r="K135" s="3"/>
      <c r="L135" s="3"/>
      <c r="M135" s="3"/>
      <c r="N135" s="3"/>
      <c r="O135" s="3"/>
      <c r="P135" s="3"/>
      <c r="Q135" s="3"/>
      <c r="R135" s="3"/>
      <c r="S135" s="3"/>
      <c r="T135" s="3"/>
      <c r="U135" s="3"/>
    </row>
    <row r="136" spans="7:21" x14ac:dyDescent="0.25">
      <c r="G136" s="3"/>
      <c r="H136" s="3"/>
      <c r="I136" s="3"/>
      <c r="J136" s="3"/>
      <c r="K136" s="3"/>
      <c r="L136" s="3"/>
      <c r="M136" s="3"/>
      <c r="N136" s="3"/>
      <c r="O136" s="3"/>
      <c r="P136" s="3"/>
      <c r="Q136" s="3"/>
      <c r="R136" s="3"/>
      <c r="S136" s="3"/>
      <c r="T136" s="3"/>
      <c r="U136" s="3"/>
    </row>
    <row r="137" spans="7:21" x14ac:dyDescent="0.25">
      <c r="G137" s="3"/>
      <c r="H137" s="3"/>
      <c r="I137" s="3"/>
      <c r="J137" s="3"/>
      <c r="K137" s="3"/>
      <c r="L137" s="3"/>
      <c r="M137" s="3"/>
      <c r="N137" s="3"/>
      <c r="O137" s="3"/>
      <c r="P137" s="3"/>
      <c r="Q137" s="3"/>
      <c r="R137" s="3"/>
      <c r="S137" s="3"/>
      <c r="T137" s="3"/>
      <c r="U137" s="3"/>
    </row>
    <row r="138" spans="7:21" x14ac:dyDescent="0.25">
      <c r="G138" s="3"/>
      <c r="H138" s="3"/>
      <c r="I138" s="3"/>
      <c r="J138" s="3"/>
      <c r="K138" s="3"/>
      <c r="L138" s="3"/>
      <c r="M138" s="3"/>
      <c r="N138" s="3"/>
      <c r="O138" s="3"/>
      <c r="P138" s="3"/>
      <c r="Q138" s="3"/>
      <c r="R138" s="3"/>
      <c r="S138" s="3"/>
      <c r="T138" s="3"/>
      <c r="U138" s="3"/>
    </row>
    <row r="139" spans="7:21" x14ac:dyDescent="0.25">
      <c r="G139" s="3"/>
      <c r="H139" s="3"/>
      <c r="I139" s="3"/>
      <c r="J139" s="3"/>
      <c r="K139" s="3"/>
      <c r="L139" s="3"/>
      <c r="M139" s="3"/>
      <c r="N139" s="3"/>
      <c r="O139" s="3"/>
      <c r="P139" s="3"/>
      <c r="Q139" s="3"/>
      <c r="R139" s="3"/>
      <c r="S139" s="3"/>
      <c r="T139" s="3"/>
      <c r="U139" s="3"/>
    </row>
    <row r="140" spans="7:21" x14ac:dyDescent="0.25">
      <c r="G140" s="3"/>
      <c r="H140" s="3"/>
      <c r="I140" s="3"/>
      <c r="J140" s="3"/>
      <c r="K140" s="3"/>
      <c r="L140" s="3"/>
      <c r="M140" s="3"/>
      <c r="N140" s="3"/>
      <c r="O140" s="3"/>
      <c r="P140" s="3"/>
      <c r="Q140" s="3"/>
      <c r="R140" s="3"/>
      <c r="S140" s="3"/>
      <c r="T140" s="3"/>
      <c r="U140" s="3"/>
    </row>
    <row r="141" spans="7:21" x14ac:dyDescent="0.25">
      <c r="G141" s="3"/>
      <c r="H141" s="3"/>
      <c r="I141" s="3"/>
      <c r="J141" s="3"/>
      <c r="K141" s="3"/>
      <c r="L141" s="3"/>
      <c r="M141" s="3"/>
      <c r="N141" s="3"/>
      <c r="O141" s="3"/>
      <c r="P141" s="3"/>
      <c r="Q141" s="3"/>
      <c r="R141" s="3"/>
      <c r="S141" s="3"/>
      <c r="T141" s="3"/>
      <c r="U141" s="3"/>
    </row>
    <row r="142" spans="7:21" x14ac:dyDescent="0.25">
      <c r="G142" s="3"/>
      <c r="H142" s="3"/>
      <c r="I142" s="3"/>
      <c r="J142" s="3"/>
      <c r="K142" s="3"/>
      <c r="L142" s="3"/>
      <c r="M142" s="3"/>
      <c r="N142" s="3"/>
      <c r="O142" s="3"/>
      <c r="P142" s="3"/>
      <c r="Q142" s="3"/>
      <c r="R142" s="3"/>
      <c r="S142" s="3"/>
      <c r="T142" s="3"/>
      <c r="U142" s="3"/>
    </row>
    <row r="143" spans="7:21" x14ac:dyDescent="0.25">
      <c r="G143" s="3"/>
      <c r="H143" s="3"/>
      <c r="I143" s="3"/>
      <c r="J143" s="3"/>
      <c r="K143" s="3"/>
      <c r="L143" s="3"/>
      <c r="M143" s="3"/>
      <c r="N143" s="3"/>
      <c r="O143" s="3"/>
      <c r="P143" s="3"/>
      <c r="Q143" s="3"/>
      <c r="R143" s="3"/>
      <c r="S143" s="3"/>
      <c r="T143" s="3"/>
      <c r="U143" s="3"/>
    </row>
    <row r="144" spans="7:21" x14ac:dyDescent="0.25">
      <c r="G144" s="3"/>
      <c r="H144" s="3"/>
      <c r="I144" s="3"/>
      <c r="J144" s="3"/>
      <c r="K144" s="3"/>
      <c r="L144" s="3"/>
      <c r="M144" s="3"/>
      <c r="N144" s="3"/>
      <c r="O144" s="3"/>
      <c r="P144" s="3"/>
      <c r="Q144" s="3"/>
      <c r="R144" s="3"/>
      <c r="S144" s="3"/>
      <c r="T144" s="3"/>
      <c r="U144" s="3"/>
    </row>
    <row r="145" spans="7:21" x14ac:dyDescent="0.25">
      <c r="G145" s="3"/>
      <c r="H145" s="3"/>
      <c r="I145" s="3"/>
      <c r="J145" s="3"/>
      <c r="K145" s="3"/>
      <c r="L145" s="3"/>
      <c r="M145" s="3"/>
      <c r="N145" s="3"/>
      <c r="O145" s="3"/>
      <c r="P145" s="3"/>
      <c r="Q145" s="3"/>
      <c r="R145" s="3"/>
      <c r="S145" s="3"/>
      <c r="T145" s="3"/>
      <c r="U145" s="3"/>
    </row>
    <row r="146" spans="7:21" x14ac:dyDescent="0.25">
      <c r="G146" s="3"/>
      <c r="H146" s="3"/>
      <c r="I146" s="3"/>
      <c r="J146" s="3"/>
      <c r="K146" s="3"/>
      <c r="L146" s="3"/>
      <c r="M146" s="3"/>
      <c r="N146" s="3"/>
      <c r="O146" s="3"/>
      <c r="P146" s="3"/>
      <c r="Q146" s="3"/>
      <c r="R146" s="3"/>
      <c r="S146" s="3"/>
      <c r="T146" s="3"/>
      <c r="U146" s="3"/>
    </row>
    <row r="147" spans="7:21" x14ac:dyDescent="0.25">
      <c r="G147" s="3"/>
      <c r="H147" s="3"/>
      <c r="I147" s="3"/>
      <c r="J147" s="3"/>
      <c r="K147" s="3"/>
      <c r="L147" s="3"/>
      <c r="M147" s="3"/>
      <c r="N147" s="3"/>
      <c r="O147" s="3"/>
      <c r="P147" s="3"/>
      <c r="Q147" s="3"/>
      <c r="R147" s="3"/>
      <c r="S147" s="3"/>
      <c r="T147" s="3"/>
      <c r="U147" s="3"/>
    </row>
    <row r="148" spans="7:21" x14ac:dyDescent="0.25">
      <c r="G148" s="3"/>
      <c r="H148" s="3"/>
      <c r="I148" s="3"/>
      <c r="J148" s="3"/>
      <c r="K148" s="3"/>
      <c r="L148" s="3"/>
      <c r="M148" s="3"/>
      <c r="N148" s="3"/>
      <c r="O148" s="3"/>
      <c r="P148" s="3"/>
      <c r="Q148" s="3"/>
      <c r="R148" s="3"/>
      <c r="S148" s="3"/>
      <c r="T148" s="3"/>
      <c r="U148" s="3"/>
    </row>
    <row r="149" spans="7:21" x14ac:dyDescent="0.25">
      <c r="G149" s="3"/>
      <c r="H149" s="3"/>
      <c r="I149" s="3"/>
      <c r="J149" s="3"/>
      <c r="K149" s="3"/>
      <c r="L149" s="3"/>
      <c r="M149" s="3"/>
      <c r="N149" s="3"/>
      <c r="O149" s="3"/>
      <c r="P149" s="3"/>
      <c r="Q149" s="3"/>
      <c r="R149" s="3"/>
      <c r="S149" s="3"/>
      <c r="T149" s="3"/>
      <c r="U149" s="3"/>
    </row>
    <row r="150" spans="7:21" x14ac:dyDescent="0.25">
      <c r="G150" s="3"/>
      <c r="H150" s="3"/>
      <c r="I150" s="3"/>
      <c r="J150" s="3"/>
      <c r="K150" s="3"/>
      <c r="L150" s="3"/>
      <c r="M150" s="3"/>
      <c r="N150" s="3"/>
      <c r="O150" s="3"/>
      <c r="P150" s="3"/>
      <c r="Q150" s="3"/>
      <c r="R150" s="3"/>
      <c r="S150" s="3"/>
      <c r="T150" s="3"/>
      <c r="U150" s="3"/>
    </row>
    <row r="151" spans="7:21" x14ac:dyDescent="0.25">
      <c r="G151" s="3"/>
      <c r="H151" s="3"/>
      <c r="I151" s="3"/>
      <c r="J151" s="3"/>
      <c r="K151" s="3"/>
      <c r="L151" s="3"/>
      <c r="M151" s="3"/>
      <c r="N151" s="3"/>
      <c r="O151" s="3"/>
      <c r="P151" s="3"/>
      <c r="Q151" s="3"/>
      <c r="R151" s="3"/>
      <c r="S151" s="3"/>
      <c r="T151" s="3"/>
      <c r="U151" s="3"/>
    </row>
    <row r="152" spans="7:21" x14ac:dyDescent="0.25">
      <c r="G152" s="3"/>
      <c r="H152" s="3"/>
      <c r="I152" s="3"/>
      <c r="J152" s="3"/>
      <c r="K152" s="3"/>
      <c r="L152" s="3"/>
      <c r="M152" s="3"/>
      <c r="N152" s="3"/>
      <c r="O152" s="3"/>
      <c r="P152" s="3"/>
      <c r="Q152" s="3"/>
      <c r="R152" s="3"/>
      <c r="S152" s="3"/>
      <c r="T152" s="3"/>
      <c r="U152" s="3"/>
    </row>
    <row r="153" spans="7:21" x14ac:dyDescent="0.25">
      <c r="G153" s="3"/>
      <c r="H153" s="3"/>
      <c r="I153" s="3"/>
      <c r="J153" s="3"/>
      <c r="K153" s="3"/>
      <c r="L153" s="3"/>
      <c r="M153" s="3"/>
      <c r="N153" s="3"/>
      <c r="O153" s="3"/>
      <c r="P153" s="3"/>
      <c r="Q153" s="3"/>
      <c r="R153" s="3"/>
      <c r="S153" s="3"/>
      <c r="T153" s="3"/>
      <c r="U153" s="3"/>
    </row>
    <row r="154" spans="7:21" x14ac:dyDescent="0.25">
      <c r="G154" s="3"/>
      <c r="H154" s="3"/>
      <c r="I154" s="3"/>
      <c r="J154" s="3"/>
      <c r="K154" s="3"/>
      <c r="L154" s="3"/>
      <c r="M154" s="3"/>
      <c r="N154" s="3"/>
      <c r="O154" s="3"/>
      <c r="P154" s="3"/>
      <c r="Q154" s="3"/>
      <c r="R154" s="3"/>
      <c r="S154" s="3"/>
      <c r="T154" s="3"/>
      <c r="U154" s="3"/>
    </row>
    <row r="155" spans="7:21" x14ac:dyDescent="0.25">
      <c r="G155" s="3"/>
      <c r="H155" s="3"/>
      <c r="I155" s="3"/>
      <c r="J155" s="3"/>
      <c r="K155" s="3"/>
      <c r="L155" s="3"/>
      <c r="M155" s="3"/>
      <c r="N155" s="3"/>
      <c r="O155" s="3"/>
      <c r="P155" s="3"/>
      <c r="Q155" s="3"/>
      <c r="R155" s="3"/>
      <c r="S155" s="3"/>
      <c r="T155" s="3"/>
      <c r="U155" s="3"/>
    </row>
    <row r="156" spans="7:21" x14ac:dyDescent="0.25">
      <c r="G156" s="3"/>
      <c r="H156" s="3"/>
      <c r="I156" s="3"/>
      <c r="J156" s="3"/>
      <c r="K156" s="3"/>
      <c r="L156" s="3"/>
      <c r="M156" s="3"/>
      <c r="N156" s="3"/>
      <c r="O156" s="3"/>
      <c r="P156" s="3"/>
      <c r="Q156" s="3"/>
      <c r="R156" s="3"/>
      <c r="S156" s="3"/>
      <c r="T156" s="3"/>
      <c r="U156" s="3"/>
    </row>
    <row r="157" spans="7:21" x14ac:dyDescent="0.25">
      <c r="G157" s="3"/>
      <c r="H157" s="3"/>
      <c r="I157" s="3"/>
      <c r="J157" s="3"/>
      <c r="K157" s="3"/>
      <c r="L157" s="3"/>
      <c r="M157" s="3"/>
      <c r="N157" s="3"/>
      <c r="O157" s="3"/>
      <c r="P157" s="3"/>
      <c r="Q157" s="3"/>
      <c r="R157" s="3"/>
      <c r="S157" s="3"/>
      <c r="T157" s="3"/>
      <c r="U157" s="3"/>
    </row>
    <row r="158" spans="7:21" x14ac:dyDescent="0.25">
      <c r="G158" s="3"/>
      <c r="H158" s="3"/>
      <c r="I158" s="3"/>
      <c r="J158" s="3"/>
      <c r="K158" s="3"/>
      <c r="L158" s="3"/>
      <c r="M158" s="3"/>
      <c r="N158" s="3"/>
      <c r="O158" s="3"/>
      <c r="P158" s="3"/>
      <c r="Q158" s="3"/>
      <c r="R158" s="3"/>
      <c r="S158" s="3"/>
      <c r="T158" s="3"/>
      <c r="U158" s="3"/>
    </row>
    <row r="159" spans="7:21" x14ac:dyDescent="0.25">
      <c r="G159" s="3"/>
      <c r="H159" s="3"/>
      <c r="I159" s="3"/>
      <c r="J159" s="3"/>
      <c r="K159" s="3"/>
      <c r="L159" s="3"/>
      <c r="M159" s="3"/>
      <c r="N159" s="3"/>
      <c r="O159" s="3"/>
      <c r="P159" s="3"/>
      <c r="Q159" s="3"/>
      <c r="R159" s="3"/>
      <c r="S159" s="3"/>
      <c r="T159" s="3"/>
      <c r="U159" s="3"/>
    </row>
    <row r="160" spans="7:21" x14ac:dyDescent="0.25">
      <c r="G160" s="3"/>
      <c r="H160" s="3"/>
      <c r="I160" s="3"/>
      <c r="J160" s="3"/>
      <c r="K160" s="3"/>
      <c r="L160" s="3"/>
      <c r="M160" s="3"/>
      <c r="N160" s="3"/>
      <c r="O160" s="3"/>
      <c r="P160" s="3"/>
      <c r="Q160" s="3"/>
      <c r="R160" s="3"/>
      <c r="S160" s="3"/>
      <c r="T160" s="3"/>
      <c r="U160" s="3"/>
    </row>
    <row r="161" spans="7:21" x14ac:dyDescent="0.25">
      <c r="G161" s="3"/>
      <c r="H161" s="3"/>
      <c r="I161" s="3"/>
      <c r="J161" s="3"/>
      <c r="K161" s="3"/>
      <c r="L161" s="3"/>
      <c r="M161" s="3"/>
      <c r="N161" s="3"/>
      <c r="O161" s="3"/>
      <c r="P161" s="3"/>
      <c r="Q161" s="3"/>
      <c r="R161" s="3"/>
      <c r="S161" s="3"/>
      <c r="T161" s="3"/>
      <c r="U161" s="3"/>
    </row>
    <row r="162" spans="7:21" x14ac:dyDescent="0.25">
      <c r="G162" s="3"/>
      <c r="H162" s="3"/>
      <c r="I162" s="3"/>
      <c r="J162" s="3"/>
      <c r="K162" s="3"/>
      <c r="L162" s="3"/>
      <c r="M162" s="3"/>
      <c r="N162" s="3"/>
      <c r="O162" s="3"/>
      <c r="P162" s="3"/>
      <c r="Q162" s="3"/>
      <c r="R162" s="3"/>
      <c r="S162" s="3"/>
      <c r="T162" s="3"/>
      <c r="U162" s="3"/>
    </row>
    <row r="163" spans="7:21" x14ac:dyDescent="0.25">
      <c r="G163" s="3"/>
      <c r="H163" s="3"/>
      <c r="I163" s="3"/>
      <c r="J163" s="3"/>
      <c r="K163" s="3"/>
      <c r="L163" s="3"/>
      <c r="M163" s="3"/>
      <c r="N163" s="3"/>
      <c r="O163" s="3"/>
      <c r="P163" s="3"/>
      <c r="Q163" s="3"/>
      <c r="R163" s="3"/>
      <c r="S163" s="3"/>
      <c r="T163" s="3"/>
      <c r="U163" s="3"/>
    </row>
    <row r="164" spans="7:21" x14ac:dyDescent="0.25">
      <c r="G164" s="3"/>
      <c r="H164" s="3"/>
      <c r="I164" s="3"/>
      <c r="J164" s="3"/>
      <c r="K164" s="3"/>
      <c r="L164" s="3"/>
      <c r="M164" s="3"/>
      <c r="N164" s="3"/>
      <c r="O164" s="3"/>
      <c r="P164" s="3"/>
      <c r="Q164" s="3"/>
      <c r="R164" s="3"/>
      <c r="S164" s="3"/>
      <c r="T164" s="3"/>
      <c r="U164" s="3"/>
    </row>
    <row r="165" spans="7:21" x14ac:dyDescent="0.25">
      <c r="G165" s="3"/>
      <c r="H165" s="3"/>
      <c r="I165" s="3"/>
      <c r="J165" s="3"/>
      <c r="K165" s="3"/>
      <c r="L165" s="3"/>
      <c r="M165" s="3"/>
      <c r="N165" s="3"/>
      <c r="O165" s="3"/>
      <c r="P165" s="3"/>
      <c r="Q165" s="3"/>
      <c r="R165" s="3"/>
      <c r="S165" s="3"/>
      <c r="T165" s="3"/>
      <c r="U165" s="3"/>
    </row>
    <row r="166" spans="7:21" x14ac:dyDescent="0.25">
      <c r="G166" s="3"/>
      <c r="H166" s="3"/>
      <c r="I166" s="3"/>
      <c r="J166" s="3"/>
      <c r="K166" s="3"/>
      <c r="L166" s="3"/>
      <c r="M166" s="3"/>
      <c r="N166" s="3"/>
      <c r="O166" s="3"/>
      <c r="P166" s="3"/>
      <c r="Q166" s="3"/>
      <c r="R166" s="3"/>
      <c r="S166" s="3"/>
      <c r="T166" s="3"/>
      <c r="U166" s="3"/>
    </row>
    <row r="167" spans="7:21" x14ac:dyDescent="0.25">
      <c r="G167" s="3"/>
      <c r="H167" s="3"/>
      <c r="I167" s="3"/>
      <c r="J167" s="3"/>
      <c r="K167" s="3"/>
      <c r="L167" s="3"/>
      <c r="M167" s="3"/>
      <c r="N167" s="3"/>
      <c r="O167" s="3"/>
      <c r="P167" s="3"/>
      <c r="Q167" s="3"/>
      <c r="R167" s="3"/>
      <c r="S167" s="3"/>
      <c r="T167" s="3"/>
      <c r="U167" s="3"/>
    </row>
    <row r="168" spans="7:21" x14ac:dyDescent="0.25">
      <c r="G168" s="3"/>
      <c r="H168" s="3"/>
      <c r="I168" s="3"/>
      <c r="J168" s="3"/>
      <c r="K168" s="3"/>
      <c r="L168" s="3"/>
      <c r="M168" s="3"/>
      <c r="N168" s="3"/>
      <c r="O168" s="3"/>
      <c r="P168" s="3"/>
      <c r="Q168" s="3"/>
      <c r="R168" s="3"/>
      <c r="S168" s="3"/>
      <c r="T168" s="3"/>
      <c r="U168" s="3"/>
    </row>
    <row r="169" spans="7:21" x14ac:dyDescent="0.25">
      <c r="G169" s="3"/>
      <c r="H169" s="3"/>
      <c r="I169" s="3"/>
      <c r="J169" s="3"/>
      <c r="K169" s="3"/>
      <c r="L169" s="3"/>
      <c r="M169" s="3"/>
      <c r="N169" s="3"/>
      <c r="O169" s="3"/>
      <c r="P169" s="3"/>
      <c r="Q169" s="3"/>
      <c r="R169" s="3"/>
      <c r="S169" s="3"/>
      <c r="T169" s="3"/>
      <c r="U169" s="3"/>
    </row>
    <row r="170" spans="7:21" x14ac:dyDescent="0.25">
      <c r="G170" s="3"/>
      <c r="H170" s="3"/>
      <c r="I170" s="3"/>
      <c r="J170" s="3"/>
      <c r="K170" s="3"/>
      <c r="L170" s="3"/>
      <c r="M170" s="3"/>
      <c r="N170" s="3"/>
      <c r="O170" s="3"/>
      <c r="P170" s="3"/>
      <c r="Q170" s="3"/>
      <c r="R170" s="3"/>
      <c r="S170" s="3"/>
      <c r="T170" s="3"/>
      <c r="U170" s="3"/>
    </row>
    <row r="171" spans="7:21" x14ac:dyDescent="0.25">
      <c r="G171" s="3"/>
      <c r="H171" s="3"/>
      <c r="I171" s="3"/>
      <c r="J171" s="3"/>
      <c r="K171" s="3"/>
      <c r="L171" s="3"/>
      <c r="M171" s="3"/>
      <c r="N171" s="3"/>
      <c r="O171" s="3"/>
      <c r="P171" s="3"/>
      <c r="Q171" s="3"/>
      <c r="R171" s="3"/>
      <c r="S171" s="3"/>
      <c r="T171" s="3"/>
      <c r="U171" s="3"/>
    </row>
    <row r="172" spans="7:21" x14ac:dyDescent="0.25">
      <c r="G172" s="3"/>
      <c r="H172" s="3"/>
      <c r="I172" s="3"/>
      <c r="J172" s="3"/>
      <c r="K172" s="3"/>
      <c r="L172" s="3"/>
      <c r="M172" s="3"/>
      <c r="N172" s="3"/>
      <c r="O172" s="3"/>
      <c r="P172" s="3"/>
      <c r="Q172" s="3"/>
      <c r="R172" s="3"/>
      <c r="S172" s="3"/>
      <c r="T172" s="3"/>
      <c r="U172" s="3"/>
    </row>
    <row r="173" spans="7:21" x14ac:dyDescent="0.25">
      <c r="G173" s="3"/>
      <c r="H173" s="3"/>
      <c r="I173" s="3"/>
      <c r="J173" s="3"/>
      <c r="K173" s="3"/>
      <c r="L173" s="3"/>
      <c r="M173" s="3"/>
      <c r="N173" s="3"/>
      <c r="O173" s="3"/>
      <c r="P173" s="3"/>
      <c r="Q173" s="3"/>
      <c r="R173" s="3"/>
      <c r="S173" s="3"/>
      <c r="T173" s="3"/>
      <c r="U173" s="3"/>
    </row>
    <row r="174" spans="7:21" x14ac:dyDescent="0.25">
      <c r="G174" s="3"/>
      <c r="H174" s="3"/>
      <c r="I174" s="3"/>
      <c r="J174" s="3"/>
      <c r="K174" s="3"/>
      <c r="L174" s="3"/>
      <c r="M174" s="3"/>
      <c r="N174" s="3"/>
      <c r="O174" s="3"/>
      <c r="P174" s="3"/>
      <c r="Q174" s="3"/>
      <c r="R174" s="3"/>
      <c r="S174" s="3"/>
      <c r="T174" s="3"/>
      <c r="U174" s="3"/>
    </row>
    <row r="175" spans="7:21" x14ac:dyDescent="0.25">
      <c r="G175" s="3"/>
      <c r="H175" s="3"/>
      <c r="I175" s="3"/>
      <c r="J175" s="3"/>
      <c r="K175" s="3"/>
      <c r="L175" s="3"/>
      <c r="M175" s="3"/>
      <c r="N175" s="3"/>
      <c r="O175" s="3"/>
      <c r="P175" s="3"/>
      <c r="Q175" s="3"/>
      <c r="R175" s="3"/>
      <c r="S175" s="3"/>
      <c r="T175" s="3"/>
      <c r="U175" s="3"/>
    </row>
    <row r="176" spans="7:21" x14ac:dyDescent="0.25">
      <c r="G176" s="3"/>
      <c r="H176" s="3"/>
      <c r="I176" s="3"/>
      <c r="J176" s="3"/>
      <c r="K176" s="3"/>
      <c r="L176" s="3"/>
      <c r="M176" s="3"/>
      <c r="N176" s="3"/>
      <c r="O176" s="3"/>
      <c r="P176" s="3"/>
      <c r="Q176" s="3"/>
      <c r="R176" s="3"/>
      <c r="S176" s="3"/>
      <c r="T176" s="3"/>
      <c r="U176" s="3"/>
    </row>
    <row r="177" spans="7:21" x14ac:dyDescent="0.25">
      <c r="G177" s="3"/>
      <c r="H177" s="3"/>
      <c r="I177" s="3"/>
      <c r="J177" s="3"/>
      <c r="K177" s="3"/>
      <c r="L177" s="3"/>
      <c r="M177" s="3"/>
      <c r="N177" s="3"/>
      <c r="O177" s="3"/>
      <c r="P177" s="3"/>
      <c r="Q177" s="3"/>
      <c r="R177" s="3"/>
      <c r="S177" s="3"/>
      <c r="T177" s="3"/>
      <c r="U177" s="3"/>
    </row>
    <row r="178" spans="7:21" x14ac:dyDescent="0.25">
      <c r="G178" s="3"/>
      <c r="H178" s="3"/>
      <c r="I178" s="3"/>
      <c r="J178" s="3"/>
      <c r="K178" s="3"/>
      <c r="L178" s="3"/>
      <c r="M178" s="3"/>
      <c r="N178" s="3"/>
      <c r="O178" s="3"/>
      <c r="P178" s="3"/>
      <c r="Q178" s="3"/>
      <c r="R178" s="3"/>
      <c r="S178" s="3"/>
      <c r="T178" s="3"/>
      <c r="U178" s="3"/>
    </row>
    <row r="179" spans="7:21" x14ac:dyDescent="0.25">
      <c r="G179" s="3"/>
      <c r="H179" s="3"/>
      <c r="I179" s="3"/>
      <c r="J179" s="3"/>
      <c r="K179" s="3"/>
      <c r="L179" s="3"/>
      <c r="M179" s="3"/>
      <c r="N179" s="3"/>
      <c r="O179" s="3"/>
      <c r="P179" s="3"/>
      <c r="Q179" s="3"/>
      <c r="R179" s="3"/>
      <c r="S179" s="3"/>
      <c r="T179" s="3"/>
      <c r="U179" s="3"/>
    </row>
    <row r="180" spans="7:21" x14ac:dyDescent="0.25">
      <c r="G180" s="3"/>
      <c r="H180" s="3"/>
      <c r="I180" s="3"/>
      <c r="J180" s="3"/>
      <c r="K180" s="3"/>
      <c r="L180" s="3"/>
      <c r="M180" s="3"/>
      <c r="N180" s="3"/>
      <c r="O180" s="3"/>
      <c r="P180" s="3"/>
      <c r="Q180" s="3"/>
      <c r="R180" s="3"/>
      <c r="S180" s="3"/>
      <c r="T180" s="3"/>
      <c r="U180" s="3"/>
    </row>
    <row r="181" spans="7:21" x14ac:dyDescent="0.25">
      <c r="G181" s="3"/>
      <c r="H181" s="3"/>
      <c r="I181" s="3"/>
      <c r="J181" s="3"/>
      <c r="K181" s="3"/>
      <c r="L181" s="3"/>
      <c r="M181" s="3"/>
      <c r="N181" s="3"/>
      <c r="O181" s="3"/>
      <c r="P181" s="3"/>
      <c r="Q181" s="3"/>
      <c r="R181" s="3"/>
      <c r="S181" s="3"/>
      <c r="T181" s="3"/>
      <c r="U181" s="3"/>
    </row>
    <row r="182" spans="7:21" x14ac:dyDescent="0.25">
      <c r="G182" s="3"/>
      <c r="H182" s="3"/>
      <c r="I182" s="3"/>
      <c r="J182" s="3"/>
      <c r="K182" s="3"/>
      <c r="L182" s="3"/>
      <c r="M182" s="3"/>
      <c r="N182" s="3"/>
      <c r="O182" s="3"/>
      <c r="P182" s="3"/>
      <c r="Q182" s="3"/>
      <c r="R182" s="3"/>
      <c r="S182" s="3"/>
      <c r="T182" s="3"/>
      <c r="U182" s="3"/>
    </row>
    <row r="183" spans="7:21" x14ac:dyDescent="0.25">
      <c r="G183" s="3"/>
      <c r="H183" s="3"/>
      <c r="I183" s="3"/>
      <c r="J183" s="3"/>
      <c r="K183" s="3"/>
      <c r="L183" s="3"/>
      <c r="M183" s="3"/>
      <c r="N183" s="3"/>
      <c r="O183" s="3"/>
      <c r="P183" s="3"/>
      <c r="Q183" s="3"/>
      <c r="R183" s="3"/>
      <c r="S183" s="3"/>
      <c r="T183" s="3"/>
      <c r="U183" s="3"/>
    </row>
    <row r="184" spans="7:21" x14ac:dyDescent="0.25">
      <c r="G184" s="3"/>
      <c r="H184" s="3"/>
      <c r="I184" s="3"/>
      <c r="J184" s="3"/>
      <c r="K184" s="3"/>
      <c r="L184" s="3"/>
      <c r="M184" s="3"/>
      <c r="N184" s="3"/>
      <c r="O184" s="3"/>
      <c r="P184" s="3"/>
      <c r="Q184" s="3"/>
      <c r="R184" s="3"/>
      <c r="S184" s="3"/>
      <c r="T184" s="3"/>
      <c r="U184" s="3"/>
    </row>
    <row r="185" spans="7:21" x14ac:dyDescent="0.25">
      <c r="G185" s="3"/>
      <c r="H185" s="3"/>
      <c r="I185" s="3"/>
      <c r="J185" s="3"/>
      <c r="K185" s="3"/>
      <c r="L185" s="3"/>
      <c r="M185" s="3"/>
      <c r="N185" s="3"/>
      <c r="O185" s="3"/>
      <c r="P185" s="3"/>
      <c r="Q185" s="3"/>
      <c r="R185" s="3"/>
      <c r="S185" s="3"/>
      <c r="T185" s="3"/>
      <c r="U185" s="3"/>
    </row>
    <row r="186" spans="7:21" x14ac:dyDescent="0.25">
      <c r="G186" s="3"/>
      <c r="H186" s="3"/>
      <c r="I186" s="3"/>
      <c r="J186" s="3"/>
      <c r="K186" s="3"/>
      <c r="L186" s="3"/>
      <c r="M186" s="3"/>
      <c r="N186" s="3"/>
      <c r="O186" s="3"/>
      <c r="P186" s="3"/>
      <c r="Q186" s="3"/>
      <c r="R186" s="3"/>
      <c r="S186" s="3"/>
      <c r="T186" s="3"/>
      <c r="U186" s="3"/>
    </row>
    <row r="187" spans="7:21" x14ac:dyDescent="0.25">
      <c r="G187" s="3"/>
      <c r="H187" s="3"/>
      <c r="I187" s="3"/>
      <c r="J187" s="3"/>
      <c r="K187" s="3"/>
      <c r="L187" s="3"/>
      <c r="M187" s="3"/>
      <c r="N187" s="3"/>
      <c r="O187" s="3"/>
      <c r="P187" s="3"/>
      <c r="Q187" s="3"/>
      <c r="R187" s="3"/>
      <c r="S187" s="3"/>
      <c r="T187" s="3"/>
      <c r="U187" s="3"/>
    </row>
    <row r="188" spans="7:21" x14ac:dyDescent="0.25">
      <c r="G188" s="3"/>
      <c r="H188" s="3"/>
      <c r="I188" s="3"/>
      <c r="J188" s="3"/>
      <c r="K188" s="3"/>
      <c r="L188" s="3"/>
      <c r="M188" s="3"/>
      <c r="N188" s="3"/>
      <c r="O188" s="3"/>
      <c r="P188" s="3"/>
      <c r="Q188" s="3"/>
      <c r="R188" s="3"/>
      <c r="S188" s="3"/>
      <c r="T188" s="3"/>
      <c r="U188" s="3"/>
    </row>
    <row r="189" spans="7:21" x14ac:dyDescent="0.25">
      <c r="G189" s="3"/>
      <c r="H189" s="3"/>
      <c r="I189" s="3"/>
      <c r="J189" s="3"/>
      <c r="K189" s="3"/>
      <c r="L189" s="3"/>
      <c r="M189" s="3"/>
      <c r="N189" s="3"/>
      <c r="O189" s="3"/>
      <c r="P189" s="3"/>
      <c r="Q189" s="3"/>
      <c r="R189" s="3"/>
      <c r="S189" s="3"/>
      <c r="T189" s="3"/>
      <c r="U189" s="3"/>
    </row>
    <row r="190" spans="7:21" x14ac:dyDescent="0.25">
      <c r="G190" s="3"/>
      <c r="H190" s="3"/>
      <c r="I190" s="3"/>
      <c r="J190" s="3"/>
      <c r="K190" s="3"/>
      <c r="L190" s="3"/>
      <c r="M190" s="3"/>
      <c r="N190" s="3"/>
      <c r="O190" s="3"/>
      <c r="P190" s="3"/>
      <c r="Q190" s="3"/>
      <c r="R190" s="3"/>
      <c r="S190" s="3"/>
      <c r="T190" s="3"/>
      <c r="U190" s="3"/>
    </row>
    <row r="191" spans="7:21" x14ac:dyDescent="0.25">
      <c r="G191" s="3"/>
      <c r="H191" s="3"/>
      <c r="I191" s="3"/>
      <c r="J191" s="3"/>
      <c r="K191" s="3"/>
      <c r="L191" s="3"/>
      <c r="M191" s="3"/>
      <c r="N191" s="3"/>
      <c r="O191" s="3"/>
      <c r="P191" s="3"/>
      <c r="Q191" s="3"/>
      <c r="R191" s="3"/>
      <c r="S191" s="3"/>
      <c r="T191" s="3"/>
      <c r="U191" s="3"/>
    </row>
    <row r="192" spans="7:21" x14ac:dyDescent="0.25">
      <c r="G192" s="3"/>
      <c r="H192" s="3"/>
      <c r="I192" s="3"/>
      <c r="J192" s="3"/>
      <c r="K192" s="3"/>
      <c r="L192" s="3"/>
      <c r="M192" s="3"/>
      <c r="N192" s="3"/>
      <c r="O192" s="3"/>
      <c r="P192" s="3"/>
      <c r="Q192" s="3"/>
      <c r="R192" s="3"/>
      <c r="S192" s="3"/>
      <c r="T192" s="3"/>
      <c r="U192" s="3"/>
    </row>
    <row r="193" spans="7:21" x14ac:dyDescent="0.25">
      <c r="G193" s="3"/>
      <c r="H193" s="3"/>
      <c r="I193" s="3"/>
      <c r="J193" s="3"/>
      <c r="K193" s="3"/>
      <c r="L193" s="3"/>
      <c r="M193" s="3"/>
      <c r="N193" s="3"/>
      <c r="O193" s="3"/>
      <c r="P193" s="3"/>
      <c r="Q193" s="3"/>
      <c r="R193" s="3"/>
      <c r="S193" s="3"/>
      <c r="T193" s="3"/>
      <c r="U193" s="3"/>
    </row>
  </sheetData>
  <pageMargins left="0.7" right="0.7" top="0.75" bottom="0.75" header="0.3" footer="0.3"/>
  <ignoredErrors>
    <ignoredError sqref="K7 L7:P7 I21"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8ee5480-bc57-428c-a521-c1b5a30d116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9E198C30D334D4799A0A6192774ACA4" ma:contentTypeVersion="13" ma:contentTypeDescription="Create a new document." ma:contentTypeScope="" ma:versionID="c572f7800318d7f69b7325113cd25c40">
  <xsd:schema xmlns:xsd="http://www.w3.org/2001/XMLSchema" xmlns:xs="http://www.w3.org/2001/XMLSchema" xmlns:p="http://schemas.microsoft.com/office/2006/metadata/properties" xmlns:ns3="18ee5480-bc57-428c-a521-c1b5a30d1164" xmlns:ns4="e8d1ac66-52f7-4cba-a3db-9cc4a60ac180" targetNamespace="http://schemas.microsoft.com/office/2006/metadata/properties" ma:root="true" ma:fieldsID="f17c04d4cfd0e1c705f63883a6a92018" ns3:_="" ns4:_="">
    <xsd:import namespace="18ee5480-bc57-428c-a521-c1b5a30d1164"/>
    <xsd:import namespace="e8d1ac66-52f7-4cba-a3db-9cc4a60ac180"/>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ee5480-bc57-428c-a521-c1b5a30d11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d1ac66-52f7-4cba-a3db-9cc4a60ac18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A42C091-EACC-4FA0-9DE1-B203B446D806}">
  <ds:schemaRefs>
    <ds:schemaRef ds:uri="http://purl.org/dc/terms/"/>
    <ds:schemaRef ds:uri="http://schemas.openxmlformats.org/package/2006/metadata/core-properties"/>
    <ds:schemaRef ds:uri="http://purl.org/dc/elements/1.1/"/>
    <ds:schemaRef ds:uri="http://www.w3.org/XML/1998/namespace"/>
    <ds:schemaRef ds:uri="http://schemas.microsoft.com/office/2006/documentManagement/types"/>
    <ds:schemaRef ds:uri="http://schemas.microsoft.com/office/2006/metadata/properties"/>
    <ds:schemaRef ds:uri="18ee5480-bc57-428c-a521-c1b5a30d1164"/>
    <ds:schemaRef ds:uri="http://schemas.microsoft.com/office/infopath/2007/PartnerControls"/>
    <ds:schemaRef ds:uri="e8d1ac66-52f7-4cba-a3db-9cc4a60ac180"/>
    <ds:schemaRef ds:uri="http://purl.org/dc/dcmitype/"/>
  </ds:schemaRefs>
</ds:datastoreItem>
</file>

<file path=customXml/itemProps2.xml><?xml version="1.0" encoding="utf-8"?>
<ds:datastoreItem xmlns:ds="http://schemas.openxmlformats.org/officeDocument/2006/customXml" ds:itemID="{9F551CCB-FF92-4C4C-ADB2-C2916D4E13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ee5480-bc57-428c-a521-c1b5a30d1164"/>
    <ds:schemaRef ds:uri="e8d1ac66-52f7-4cba-a3db-9cc4a60ac1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8FBA1C3-48E6-4179-95AD-C4C5A28876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116</vt:i4>
      </vt:variant>
    </vt:vector>
  </HeadingPairs>
  <TitlesOfParts>
    <vt:vector size="122" baseType="lpstr">
      <vt:lpstr>Parms</vt:lpstr>
      <vt:lpstr>LBO Returns</vt:lpstr>
      <vt:lpstr>Transaction Summary</vt:lpstr>
      <vt:lpstr>Financial Statements</vt:lpstr>
      <vt:lpstr>DCF Analysis</vt:lpstr>
      <vt:lpstr>DebtSchedule</vt:lpstr>
      <vt:lpstr>company.name</vt:lpstr>
      <vt:lpstr>D.F.Interest.Expense</vt:lpstr>
      <vt:lpstr>D.F.LTDebt</vt:lpstr>
      <vt:lpstr>D.F.Revolver</vt:lpstr>
      <vt:lpstr>D.F.STDebt</vt:lpstr>
      <vt:lpstr>D.F.Sub.Debt</vt:lpstr>
      <vt:lpstr>D.H.Interest.Expense</vt:lpstr>
      <vt:lpstr>D.H.LTDebt</vt:lpstr>
      <vt:lpstr>D.H.STDebt</vt:lpstr>
      <vt:lpstr>D.Rate.Revolver</vt:lpstr>
      <vt:lpstr>D.Rate.Sub.Debt</vt:lpstr>
      <vt:lpstr>dates.forecast</vt:lpstr>
      <vt:lpstr>dates.hist</vt:lpstr>
      <vt:lpstr>DCF.Cash</vt:lpstr>
      <vt:lpstr>DCF.Debt</vt:lpstr>
      <vt:lpstr>DCF.Discount.Cash.Flow</vt:lpstr>
      <vt:lpstr>DCF.Equity</vt:lpstr>
      <vt:lpstr>DCF.Interest.Expense</vt:lpstr>
      <vt:lpstr>DCF.NPV.DCF</vt:lpstr>
      <vt:lpstr>DCF.Pref.Stock</vt:lpstr>
      <vt:lpstr>DCF.Terminal.Discount.Factor</vt:lpstr>
      <vt:lpstr>DCF.Terminal.EBITDA</vt:lpstr>
      <vt:lpstr>DCF.Terminal.Free.Cash.Flow</vt:lpstr>
      <vt:lpstr>DCF.Undiscounted.Cash.Flow</vt:lpstr>
      <vt:lpstr>EBITDA.LBO</vt:lpstr>
      <vt:lpstr>F.Capital</vt:lpstr>
      <vt:lpstr>F.Cash</vt:lpstr>
      <vt:lpstr>F.Cash.Financing</vt:lpstr>
      <vt:lpstr>F.Cash.Investment</vt:lpstr>
      <vt:lpstr>F.Cash.Ops</vt:lpstr>
      <vt:lpstr>F.COGS</vt:lpstr>
      <vt:lpstr>F.EBIT</vt:lpstr>
      <vt:lpstr>F.EBT</vt:lpstr>
      <vt:lpstr>F.Equity</vt:lpstr>
      <vt:lpstr>F.Fixed.Costs</vt:lpstr>
      <vt:lpstr>F.Gross.Margin</vt:lpstr>
      <vt:lpstr>F.Net.Income</vt:lpstr>
      <vt:lpstr>F.Revenues</vt:lpstr>
      <vt:lpstr>F.STarting.Cash</vt:lpstr>
      <vt:lpstr>F.Total.Assets</vt:lpstr>
      <vt:lpstr>FCF.Labels</vt:lpstr>
      <vt:lpstr>FCF.Values</vt:lpstr>
      <vt:lpstr>Final.Amortization.Expense</vt:lpstr>
      <vt:lpstr>Final.Depreciation.Expense</vt:lpstr>
      <vt:lpstr>Final.EBIT</vt:lpstr>
      <vt:lpstr>goldman.sachs.fee</vt:lpstr>
      <vt:lpstr>H.Capital</vt:lpstr>
      <vt:lpstr>H.Cash</vt:lpstr>
      <vt:lpstr>H.Cash.Financing</vt:lpstr>
      <vt:lpstr>H.Cash.From.Ops</vt:lpstr>
      <vt:lpstr>H.Cash.Investment</vt:lpstr>
      <vt:lpstr>H.COGS</vt:lpstr>
      <vt:lpstr>H.EBIT</vt:lpstr>
      <vt:lpstr>H.Fixed.Costs</vt:lpstr>
      <vt:lpstr>H.Gross.Margin</vt:lpstr>
      <vt:lpstr>H.Net.Income</vt:lpstr>
      <vt:lpstr>H.Operating.Income</vt:lpstr>
      <vt:lpstr>H.Revenues</vt:lpstr>
      <vt:lpstr>H.Total.Assets</vt:lpstr>
      <vt:lpstr>JPM.Fee</vt:lpstr>
      <vt:lpstr>LBO.FCF.Discounted</vt:lpstr>
      <vt:lpstr>LBO.FCF.No.Discount</vt:lpstr>
      <vt:lpstr>LBO.Forecast.EBITDA</vt:lpstr>
      <vt:lpstr>LBO.Goodwill</vt:lpstr>
      <vt:lpstr>LBO.LTDebt</vt:lpstr>
      <vt:lpstr>LBO.Revolver</vt:lpstr>
      <vt:lpstr>LBO.Sponsor.Equity</vt:lpstr>
      <vt:lpstr>LBO.STDebt</vt:lpstr>
      <vt:lpstr>LBO.SubDebt</vt:lpstr>
      <vt:lpstr>LBO.Terminal.Cash</vt:lpstr>
      <vt:lpstr>LBO.Terminal.EBITDA</vt:lpstr>
      <vt:lpstr>LBO.Terminal.WACC</vt:lpstr>
      <vt:lpstr>market.price</vt:lpstr>
      <vt:lpstr>minimum.cash.balance</vt:lpstr>
      <vt:lpstr>P.F.Accrued.Liabs</vt:lpstr>
      <vt:lpstr>P.F.Accts.Pay.Days</vt:lpstr>
      <vt:lpstr>P.F.Accts.Rec.Days</vt:lpstr>
      <vt:lpstr>P.F.Amortization.Expense</vt:lpstr>
      <vt:lpstr>P.F.Buybacks</vt:lpstr>
      <vt:lpstr>P.F.CAPEX</vt:lpstr>
      <vt:lpstr>P.F.COGS</vt:lpstr>
      <vt:lpstr>P.F.Depreciation.Expense</vt:lpstr>
      <vt:lpstr>P.F.Dividends</vt:lpstr>
      <vt:lpstr>P.F.Fixed.Costs</vt:lpstr>
      <vt:lpstr>P.F.Inventory.Days</vt:lpstr>
      <vt:lpstr>P.F.Prepaids</vt:lpstr>
      <vt:lpstr>P.F.Revenues</vt:lpstr>
      <vt:lpstr>P.H.Accounts.Pay.Days</vt:lpstr>
      <vt:lpstr>P.H.Accounts.Rec.Days</vt:lpstr>
      <vt:lpstr>P.H.Accrued.Liabs</vt:lpstr>
      <vt:lpstr>P.H.Amortization.Expense</vt:lpstr>
      <vt:lpstr>P.H.Buybacks</vt:lpstr>
      <vt:lpstr>P.H.CAPEX</vt:lpstr>
      <vt:lpstr>P.H.COGS</vt:lpstr>
      <vt:lpstr>P.H.Depreciation.Expense</vt:lpstr>
      <vt:lpstr>P.H.Dividends</vt:lpstr>
      <vt:lpstr>P.H.Fixed.Costs</vt:lpstr>
      <vt:lpstr>P.H.Inventory.Days</vt:lpstr>
      <vt:lpstr>P.H.Prepaids</vt:lpstr>
      <vt:lpstr>P.H.Revenues</vt:lpstr>
      <vt:lpstr>shares.outstanding</vt:lpstr>
      <vt:lpstr>Starting.Acc.Dep</vt:lpstr>
      <vt:lpstr>starting.cash</vt:lpstr>
      <vt:lpstr>starting.goodwill</vt:lpstr>
      <vt:lpstr>Starting.PPE</vt:lpstr>
      <vt:lpstr>stock</vt:lpstr>
      <vt:lpstr>table.multiplier</vt:lpstr>
      <vt:lpstr>table.perpetuity</vt:lpstr>
      <vt:lpstr>tax.rate</vt:lpstr>
      <vt:lpstr>Terminal.Debt</vt:lpstr>
      <vt:lpstr>Terminal.Discount.Factor</vt:lpstr>
      <vt:lpstr>the.stock</vt:lpstr>
      <vt:lpstr>TV.EBITDA.Mult</vt:lpstr>
      <vt:lpstr>TV.Gordon</vt:lpstr>
      <vt:lpstr>variable.paydown</vt:lpstr>
      <vt:lpstr>WACC</vt:lpstr>
    </vt:vector>
  </TitlesOfParts>
  <Company>Kent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Pelleg, David</dc:creator>
  <cp:lastModifiedBy>Gartner, Caleb</cp:lastModifiedBy>
  <cp:lastPrinted>2025-01-22T21:19:54Z</cp:lastPrinted>
  <dcterms:created xsi:type="dcterms:W3CDTF">2024-02-27T20:59:42Z</dcterms:created>
  <dcterms:modified xsi:type="dcterms:W3CDTF">2026-05-01T19:07:30Z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0x010100E9E198C30D334D4799A0A6192774ACA4</vt:lpwstr>
  </property>
</Properties>
</file>